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GNACIONES" sheetId="1" r:id="rId5"/>
    <sheet state="visible" name="LOCKERES" sheetId="2" r:id="rId6"/>
    <sheet state="visible" name="PERSONAL" sheetId="3" r:id="rId7"/>
    <sheet state="visible" name="RETIROS" sheetId="4" r:id="rId8"/>
    <sheet state="visible" name="OPERARIOS" sheetId="5" r:id="rId9"/>
    <sheet state="visible" name="DOTACIONES" sheetId="6" r:id="rId10"/>
    <sheet state="visible" name="DOTACIONES DISPONIBLES" sheetId="7" r:id="rId11"/>
    <sheet state="visible" name="AREAS DE LOCKER" sheetId="8" r:id="rId12"/>
    <sheet state="hidden" name="AREAS DE PROCESO" sheetId="9" r:id="rId13"/>
    <sheet state="hidden" name="AREAS" sheetId="10" r:id="rId14"/>
    <sheet state="hidden" name="TALLAS" sheetId="11" r:id="rId15"/>
    <sheet state="visible" name="LOCKER DISPONIBLES" sheetId="12" r:id="rId16"/>
  </sheets>
  <definedNames>
    <definedName name="LOCKERT">#REF!</definedName>
    <definedName name="PERSONAL">PERSONAL!$J$2:$J$81</definedName>
    <definedName name="Area">PERSONAL!$L$2:$L$14</definedName>
    <definedName name="Talla">PERSONAL!$M$2:$M$7</definedName>
    <definedName name="DOTACION">DOTACIONES!$H:$H</definedName>
    <definedName name="AreadeLockers">#REF!</definedName>
    <definedName hidden="1" localSheetId="0" name="_xlnm._FilterDatabase">ASIGNACIONES!$A$1:$K$991</definedName>
    <definedName hidden="1" localSheetId="1" name="_xlnm._FilterDatabase">LOCKERES!$A$1:$E$64</definedName>
    <definedName hidden="1" localSheetId="2" name="_xlnm._FilterDatabase">PERSONAL!$A$1:$H$869</definedName>
    <definedName hidden="1" localSheetId="3" name="_xlnm._FilterDatabase">RETIROS!$A$1:$AA$37</definedName>
    <definedName hidden="1" localSheetId="5" name="_xlnm._FilterDatabase">DOTACIONES!$A$1:$E$292</definedName>
    <definedName hidden="1" localSheetId="6" name="_xlnm._FilterDatabase">'DOTACIONES DISPONIBLES'!$A$1:$C$1000</definedName>
    <definedName hidden="1" localSheetId="5" name="Z_F52AD596_39B8_45F4_BC83_8171542E2871_.wvu.FilterData">DOTACIONES!$G$2</definedName>
  </definedNames>
  <calcPr/>
  <customWorkbookViews>
    <customWorkbookView activeSheetId="0" maximized="1" windowHeight="0" windowWidth="0" guid="{F52AD596-39B8-45F4-BC83-8171542E2871}" name="Filtro 1"/>
  </customWorkbookViews>
</workbook>
</file>

<file path=xl/sharedStrings.xml><?xml version="1.0" encoding="utf-8"?>
<sst xmlns="http://schemas.openxmlformats.org/spreadsheetml/2006/main" count="6573" uniqueCount="589">
  <si>
    <t>ID asignaciones</t>
  </si>
  <si>
    <t>Codigo de Dotacion</t>
  </si>
  <si>
    <t>Fecha de Entrega</t>
  </si>
  <si>
    <t>Operario</t>
  </si>
  <si>
    <t>Codigo de Lockets</t>
  </si>
  <si>
    <t>identificacion</t>
  </si>
  <si>
    <t>Area</t>
  </si>
  <si>
    <t>Talla de Operarios</t>
  </si>
  <si>
    <t>Talla de dotacion asignada</t>
  </si>
  <si>
    <t>Area de Lockers</t>
  </si>
  <si>
    <t>Observaciones</t>
  </si>
  <si>
    <t>Imagen</t>
  </si>
  <si>
    <t/>
  </si>
  <si>
    <t>7c03cf97</t>
  </si>
  <si>
    <t>030</t>
  </si>
  <si>
    <t>AMAYA TASCO JORGE ALEXIS</t>
  </si>
  <si>
    <t>DES-05</t>
  </si>
  <si>
    <t>DES</t>
  </si>
  <si>
    <t>M</t>
  </si>
  <si>
    <t>VESTIDOR HOMBRES</t>
  </si>
  <si>
    <t>468a8616</t>
  </si>
  <si>
    <t>028</t>
  </si>
  <si>
    <t>ANGARITA CASTILLO HERSON DAVID</t>
  </si>
  <si>
    <t>DES-11</t>
  </si>
  <si>
    <t>L</t>
  </si>
  <si>
    <t>00ee1a64</t>
  </si>
  <si>
    <t>052</t>
  </si>
  <si>
    <t>ARDILA PARRA JOAO CARLOS</t>
  </si>
  <si>
    <t>DES-07</t>
  </si>
  <si>
    <t>07fbd56b</t>
  </si>
  <si>
    <t>021</t>
  </si>
  <si>
    <t>CARRILLO SUAREZ YEINSS</t>
  </si>
  <si>
    <t>DES-33</t>
  </si>
  <si>
    <t>17dd008b</t>
  </si>
  <si>
    <t>014</t>
  </si>
  <si>
    <t>DELGADO GARCIA CESAR YESSY</t>
  </si>
  <si>
    <t>DES-17</t>
  </si>
  <si>
    <t>XXL</t>
  </si>
  <si>
    <t>5b402578</t>
  </si>
  <si>
    <t>009</t>
  </si>
  <si>
    <t>DIAZ PABON ERWIN</t>
  </si>
  <si>
    <t>DES-23</t>
  </si>
  <si>
    <t>7f0f5f4d</t>
  </si>
  <si>
    <t>017</t>
  </si>
  <si>
    <t>GAMBOA ANGARITA HOSLTMAN ARLEY</t>
  </si>
  <si>
    <t>DES-31</t>
  </si>
  <si>
    <t>ff826fb2</t>
  </si>
  <si>
    <t>007</t>
  </si>
  <si>
    <t>GONZALEZ DELGADO EDUAR VIRLEY</t>
  </si>
  <si>
    <t>DES-13</t>
  </si>
  <si>
    <t>99e9b745</t>
  </si>
  <si>
    <t>038</t>
  </si>
  <si>
    <t>JAIMES ESPITIA DIEGO ARMANDO</t>
  </si>
  <si>
    <t>DES-34</t>
  </si>
  <si>
    <t>d6d2f707</t>
  </si>
  <si>
    <t>106</t>
  </si>
  <si>
    <t>MANTENIMIENTO 1</t>
  </si>
  <si>
    <t>MTTO-01</t>
  </si>
  <si>
    <t>MTTO</t>
  </si>
  <si>
    <t>ef171cef</t>
  </si>
  <si>
    <t>107</t>
  </si>
  <si>
    <t>MANTENIMIENTO 2</t>
  </si>
  <si>
    <t>MTTO-02</t>
  </si>
  <si>
    <t>f8fa1cbb</t>
  </si>
  <si>
    <t>036</t>
  </si>
  <si>
    <t>MENDEZ BRAN HECTOR GERARDO</t>
  </si>
  <si>
    <t>DES-12</t>
  </si>
  <si>
    <t>XL</t>
  </si>
  <si>
    <t>e8aef359</t>
  </si>
  <si>
    <t>001</t>
  </si>
  <si>
    <t>QUESADA ZORRILLA WILHELM ARLEY</t>
  </si>
  <si>
    <t>DES-01</t>
  </si>
  <si>
    <t>XXXL</t>
  </si>
  <si>
    <t>9240d32f</t>
  </si>
  <si>
    <t>123</t>
  </si>
  <si>
    <t>ROA HERANDEZ NICOLAS</t>
  </si>
  <si>
    <t>DES-28</t>
  </si>
  <si>
    <t>93a41f36</t>
  </si>
  <si>
    <t>069</t>
  </si>
  <si>
    <t>SANTOS CORREA YEISON ARNULFO</t>
  </si>
  <si>
    <t>DES-37</t>
  </si>
  <si>
    <t>ba179a7a</t>
  </si>
  <si>
    <t>054</t>
  </si>
  <si>
    <t>SANTOS TORRA CARLOS ALBERTO</t>
  </si>
  <si>
    <t>DES-38</t>
  </si>
  <si>
    <t>982f10b5</t>
  </si>
  <si>
    <t>008</t>
  </si>
  <si>
    <t>SILVA PARDO RAUL FERNANDO</t>
  </si>
  <si>
    <t>DES-39</t>
  </si>
  <si>
    <t>c0e05c8d</t>
  </si>
  <si>
    <t>020</t>
  </si>
  <si>
    <t>SOLANO GOMEZ VICTOR ALFONSO</t>
  </si>
  <si>
    <t>DES-18</t>
  </si>
  <si>
    <t>a1219f15</t>
  </si>
  <si>
    <t>002</t>
  </si>
  <si>
    <t>VARGAS DURAN ROBINSON</t>
  </si>
  <si>
    <t>DES-02</t>
  </si>
  <si>
    <t>bc3cb9e1</t>
  </si>
  <si>
    <t>043</t>
  </si>
  <si>
    <t>PARADA ORTEGA GUSTAVO ADOLFO</t>
  </si>
  <si>
    <t>LOG-03</t>
  </si>
  <si>
    <t>LOG</t>
  </si>
  <si>
    <t>521228c4</t>
  </si>
  <si>
    <t>114</t>
  </si>
  <si>
    <t>PORTILLA ROZO ELIANA</t>
  </si>
  <si>
    <t>CAL-03</t>
  </si>
  <si>
    <t>CAL</t>
  </si>
  <si>
    <t>VESTIDOR MUJERES</t>
  </si>
  <si>
    <t>70279595</t>
  </si>
  <si>
    <t>127</t>
  </si>
  <si>
    <t>OSORIO ZANDUA JUAN SEBASTIAN</t>
  </si>
  <si>
    <t>SST-01</t>
  </si>
  <si>
    <t>SST</t>
  </si>
  <si>
    <t>ADMINISTRACION</t>
  </si>
  <si>
    <t>6acc2abe</t>
  </si>
  <si>
    <t>003</t>
  </si>
  <si>
    <t>HERRERA PINTO LUIS ANTONIO</t>
  </si>
  <si>
    <t>LOG-10</t>
  </si>
  <si>
    <t>451afaef</t>
  </si>
  <si>
    <t>018</t>
  </si>
  <si>
    <t>KAISER ABELLO JHOAN NICOLAS</t>
  </si>
  <si>
    <t>DES-03</t>
  </si>
  <si>
    <t>272d53d1</t>
  </si>
  <si>
    <t>022</t>
  </si>
  <si>
    <t>GUTIÉRREZ RAMIREZ DEIVILSON</t>
  </si>
  <si>
    <t>DES-22</t>
  </si>
  <si>
    <t>86e5cde0</t>
  </si>
  <si>
    <t>025</t>
  </si>
  <si>
    <t>ORDUZ SOLANO MARLON ALEXIS</t>
  </si>
  <si>
    <t>DES-25</t>
  </si>
  <si>
    <t>9be18e13</t>
  </si>
  <si>
    <t>049</t>
  </si>
  <si>
    <t>RENGIFO MORA OSCAR ALEJANDRO</t>
  </si>
  <si>
    <t>DES-43</t>
  </si>
  <si>
    <t>ae321546</t>
  </si>
  <si>
    <t>072</t>
  </si>
  <si>
    <t>GONZALEZ RUEDA TANIA ALEXANDRA</t>
  </si>
  <si>
    <t>d6257ccf</t>
  </si>
  <si>
    <t>010</t>
  </si>
  <si>
    <t>PACHECO MEDINA RUDNANYER JOSÉ</t>
  </si>
  <si>
    <t>LOG-02</t>
  </si>
  <si>
    <t>e0270216</t>
  </si>
  <si>
    <t>013</t>
  </si>
  <si>
    <t>ARCINIEGAS GRANADOS LUIS FERNANDO</t>
  </si>
  <si>
    <t>DES-15</t>
  </si>
  <si>
    <t>a60aa76c</t>
  </si>
  <si>
    <t>060</t>
  </si>
  <si>
    <t>VALLEJO PEREZ ERICK RONALDO</t>
  </si>
  <si>
    <t>LOG-08</t>
  </si>
  <si>
    <t>c17535d2</t>
  </si>
  <si>
    <t>064</t>
  </si>
  <si>
    <t>PEÑA RODRIGUEZ EDINSON FABIAN</t>
  </si>
  <si>
    <t>DES-14</t>
  </si>
  <si>
    <t>8e42b387</t>
  </si>
  <si>
    <t>040</t>
  </si>
  <si>
    <t>MENDOZA BOHORQUEZ JOHAN JOSE</t>
  </si>
  <si>
    <t>DES-06</t>
  </si>
  <si>
    <t>fc45eaa2</t>
  </si>
  <si>
    <t>033</t>
  </si>
  <si>
    <t>SIERRA MALAVER LUIS FELIPE</t>
  </si>
  <si>
    <t>DES-29</t>
  </si>
  <si>
    <t>6c5f9876</t>
  </si>
  <si>
    <t>125</t>
  </si>
  <si>
    <t>HIGUERA JAIMES ADRIANA LICETH</t>
  </si>
  <si>
    <t>XS</t>
  </si>
  <si>
    <t>ESTADO</t>
  </si>
  <si>
    <t>UNIDAD</t>
  </si>
  <si>
    <t>DES-04</t>
  </si>
  <si>
    <t>DES-08</t>
  </si>
  <si>
    <t>DES-09</t>
  </si>
  <si>
    <t>DES-10</t>
  </si>
  <si>
    <t>DES-16</t>
  </si>
  <si>
    <t>DES-19</t>
  </si>
  <si>
    <t>DES-20</t>
  </si>
  <si>
    <t>DES-21</t>
  </si>
  <si>
    <t>DES-24</t>
  </si>
  <si>
    <t>DES-26</t>
  </si>
  <si>
    <t>DES-27</t>
  </si>
  <si>
    <t>DES-30</t>
  </si>
  <si>
    <t>DES-32</t>
  </si>
  <si>
    <t>LOG-01</t>
  </si>
  <si>
    <t>LOG-04</t>
  </si>
  <si>
    <t>LOG-05</t>
  </si>
  <si>
    <t>LOG-06</t>
  </si>
  <si>
    <t>LOG-07</t>
  </si>
  <si>
    <t>LOG-09</t>
  </si>
  <si>
    <t>CAL-01</t>
  </si>
  <si>
    <t>CAL-02</t>
  </si>
  <si>
    <t>CAL-04</t>
  </si>
  <si>
    <t>TIC</t>
  </si>
  <si>
    <t>TIC-01</t>
  </si>
  <si>
    <t>LYD</t>
  </si>
  <si>
    <t>LYD-01</t>
  </si>
  <si>
    <t>LYD-02</t>
  </si>
  <si>
    <t>EXT</t>
  </si>
  <si>
    <t>EXT-01</t>
  </si>
  <si>
    <t>VIS</t>
  </si>
  <si>
    <t>VIS-01</t>
  </si>
  <si>
    <t>DES-2</t>
  </si>
  <si>
    <t>CAL-05</t>
  </si>
  <si>
    <t>ID PERSONAL</t>
  </si>
  <si>
    <t>Talla</t>
  </si>
  <si>
    <t>IMAGEN</t>
  </si>
  <si>
    <t>estado</t>
  </si>
  <si>
    <t>HK155JJ8</t>
  </si>
  <si>
    <t>HK155JJ10</t>
  </si>
  <si>
    <t>HK155JJ13</t>
  </si>
  <si>
    <t>HK155JJ15</t>
  </si>
  <si>
    <t>HK155JJ18</t>
  </si>
  <si>
    <t>HK155JJ19</t>
  </si>
  <si>
    <t>HK155JJ21</t>
  </si>
  <si>
    <t>HK155JJ22</t>
  </si>
  <si>
    <t>HK155JJ26</t>
  </si>
  <si>
    <t>HK155JJ46</t>
  </si>
  <si>
    <t>HK155JJ47</t>
  </si>
  <si>
    <t>HK155JJ29</t>
  </si>
  <si>
    <t>6d61896d</t>
  </si>
  <si>
    <t>8788aaa0</t>
  </si>
  <si>
    <t>d8375a5b</t>
  </si>
  <si>
    <t>HK155JJ32</t>
  </si>
  <si>
    <t>HK155JJ34</t>
  </si>
  <si>
    <t>HK155JJ40</t>
  </si>
  <si>
    <t>HK155JJ41</t>
  </si>
  <si>
    <t>HK155JJ42</t>
  </si>
  <si>
    <t>HK155JJ43</t>
  </si>
  <si>
    <t>HK155JJ50</t>
  </si>
  <si>
    <t>TIC 1</t>
  </si>
  <si>
    <t>HK155JJ45</t>
  </si>
  <si>
    <t>b6a66536</t>
  </si>
  <si>
    <t>3ee279c1</t>
  </si>
  <si>
    <t>f2fa6883</t>
  </si>
  <si>
    <t>daca49e7</t>
  </si>
  <si>
    <t>fb3a5953</t>
  </si>
  <si>
    <t>8623bbf3</t>
  </si>
  <si>
    <t>d3b881b0</t>
  </si>
  <si>
    <t>48d4d257</t>
  </si>
  <si>
    <t>551e411c</t>
  </si>
  <si>
    <t>d6cdff44</t>
  </si>
  <si>
    <t>f0027d38</t>
  </si>
  <si>
    <t>a8d549fa</t>
  </si>
  <si>
    <t>96e694d1</t>
  </si>
  <si>
    <t>ARIAS PARADA JHONATAN DAVID</t>
  </si>
  <si>
    <t>9e5b36d9</t>
  </si>
  <si>
    <t>8cad9b74</t>
  </si>
  <si>
    <t>FIGUEREDO SANMILLAN ALEXANDER</t>
  </si>
  <si>
    <t>ID RETIRO</t>
  </si>
  <si>
    <t>Fecha de Retiro</t>
  </si>
  <si>
    <t>8c37afde</t>
  </si>
  <si>
    <t>1052218087</t>
  </si>
  <si>
    <t>023</t>
  </si>
  <si>
    <t>QUIÑONES CÁRCAMO ANDRÉS FELIPE</t>
  </si>
  <si>
    <t>9ab71c59</t>
  </si>
  <si>
    <t>1098666215</t>
  </si>
  <si>
    <t>026</t>
  </si>
  <si>
    <t>RODRIGUEZ RUEDA ORLANDO</t>
  </si>
  <si>
    <t>ea024a24</t>
  </si>
  <si>
    <t>1232892424</t>
  </si>
  <si>
    <t>JAIMES FONSECA IVAN RAMIRO</t>
  </si>
  <si>
    <t>f66bd158</t>
  </si>
  <si>
    <t>1005369411</t>
  </si>
  <si>
    <t>067</t>
  </si>
  <si>
    <t>ALMANZA MANRIQUE DILSON STIWARD</t>
  </si>
  <si>
    <t>27a4880f</t>
  </si>
  <si>
    <t>1098623058</t>
  </si>
  <si>
    <t>016</t>
  </si>
  <si>
    <t>HERRERA AFANADOR ERWIN</t>
  </si>
  <si>
    <t>784ec265</t>
  </si>
  <si>
    <t>1098805752</t>
  </si>
  <si>
    <t>SANDOVAL JAIMES CRISTHIAN CAMILO</t>
  </si>
  <si>
    <t>f7a55122</t>
  </si>
  <si>
    <t>13872972</t>
  </si>
  <si>
    <t>024</t>
  </si>
  <si>
    <t>CACERES FREDDY</t>
  </si>
  <si>
    <t>d5a13fd6</t>
  </si>
  <si>
    <t>1098791772</t>
  </si>
  <si>
    <t>LOPEZ MANTILLA JHON FREDDY</t>
  </si>
  <si>
    <t>c88e2f71</t>
  </si>
  <si>
    <t>1005108421</t>
  </si>
  <si>
    <t>035</t>
  </si>
  <si>
    <t>SANCHEZ ORTEGA JUAN PABLO</t>
  </si>
  <si>
    <t>5d347585</t>
  </si>
  <si>
    <t>1095827638</t>
  </si>
  <si>
    <t>109</t>
  </si>
  <si>
    <t>DURAN AVILA ANDERSON HARLEY</t>
  </si>
  <si>
    <t>30fc63e1</t>
  </si>
  <si>
    <t>1102381907</t>
  </si>
  <si>
    <t>068</t>
  </si>
  <si>
    <t>DURAN BURGOS OSCAR FERNANDO</t>
  </si>
  <si>
    <t>00b49ab9</t>
  </si>
  <si>
    <t>1098700957</t>
  </si>
  <si>
    <t>102</t>
  </si>
  <si>
    <t>PARRA DURAN JAVIER ORLANDO</t>
  </si>
  <si>
    <t>c452cb7d</t>
  </si>
  <si>
    <t>1098618560</t>
  </si>
  <si>
    <t>ARAQUE HERRERA DIEGO JAVIER</t>
  </si>
  <si>
    <t>6d6c2f25</t>
  </si>
  <si>
    <t>1148454856</t>
  </si>
  <si>
    <t>042</t>
  </si>
  <si>
    <t>ARANDA FERRER MARLON GREGORY</t>
  </si>
  <si>
    <t>c5e74dc2</t>
  </si>
  <si>
    <t>1095944205</t>
  </si>
  <si>
    <t>JUAN JOSE NARANJO RUEDA</t>
  </si>
  <si>
    <t>d2fdfdbb</t>
  </si>
  <si>
    <t>1095826663</t>
  </si>
  <si>
    <t>AGUILLON ZIYAD CARLOS HERNANDO</t>
  </si>
  <si>
    <t>c6076c91</t>
  </si>
  <si>
    <t>1098670905</t>
  </si>
  <si>
    <t>DIAZ GARCIA SERGIO ANDRES</t>
  </si>
  <si>
    <t>a1bd9db9</t>
  </si>
  <si>
    <t>1081787784</t>
  </si>
  <si>
    <t>045</t>
  </si>
  <si>
    <t>PACHECO SELIN BALDOMERO</t>
  </si>
  <si>
    <t>24870f26</t>
  </si>
  <si>
    <t>1095940472</t>
  </si>
  <si>
    <t>PEREZ BARRAGAN JAVIER ESTEVAN</t>
  </si>
  <si>
    <t>f1b49963</t>
  </si>
  <si>
    <t>1095937389</t>
  </si>
  <si>
    <t>103</t>
  </si>
  <si>
    <t>SANABRIA FLOREZ DEICY TATIANA</t>
  </si>
  <si>
    <t>97fd2709</t>
  </si>
  <si>
    <t>1098765061</t>
  </si>
  <si>
    <t>NIÑO DIAZ JHORDAN ALEXIS</t>
  </si>
  <si>
    <t>a138edbe</t>
  </si>
  <si>
    <t>1102390512</t>
  </si>
  <si>
    <t>TARAZONA FIGUEROA ARLEY STIVEN</t>
  </si>
  <si>
    <t>fce22c9d</t>
  </si>
  <si>
    <t>1095917411</t>
  </si>
  <si>
    <t>012</t>
  </si>
  <si>
    <t>GRASS RODRIGUEZ SERGIO</t>
  </si>
  <si>
    <t>DES-42</t>
  </si>
  <si>
    <t>92e118ea</t>
  </si>
  <si>
    <t>1005107733</t>
  </si>
  <si>
    <t>056</t>
  </si>
  <si>
    <t>ARIZA LOPEZ JISNEY</t>
  </si>
  <si>
    <t>226a3695</t>
  </si>
  <si>
    <t>1005209826</t>
  </si>
  <si>
    <t>122</t>
  </si>
  <si>
    <t>ZORRILLA GALEANO EDWIN DUBAN</t>
  </si>
  <si>
    <t>73961186</t>
  </si>
  <si>
    <t>1065234496</t>
  </si>
  <si>
    <t>GUTIERREZ MOLINA BRAYAN</t>
  </si>
  <si>
    <t>a89c8fe7</t>
  </si>
  <si>
    <t>1098769935</t>
  </si>
  <si>
    <t>080</t>
  </si>
  <si>
    <t>COLEY VELANDIA OSCAR GIOVANY</t>
  </si>
  <si>
    <t>DES-40</t>
  </si>
  <si>
    <t>2161a908</t>
  </si>
  <si>
    <t>1102722413</t>
  </si>
  <si>
    <t>111</t>
  </si>
  <si>
    <t>GOMEZ BAUTISTA FERNEY LEANDRO</t>
  </si>
  <si>
    <t>S</t>
  </si>
  <si>
    <t>9469a147</t>
  </si>
  <si>
    <t>1098762009</t>
  </si>
  <si>
    <t>117</t>
  </si>
  <si>
    <t>OLAVE MANTILLA RAUL FERNEY</t>
  </si>
  <si>
    <t>9da059e7</t>
  </si>
  <si>
    <t>6158509</t>
  </si>
  <si>
    <t>RODRIGUEZ RODRIGUEZ ANTONY GABRIEL</t>
  </si>
  <si>
    <t>150b1508</t>
  </si>
  <si>
    <t>1100223026</t>
  </si>
  <si>
    <t>BARRERA REYES DEEYNE YURIANI</t>
  </si>
  <si>
    <t>cfa3371e</t>
  </si>
  <si>
    <t>1122409117</t>
  </si>
  <si>
    <t>BARRIOS VEGA RAFAEL DAVID</t>
  </si>
  <si>
    <t>d3b87d75</t>
  </si>
  <si>
    <t>1099371711</t>
  </si>
  <si>
    <t>006</t>
  </si>
  <si>
    <t>LEAL CORZO OSCAR EDUARDO</t>
  </si>
  <si>
    <t>c652e093</t>
  </si>
  <si>
    <t>1099622755</t>
  </si>
  <si>
    <t>RODRÍGUEZ LIZCANO EDINSON FERNEY</t>
  </si>
  <si>
    <t>438cc839</t>
  </si>
  <si>
    <t>1095916241</t>
  </si>
  <si>
    <t>CORONEL ORTEGA YAMID</t>
  </si>
  <si>
    <t>bbb25653</t>
  </si>
  <si>
    <t>1005371446</t>
  </si>
  <si>
    <t>HERRERA MANRIQUE JOSEPH SMITH</t>
  </si>
  <si>
    <t>d6e54ba1</t>
  </si>
  <si>
    <t>1005539650</t>
  </si>
  <si>
    <t>129</t>
  </si>
  <si>
    <t>PAEZ ADARME DIEGO ANDRES</t>
  </si>
  <si>
    <t>82ff4532</t>
  </si>
  <si>
    <t>1095944724</t>
  </si>
  <si>
    <t>SALAMANCA MARTINEZ LUIS ARMANDO</t>
  </si>
  <si>
    <t>e2367880</t>
  </si>
  <si>
    <t>1000045788</t>
  </si>
  <si>
    <t>AMOROCHO TAMI JOAQUIN ALBERTO</t>
  </si>
  <si>
    <t>11aef829</t>
  </si>
  <si>
    <t>1091683312</t>
  </si>
  <si>
    <t>SEPULVEDA BENITEZ ANDERSON FABIAN</t>
  </si>
  <si>
    <t>cd3067b0</t>
  </si>
  <si>
    <t>1005152959</t>
  </si>
  <si>
    <t>CALDERON SANCHEZ DANIEL JAVIER</t>
  </si>
  <si>
    <t>5e9df00e</t>
  </si>
  <si>
    <t>1095935838</t>
  </si>
  <si>
    <t>100</t>
  </si>
  <si>
    <t>VILLANOVA CALDERON LEIDY VANESSA</t>
  </si>
  <si>
    <t>231bbb96</t>
  </si>
  <si>
    <t>5135419</t>
  </si>
  <si>
    <t>MENDOZA ALFARO FAUSTINO CALLETANO</t>
  </si>
  <si>
    <t>1d62e51f</t>
  </si>
  <si>
    <t>1176763</t>
  </si>
  <si>
    <t>005</t>
  </si>
  <si>
    <t>RAVAGO HERNÁNDEZ MIGUEL ANTONIO</t>
  </si>
  <si>
    <t>5d6cb507</t>
  </si>
  <si>
    <t>91512215</t>
  </si>
  <si>
    <t>RODRIGUEZ HERRERA NICOLAS</t>
  </si>
  <si>
    <t>eac28d0a</t>
  </si>
  <si>
    <t>1096538111</t>
  </si>
  <si>
    <t>PEREZ CEDIEL JAIDER ALEJANDRO</t>
  </si>
  <si>
    <t>db4b11b3</t>
  </si>
  <si>
    <t>1098676271</t>
  </si>
  <si>
    <t>AGUILLON PABON ELKIN</t>
  </si>
  <si>
    <t>04e2ea16</t>
  </si>
  <si>
    <t>1003258570</t>
  </si>
  <si>
    <t>PRADO MONTERO RAUL RICARDO</t>
  </si>
  <si>
    <t>dc6038e6</t>
  </si>
  <si>
    <t>1094581619</t>
  </si>
  <si>
    <t>CLAVIJO TORRADO HEIDER JOHAN</t>
  </si>
  <si>
    <t>388dce4f</t>
  </si>
  <si>
    <t>1100893519</t>
  </si>
  <si>
    <t>CASTILLO PABON YEISON IVAN</t>
  </si>
  <si>
    <t>8135431b</t>
  </si>
  <si>
    <t>1099364041</t>
  </si>
  <si>
    <t>ECHEVERRIA FLOREZ EDWAR STIVEN</t>
  </si>
  <si>
    <t>96bb6a13</t>
  </si>
  <si>
    <t>1095830827</t>
  </si>
  <si>
    <t>RINCON PAEZ IZHAR DAVID</t>
  </si>
  <si>
    <t>5025126d</t>
  </si>
  <si>
    <t>13510483</t>
  </si>
  <si>
    <t>FERNANDEZ LUNA ALEXANDER</t>
  </si>
  <si>
    <t>14fa6224</t>
  </si>
  <si>
    <t>1007080130</t>
  </si>
  <si>
    <t>128</t>
  </si>
  <si>
    <t>ARCHILA ORTEGA DIEGO ALEJANDRO</t>
  </si>
  <si>
    <t>c815d0c0</t>
  </si>
  <si>
    <t>1098775415</t>
  </si>
  <si>
    <t>RUIZ ZAPATA ANDRES MAURICIO</t>
  </si>
  <si>
    <t>5f8995d0</t>
  </si>
  <si>
    <t>1004823758</t>
  </si>
  <si>
    <t>DURAN LEON JHON JEIBER</t>
  </si>
  <si>
    <t>812c03d1</t>
  </si>
  <si>
    <t>91536394</t>
  </si>
  <si>
    <t>031</t>
  </si>
  <si>
    <t>GUTIERREZ ORTEGA ABEL</t>
  </si>
  <si>
    <t>67c66460</t>
  </si>
  <si>
    <t>1102362259</t>
  </si>
  <si>
    <t>032</t>
  </si>
  <si>
    <t>CAMACHO MONTAÑEZ FELIX MANUEL</t>
  </si>
  <si>
    <t>7a94e85a</t>
  </si>
  <si>
    <t>1005328954</t>
  </si>
  <si>
    <t>034</t>
  </si>
  <si>
    <t>LOPEZ GARCIA BRAYAN SNEIDER</t>
  </si>
  <si>
    <t>18264fe0</t>
  </si>
  <si>
    <t>91536035</t>
  </si>
  <si>
    <t>APARICIO HERNANDO</t>
  </si>
  <si>
    <t>2e9ab9b9</t>
  </si>
  <si>
    <t>1095835855</t>
  </si>
  <si>
    <t>ISIDRO ARCILA PAULA ANDREA</t>
  </si>
  <si>
    <t>57d00023</t>
  </si>
  <si>
    <t>1005108327</t>
  </si>
  <si>
    <t>053</t>
  </si>
  <si>
    <t>HERRERA GALVIS JUAN SEBASTIÁN</t>
  </si>
  <si>
    <t>886975df</t>
  </si>
  <si>
    <t>1097488771</t>
  </si>
  <si>
    <t>RINCON CARRILLO JUAN FELIPE</t>
  </si>
  <si>
    <t>883bdbcf</t>
  </si>
  <si>
    <t>1096245140</t>
  </si>
  <si>
    <t>ROJAS CUEVAS JAIME</t>
  </si>
  <si>
    <t>49162f96</t>
  </si>
  <si>
    <t>1095957578</t>
  </si>
  <si>
    <t>LAITON MARIN JOAN SEBASTIAN</t>
  </si>
  <si>
    <t>d01c0668</t>
  </si>
  <si>
    <t>1005234395</t>
  </si>
  <si>
    <t>CARREÑO CAMACHO MARLON STEVE</t>
  </si>
  <si>
    <t>7cd25541</t>
  </si>
  <si>
    <t>1097489677</t>
  </si>
  <si>
    <t>VALDERRAMA MARTINEZ BRANDON DANIEL</t>
  </si>
  <si>
    <t>b925e8b4</t>
  </si>
  <si>
    <t>1005234889</t>
  </si>
  <si>
    <t>RODRIGUEZ ARDILA RICHARD ANDRES</t>
  </si>
  <si>
    <t>c40764b6</t>
  </si>
  <si>
    <t>1097492647</t>
  </si>
  <si>
    <t>JAIMES MEDRANO RYAN ALEXIS</t>
  </si>
  <si>
    <t>c5114f17</t>
  </si>
  <si>
    <t>91466051</t>
  </si>
  <si>
    <t>015</t>
  </si>
  <si>
    <t>AMARIZ RIVERA OMAR</t>
  </si>
  <si>
    <t>b145bd12</t>
  </si>
  <si>
    <t>5384218</t>
  </si>
  <si>
    <t>ALTUVE ARAQUE NOEL</t>
  </si>
  <si>
    <t>d6eb5358</t>
  </si>
  <si>
    <t>1005340449</t>
  </si>
  <si>
    <t>VILLALBA ORTEGA JOHAN FERNANDO</t>
  </si>
  <si>
    <t>2ffb03c9</t>
  </si>
  <si>
    <t>1095812471</t>
  </si>
  <si>
    <t>MEDINA MALDONADO DARWIN JULIÁN</t>
  </si>
  <si>
    <t>id</t>
  </si>
  <si>
    <t>operarios nuevo</t>
  </si>
  <si>
    <t>Cantidad</t>
  </si>
  <si>
    <t>Area de USO</t>
  </si>
  <si>
    <t>PROCESO</t>
  </si>
  <si>
    <t>004</t>
  </si>
  <si>
    <t>011</t>
  </si>
  <si>
    <t>019</t>
  </si>
  <si>
    <t>027</t>
  </si>
  <si>
    <t>029</t>
  </si>
  <si>
    <t>037</t>
  </si>
  <si>
    <t>039</t>
  </si>
  <si>
    <t>041</t>
  </si>
  <si>
    <t>044</t>
  </si>
  <si>
    <t>046</t>
  </si>
  <si>
    <t>047</t>
  </si>
  <si>
    <t>048</t>
  </si>
  <si>
    <t>050</t>
  </si>
  <si>
    <t>051</t>
  </si>
  <si>
    <t>055</t>
  </si>
  <si>
    <t>057</t>
  </si>
  <si>
    <t>058</t>
  </si>
  <si>
    <t>059</t>
  </si>
  <si>
    <t>061</t>
  </si>
  <si>
    <t>062</t>
  </si>
  <si>
    <t>063</t>
  </si>
  <si>
    <t>065</t>
  </si>
  <si>
    <t>066</t>
  </si>
  <si>
    <t>070</t>
  </si>
  <si>
    <t>071</t>
  </si>
  <si>
    <t>073</t>
  </si>
  <si>
    <t>074</t>
  </si>
  <si>
    <t>075</t>
  </si>
  <si>
    <t>076</t>
  </si>
  <si>
    <t>077</t>
  </si>
  <si>
    <t>078</t>
  </si>
  <si>
    <t>079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</si>
  <si>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</si>
  <si>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</si>
  <si>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</si>
  <si>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</si>
  <si>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</si>
  <si>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</si>
  <si>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</si>
  <si>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</si>
  <si>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</si>
  <si>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</si>
  <si>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</si>
  <si>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</si>
  <si>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</si>
  <si>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</si>
  <si>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</si>
  <si>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</si>
  <si>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</si>
  <si>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</si>
  <si>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</si>
  <si>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101</t>
  </si>
  <si>
    <t>104</t>
  </si>
  <si>
    <t>105</t>
  </si>
  <si>
    <t>108</t>
  </si>
  <si>
    <t>110</t>
  </si>
  <si>
    <t>112</t>
  </si>
  <si>
    <t>VISITAS</t>
  </si>
  <si>
    <t>113</t>
  </si>
  <si>
    <t>115</t>
  </si>
  <si>
    <t>116</t>
  </si>
  <si>
    <t>118</t>
  </si>
  <si>
    <t>119</t>
  </si>
  <si>
    <t>120</t>
  </si>
  <si>
    <t>121</t>
  </si>
  <si>
    <t>126</t>
  </si>
  <si>
    <t>130</t>
  </si>
  <si>
    <t>131</t>
  </si>
  <si>
    <t>136</t>
  </si>
  <si>
    <t>167</t>
  </si>
  <si>
    <t>M001</t>
  </si>
  <si>
    <t>M002</t>
  </si>
  <si>
    <t>M003</t>
  </si>
  <si>
    <t>V001</t>
  </si>
  <si>
    <t>V002</t>
  </si>
  <si>
    <t>V003</t>
  </si>
  <si>
    <t>V004</t>
  </si>
  <si>
    <t>V005</t>
  </si>
  <si>
    <t>V006</t>
  </si>
  <si>
    <t>CODIGO DE DOTACION</t>
  </si>
  <si>
    <t>TALLA</t>
  </si>
  <si>
    <t xml:space="preserve">CANTIDAD </t>
  </si>
  <si>
    <t>AREAS DE LOCKER</t>
  </si>
  <si>
    <t>CENCOSUD</t>
  </si>
  <si>
    <t>S-M-L-XL</t>
  </si>
  <si>
    <t>AREA</t>
  </si>
  <si>
    <t># LOCKER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</si>
</sst>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/M/yyyy"/>
  </numFmts>
  <fonts count="19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sz val="12.0"/>
      <color rgb="FF000000"/>
      <name val="Arial"/>
      <scheme val="minor"/>
    </font>
    <font>
      <sz val="12.0"/>
      <color theme="1"/>
      <name val="Arial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sz val="11.0"/>
      <color theme="1"/>
      <name val="Arial"/>
      <scheme val="minor"/>
    </font>
    <font>
      <sz val="11.0"/>
      <color rgb="FF000000"/>
      <name val="Inconsolata"/>
    </font>
    <font>
      <b/>
      <sz val="11.0"/>
      <color rgb="FF222222"/>
      <name val="&quot;Google Sans&quot;"/>
    </font>
    <font>
      <sz val="11.0"/>
      <color rgb="FF222222"/>
      <name val="&quot;Google Sans&quot;"/>
    </font>
    <font>
      <sz val="12.0"/>
      <color rgb="FF000000"/>
      <name val="Arial"/>
    </font>
    <font>
      <sz val="11.0"/>
      <color theme="1"/>
      <name val="Arial"/>
    </font>
    <font>
      <b/>
      <color theme="1"/>
      <name val="Arial"/>
      <scheme val="minor"/>
    </font>
    <font>
      <b/>
      <sz val="17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CE8AD"/>
        <bgColor rgb="FF7CE8A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2" numFmtId="49" xfId="0" applyAlignment="1" applyBorder="1" applyFont="1" applyNumberFormat="1">
      <alignment horizontal="center" readingOrder="0" shrinkToFit="0" vertical="center" wrapText="1"/>
    </xf>
    <xf borderId="1" fillId="2" fontId="2" numFmtId="49" xfId="0" applyAlignment="1" applyBorder="1" applyFont="1" applyNumberFormat="1">
      <alignment horizontal="left" readingOrder="0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49" xfId="0" applyAlignment="1" applyBorder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0" fillId="3" fontId="1" numFmtId="0" xfId="0" applyAlignment="1" applyFill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2" fillId="4" fontId="4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4" fontId="4" numFmtId="0" xfId="0" applyAlignment="1" applyFont="1">
      <alignment horizontal="center" vertical="center"/>
    </xf>
    <xf quotePrefix="1" borderId="0" fillId="0" fontId="1" numFmtId="49" xfId="0" applyAlignment="1" applyFont="1" applyNumberFormat="1">
      <alignment horizontal="center" readingOrder="0" vertical="center"/>
    </xf>
    <xf borderId="0" fillId="4" fontId="1" numFmtId="0" xfId="0" applyAlignment="1" applyFont="1">
      <alignment horizontal="left" readingOrder="0" vertical="center"/>
    </xf>
    <xf borderId="0" fillId="4" fontId="5" numFmtId="0" xfId="0" applyAlignment="1" applyFont="1">
      <alignment readingOrder="0" vertical="bottom"/>
    </xf>
    <xf borderId="0" fillId="2" fontId="6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3" fontId="5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2" fontId="9" numFmtId="49" xfId="0" applyAlignment="1" applyFont="1" applyNumberFormat="1">
      <alignment horizontal="center" readingOrder="0" shrinkToFit="0" vertical="center" wrapText="1"/>
    </xf>
    <xf borderId="0" fillId="2" fontId="9" numFmtId="4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4" fontId="5" numFmtId="49" xfId="0" applyAlignment="1" applyFont="1" applyNumberFormat="1">
      <alignment horizontal="center" readingOrder="0" vertical="center"/>
    </xf>
    <xf borderId="0" fillId="3" fontId="1" numFmtId="0" xfId="0" applyAlignment="1" applyFont="1">
      <alignment horizontal="left" readingOrder="0"/>
    </xf>
    <xf borderId="0" fillId="4" fontId="5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4" fontId="1" numFmtId="0" xfId="0" applyAlignment="1" applyFont="1">
      <alignment horizontal="left" readingOrder="0"/>
    </xf>
    <xf borderId="0" fillId="3" fontId="5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horizontal="left" readingOrder="0" vertical="center"/>
    </xf>
    <xf borderId="2" fillId="4" fontId="5" numFmtId="0" xfId="0" applyAlignment="1" applyBorder="1" applyFont="1">
      <alignment readingOrder="0" vertical="bottom"/>
    </xf>
    <xf borderId="2" fillId="3" fontId="1" numFmtId="0" xfId="0" applyAlignment="1" applyBorder="1" applyFont="1">
      <alignment horizontal="left" readingOrder="0"/>
    </xf>
    <xf borderId="0" fillId="0" fontId="7" numFmtId="49" xfId="0" applyFont="1" applyNumberFormat="1"/>
    <xf borderId="0" fillId="2" fontId="10" numFmtId="49" xfId="0" applyAlignment="1" applyFont="1" applyNumberFormat="1">
      <alignment horizontal="center" readingOrder="0" shrinkToFit="0" vertical="center" wrapText="1"/>
    </xf>
    <xf borderId="0" fillId="2" fontId="10" numFmtId="49" xfId="0" applyAlignment="1" applyFont="1" applyNumberFormat="1">
      <alignment horizontal="left" readingOrder="0" shrinkToFit="0" vertical="center" wrapText="1"/>
    </xf>
    <xf borderId="0" fillId="2" fontId="10" numFmtId="165" xfId="0" applyAlignment="1" applyFont="1" applyNumberForma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left" readingOrder="0" vertical="center"/>
    </xf>
    <xf quotePrefix="1" borderId="2" fillId="0" fontId="1" numFmtId="49" xfId="0" applyAlignment="1" applyBorder="1" applyFont="1" applyNumberFormat="1">
      <alignment horizontal="center" readingOrder="0" vertical="center"/>
    </xf>
    <xf borderId="2" fillId="0" fontId="1" numFmtId="165" xfId="0" applyAlignment="1" applyBorder="1" applyFont="1" applyNumberFormat="1">
      <alignment horizontal="center" readingOrder="0" vertical="center"/>
    </xf>
    <xf borderId="0" fillId="0" fontId="7" numFmtId="49" xfId="0" applyAlignment="1" applyFont="1" applyNumberFormat="1">
      <alignment readingOrder="0"/>
    </xf>
    <xf borderId="0" fillId="0" fontId="7" numFmtId="49" xfId="0" applyAlignment="1" applyFont="1" applyNumberFormat="1">
      <alignment horizontal="left" readingOrder="0"/>
    </xf>
    <xf quotePrefix="1" borderId="0" fillId="0" fontId="7" numFmtId="49" xfId="0" applyAlignment="1" applyFont="1" applyNumberFormat="1">
      <alignment readingOrder="0"/>
    </xf>
    <xf borderId="3" fillId="4" fontId="4" numFmtId="165" xfId="0" applyAlignment="1" applyBorder="1" applyFont="1" applyNumberFormat="1">
      <alignment horizontal="center" readingOrder="0" vertical="center"/>
    </xf>
    <xf borderId="0" fillId="0" fontId="7" numFmtId="49" xfId="0" applyAlignment="1" applyFont="1" applyNumberFormat="1">
      <alignment horizontal="left"/>
    </xf>
    <xf borderId="1" fillId="2" fontId="9" numFmtId="49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9" numFmtId="3" xfId="0" applyAlignment="1" applyFont="1" applyNumberFormat="1">
      <alignment horizontal="center" readingOrder="0" vertical="bottom"/>
    </xf>
    <xf borderId="0" fillId="4" fontId="12" numFmtId="0" xfId="0" applyFont="1"/>
    <xf quotePrefix="1" borderId="0" fillId="0" fontId="8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9" numFmtId="49" xfId="0" applyAlignment="1" applyFont="1" applyNumberFormat="1">
      <alignment horizontal="center" readingOrder="0" vertical="bottom"/>
    </xf>
    <xf borderId="0" fillId="2" fontId="13" numFmtId="0" xfId="0" applyAlignment="1" applyFont="1">
      <alignment horizontal="center" readingOrder="0" vertical="center"/>
    </xf>
    <xf borderId="0" fillId="0" fontId="11" numFmtId="0" xfId="0" applyAlignment="1" applyFont="1">
      <alignment horizontal="center"/>
    </xf>
    <xf borderId="0" fillId="0" fontId="11" numFmtId="3" xfId="0" applyAlignment="1" applyFont="1" applyNumberFormat="1">
      <alignment horizontal="center"/>
    </xf>
    <xf borderId="0" fillId="0" fontId="7" numFmtId="3" xfId="0" applyAlignment="1" applyFont="1" applyNumberFormat="1">
      <alignment horizontal="center"/>
    </xf>
    <xf borderId="0" fillId="4" fontId="1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5" numFmtId="0" xfId="0" applyAlignment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/>
    </xf>
    <xf borderId="1" fillId="4" fontId="16" numFmtId="0" xfId="0" applyAlignment="1" applyBorder="1" applyFont="1">
      <alignment horizontal="center" vertical="bottom"/>
    </xf>
    <xf borderId="1" fillId="4" fontId="16" numFmtId="0" xfId="0" applyAlignment="1" applyBorder="1" applyFont="1">
      <alignment horizontal="center" readingOrder="0" vertical="bottom"/>
    </xf>
    <xf borderId="0" fillId="0" fontId="7" numFmtId="0" xfId="0" applyFont="1"/>
    <xf borderId="0" fillId="2" fontId="7" numFmtId="0" xfId="0" applyAlignment="1" applyFont="1">
      <alignment horizontal="center" readingOrder="0" vertical="center"/>
    </xf>
    <xf borderId="0" fillId="2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center"/>
    </xf>
    <xf borderId="0" fillId="0" fontId="11" numFmtId="0" xfId="0" applyFont="1"/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13"/>
    <col customWidth="1" min="2" max="2" width="13.25"/>
    <col customWidth="1" min="3" max="3" width="13.88"/>
    <col customWidth="1" min="4" max="4" width="46.75"/>
    <col customWidth="1" min="5" max="5" width="16.38"/>
    <col customWidth="1" min="6" max="6" width="17.63"/>
    <col customWidth="1" min="7" max="7" width="8.75"/>
    <col customWidth="1" min="8" max="8" width="18.5"/>
    <col customWidth="1" min="9" max="9" width="18.0"/>
    <col customWidth="1" min="10" max="10" width="21.88"/>
    <col customWidth="1" min="11" max="11" width="21.38"/>
    <col customWidth="1" min="12" max="12" width="46.75"/>
  </cols>
  <sheetData>
    <row r="1" ht="50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idden="1">
      <c r="A2" s="5"/>
      <c r="B2" s="6"/>
      <c r="C2" s="7"/>
      <c r="D2" s="8"/>
      <c r="E2" s="9"/>
      <c r="F2" s="10" t="str">
        <f t="array" ref="F2:F991">IFERROR(VLOOKUP($D2:$D991,PERSONAL!B:E,2,0),"")</f>
        <v/>
      </c>
      <c r="G2" s="11" t="str">
        <f t="array" ref="G2:G991">IFERROR(VLOOKUP($D2:$D991,PERSONAL!B:F,3,0),"")</f>
        <v/>
      </c>
      <c r="H2" s="11" t="str">
        <f t="array" ref="H2:H991">IFERROR(VLOOKUP($D2:$D991,PERSONAL!$B:$E,4,0),"")</f>
        <v/>
      </c>
      <c r="I2" s="11" t="str">
        <f t="array" ref="I2:I991">IFERROR(VLOOKUP($B2:B991,DOTACIONES!$B:$E,3,0),"")</f>
        <v/>
      </c>
      <c r="J2" s="11" t="str">
        <f t="array" ref="J2:J991">IFERROR(VLOOKUP($D2:$D991,PERSONAL!B:F,5,0),"")</f>
        <v/>
      </c>
      <c r="K2" s="11"/>
      <c r="L2" s="9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idden="1">
      <c r="A3" s="5"/>
      <c r="B3" s="6"/>
      <c r="C3" s="13"/>
      <c r="D3" s="8"/>
      <c r="E3" s="9"/>
      <c r="F3" s="14" t="s">
        <v>12</v>
      </c>
      <c r="G3" s="9" t="s">
        <v>12</v>
      </c>
      <c r="H3" s="9" t="s">
        <v>12</v>
      </c>
      <c r="I3" s="9" t="s">
        <v>12</v>
      </c>
      <c r="J3" s="9" t="s">
        <v>12</v>
      </c>
      <c r="K3" s="9"/>
      <c r="L3" s="9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6"/>
      <c r="B4" s="6"/>
      <c r="C4" s="13"/>
      <c r="D4" s="8"/>
      <c r="E4" s="9"/>
      <c r="F4" s="14" t="s">
        <v>12</v>
      </c>
      <c r="G4" s="9" t="s">
        <v>12</v>
      </c>
      <c r="H4" s="9" t="s">
        <v>12</v>
      </c>
      <c r="I4" s="9" t="s">
        <v>12</v>
      </c>
      <c r="J4" s="9" t="s">
        <v>12</v>
      </c>
      <c r="K4" s="9"/>
      <c r="L4" s="9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6" t="s">
        <v>13</v>
      </c>
      <c r="B5" s="16" t="s">
        <v>14</v>
      </c>
      <c r="C5" s="13">
        <v>45129.0</v>
      </c>
      <c r="D5" s="8" t="s">
        <v>15</v>
      </c>
      <c r="E5" s="9" t="s">
        <v>16</v>
      </c>
      <c r="F5" s="14">
        <v>1.095917149E9</v>
      </c>
      <c r="G5" s="9" t="s">
        <v>17</v>
      </c>
      <c r="H5" s="9" t="s">
        <v>18</v>
      </c>
      <c r="I5" s="9" t="s">
        <v>18</v>
      </c>
      <c r="J5" s="9" t="s">
        <v>19</v>
      </c>
      <c r="K5" s="9"/>
      <c r="L5" s="9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6" t="s">
        <v>20</v>
      </c>
      <c r="B6" s="16" t="s">
        <v>21</v>
      </c>
      <c r="C6" s="13">
        <v>45129.0</v>
      </c>
      <c r="D6" s="8" t="s">
        <v>22</v>
      </c>
      <c r="E6" s="9" t="s">
        <v>23</v>
      </c>
      <c r="F6" s="14">
        <v>1.095909192E9</v>
      </c>
      <c r="G6" s="9" t="s">
        <v>17</v>
      </c>
      <c r="H6" s="9" t="s">
        <v>24</v>
      </c>
      <c r="I6" s="9" t="s">
        <v>24</v>
      </c>
      <c r="J6" s="9" t="s">
        <v>19</v>
      </c>
      <c r="K6" s="9"/>
      <c r="L6" s="9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6"/>
      <c r="B7" s="6"/>
      <c r="C7" s="13"/>
      <c r="D7" s="8"/>
      <c r="E7" s="9"/>
      <c r="F7" s="14" t="s">
        <v>12</v>
      </c>
      <c r="G7" s="9" t="s">
        <v>12</v>
      </c>
      <c r="H7" s="9" t="s">
        <v>12</v>
      </c>
      <c r="I7" s="9" t="s">
        <v>12</v>
      </c>
      <c r="J7" s="9" t="s">
        <v>12</v>
      </c>
      <c r="K7" s="9"/>
      <c r="L7" s="9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6" t="s">
        <v>25</v>
      </c>
      <c r="B8" s="16" t="s">
        <v>26</v>
      </c>
      <c r="C8" s="13">
        <v>45129.0</v>
      </c>
      <c r="D8" s="8" t="s">
        <v>27</v>
      </c>
      <c r="E8" s="9" t="s">
        <v>28</v>
      </c>
      <c r="F8" s="14">
        <v>9.1540171E7</v>
      </c>
      <c r="G8" s="9" t="s">
        <v>17</v>
      </c>
      <c r="H8" s="9" t="s">
        <v>24</v>
      </c>
      <c r="I8" s="9" t="s">
        <v>24</v>
      </c>
      <c r="J8" s="9" t="s">
        <v>19</v>
      </c>
      <c r="K8" s="9"/>
      <c r="L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6" t="s">
        <v>29</v>
      </c>
      <c r="B9" s="16" t="s">
        <v>30</v>
      </c>
      <c r="C9" s="13">
        <v>45129.0</v>
      </c>
      <c r="D9" s="8" t="s">
        <v>31</v>
      </c>
      <c r="E9" s="9" t="s">
        <v>32</v>
      </c>
      <c r="F9" s="14">
        <v>9.1541543E7</v>
      </c>
      <c r="G9" s="9" t="s">
        <v>17</v>
      </c>
      <c r="H9" s="9" t="s">
        <v>24</v>
      </c>
      <c r="I9" s="9" t="s">
        <v>24</v>
      </c>
      <c r="J9" s="9" t="s">
        <v>19</v>
      </c>
      <c r="K9" s="9"/>
      <c r="L9" s="9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6"/>
      <c r="B10" s="6"/>
      <c r="C10" s="13"/>
      <c r="D10" s="8"/>
      <c r="E10" s="9"/>
      <c r="F10" s="14" t="s">
        <v>12</v>
      </c>
      <c r="G10" s="9" t="s">
        <v>12</v>
      </c>
      <c r="H10" s="9" t="s">
        <v>12</v>
      </c>
      <c r="I10" s="9" t="s">
        <v>12</v>
      </c>
      <c r="J10" s="9" t="s">
        <v>12</v>
      </c>
      <c r="K10" s="9"/>
      <c r="L10" s="9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6" t="s">
        <v>33</v>
      </c>
      <c r="B11" s="16" t="s">
        <v>34</v>
      </c>
      <c r="C11" s="13">
        <v>45129.0</v>
      </c>
      <c r="D11" s="8" t="s">
        <v>35</v>
      </c>
      <c r="E11" s="9" t="s">
        <v>36</v>
      </c>
      <c r="F11" s="14">
        <v>1.102726333E9</v>
      </c>
      <c r="G11" s="9" t="s">
        <v>17</v>
      </c>
      <c r="H11" s="9" t="s">
        <v>37</v>
      </c>
      <c r="I11" s="9" t="s">
        <v>37</v>
      </c>
      <c r="J11" s="9" t="s">
        <v>19</v>
      </c>
      <c r="K11" s="9"/>
      <c r="L11" s="9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6" t="s">
        <v>38</v>
      </c>
      <c r="B12" s="16" t="s">
        <v>39</v>
      </c>
      <c r="C12" s="13">
        <v>45129.0</v>
      </c>
      <c r="D12" s="8" t="s">
        <v>40</v>
      </c>
      <c r="E12" s="9" t="s">
        <v>41</v>
      </c>
      <c r="F12" s="14">
        <v>1.098604376E9</v>
      </c>
      <c r="G12" s="9" t="s">
        <v>17</v>
      </c>
      <c r="H12" s="9" t="s">
        <v>18</v>
      </c>
      <c r="I12" s="9" t="s">
        <v>24</v>
      </c>
      <c r="J12" s="9" t="s">
        <v>19</v>
      </c>
      <c r="K12" s="9"/>
      <c r="L12" s="9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6"/>
      <c r="B13" s="6"/>
      <c r="C13" s="13"/>
      <c r="D13" s="8"/>
      <c r="E13" s="9"/>
      <c r="F13" s="14" t="s">
        <v>12</v>
      </c>
      <c r="G13" s="9" t="s">
        <v>12</v>
      </c>
      <c r="H13" s="9" t="s">
        <v>12</v>
      </c>
      <c r="I13" s="9" t="s">
        <v>12</v>
      </c>
      <c r="J13" s="9" t="s">
        <v>12</v>
      </c>
      <c r="K13" s="9"/>
      <c r="L13" s="9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6" t="s">
        <v>42</v>
      </c>
      <c r="B14" s="16" t="s">
        <v>43</v>
      </c>
      <c r="C14" s="13">
        <v>45129.0</v>
      </c>
      <c r="D14" s="8" t="s">
        <v>44</v>
      </c>
      <c r="E14" s="9" t="s">
        <v>45</v>
      </c>
      <c r="F14" s="14">
        <v>1.0049667E9</v>
      </c>
      <c r="G14" s="9" t="s">
        <v>17</v>
      </c>
      <c r="H14" s="9" t="s">
        <v>37</v>
      </c>
      <c r="I14" s="9" t="s">
        <v>37</v>
      </c>
      <c r="J14" s="9" t="s">
        <v>19</v>
      </c>
      <c r="K14" s="9"/>
      <c r="L14" s="9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6" t="s">
        <v>46</v>
      </c>
      <c r="B15" s="16" t="s">
        <v>47</v>
      </c>
      <c r="C15" s="13">
        <v>45129.0</v>
      </c>
      <c r="D15" s="8" t="s">
        <v>48</v>
      </c>
      <c r="E15" s="9" t="s">
        <v>49</v>
      </c>
      <c r="F15" s="14">
        <v>9.1301967E7</v>
      </c>
      <c r="G15" s="9" t="s">
        <v>17</v>
      </c>
      <c r="H15" s="9" t="s">
        <v>24</v>
      </c>
      <c r="I15" s="9" t="s">
        <v>24</v>
      </c>
      <c r="J15" s="9" t="s">
        <v>19</v>
      </c>
      <c r="K15" s="9"/>
      <c r="L15" s="9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6"/>
      <c r="B16" s="6"/>
      <c r="C16" s="13"/>
      <c r="D16" s="8"/>
      <c r="E16" s="9"/>
      <c r="F16" s="14" t="s">
        <v>12</v>
      </c>
      <c r="G16" s="9" t="s">
        <v>12</v>
      </c>
      <c r="H16" s="9" t="s">
        <v>12</v>
      </c>
      <c r="I16" s="9" t="s">
        <v>12</v>
      </c>
      <c r="J16" s="9" t="s">
        <v>12</v>
      </c>
      <c r="K16" s="9"/>
      <c r="L16" s="9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6" t="s">
        <v>50</v>
      </c>
      <c r="B17" s="16" t="s">
        <v>51</v>
      </c>
      <c r="C17" s="13">
        <v>45129.0</v>
      </c>
      <c r="D17" s="8" t="s">
        <v>52</v>
      </c>
      <c r="E17" s="9" t="s">
        <v>53</v>
      </c>
      <c r="F17" s="14">
        <v>1.102360952E9</v>
      </c>
      <c r="G17" s="9" t="s">
        <v>17</v>
      </c>
      <c r="H17" s="9" t="s">
        <v>24</v>
      </c>
      <c r="I17" s="9" t="s">
        <v>24</v>
      </c>
      <c r="J17" s="9" t="s">
        <v>19</v>
      </c>
      <c r="K17" s="9"/>
      <c r="L17" s="9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6" t="s">
        <v>54</v>
      </c>
      <c r="B18" s="6" t="s">
        <v>55</v>
      </c>
      <c r="C18" s="13">
        <v>45129.0</v>
      </c>
      <c r="D18" s="8" t="s">
        <v>56</v>
      </c>
      <c r="E18" s="9" t="s">
        <v>57</v>
      </c>
      <c r="F18" s="14">
        <v>123456.0</v>
      </c>
      <c r="G18" s="9" t="s">
        <v>58</v>
      </c>
      <c r="H18" s="9" t="s">
        <v>18</v>
      </c>
      <c r="I18" s="9" t="s">
        <v>18</v>
      </c>
      <c r="J18" s="9" t="s">
        <v>19</v>
      </c>
      <c r="K18" s="9"/>
      <c r="L18" s="9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6" t="s">
        <v>59</v>
      </c>
      <c r="B19" s="6" t="s">
        <v>60</v>
      </c>
      <c r="C19" s="13">
        <v>45129.0</v>
      </c>
      <c r="D19" s="8" t="s">
        <v>61</v>
      </c>
      <c r="E19" s="9" t="s">
        <v>62</v>
      </c>
      <c r="F19" s="14">
        <v>123456.0</v>
      </c>
      <c r="G19" s="9" t="s">
        <v>58</v>
      </c>
      <c r="H19" s="9" t="s">
        <v>24</v>
      </c>
      <c r="I19" s="9" t="s">
        <v>24</v>
      </c>
      <c r="J19" s="9" t="s">
        <v>19</v>
      </c>
      <c r="K19" s="9"/>
      <c r="L19" s="9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6" t="s">
        <v>63</v>
      </c>
      <c r="B20" s="16" t="s">
        <v>64</v>
      </c>
      <c r="C20" s="13">
        <v>45129.0</v>
      </c>
      <c r="D20" s="8" t="s">
        <v>65</v>
      </c>
      <c r="E20" s="9" t="s">
        <v>66</v>
      </c>
      <c r="F20" s="14">
        <v>1.100893469E9</v>
      </c>
      <c r="G20" s="9" t="s">
        <v>17</v>
      </c>
      <c r="H20" s="9" t="s">
        <v>67</v>
      </c>
      <c r="I20" s="9" t="s">
        <v>67</v>
      </c>
      <c r="J20" s="9" t="s">
        <v>19</v>
      </c>
      <c r="K20" s="9"/>
      <c r="L20" s="9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6"/>
      <c r="B21" s="6"/>
      <c r="C21" s="13"/>
      <c r="D21" s="8"/>
      <c r="E21" s="9"/>
      <c r="F21" s="14" t="s">
        <v>12</v>
      </c>
      <c r="G21" s="9" t="s">
        <v>12</v>
      </c>
      <c r="H21" s="9" t="s">
        <v>12</v>
      </c>
      <c r="I21" s="9" t="s">
        <v>12</v>
      </c>
      <c r="J21" s="9" t="s">
        <v>12</v>
      </c>
      <c r="K21" s="9"/>
      <c r="L21" s="9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6" t="s">
        <v>68</v>
      </c>
      <c r="B22" s="6" t="s">
        <v>69</v>
      </c>
      <c r="C22" s="13">
        <v>45129.0</v>
      </c>
      <c r="D22" s="8" t="s">
        <v>70</v>
      </c>
      <c r="E22" s="9" t="s">
        <v>71</v>
      </c>
      <c r="F22" s="14">
        <v>1.098725715E9</v>
      </c>
      <c r="G22" s="9" t="s">
        <v>17</v>
      </c>
      <c r="H22" s="9" t="s">
        <v>72</v>
      </c>
      <c r="I22" s="9" t="s">
        <v>72</v>
      </c>
      <c r="J22" s="9" t="s">
        <v>19</v>
      </c>
      <c r="K22" s="9"/>
      <c r="L22" s="9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6" t="s">
        <v>73</v>
      </c>
      <c r="B23" s="16" t="s">
        <v>74</v>
      </c>
      <c r="C23" s="13">
        <v>45129.0</v>
      </c>
      <c r="D23" s="17" t="s">
        <v>75</v>
      </c>
      <c r="E23" s="9" t="s">
        <v>76</v>
      </c>
      <c r="F23" s="14">
        <v>1.232892335E9</v>
      </c>
      <c r="G23" s="9" t="s">
        <v>17</v>
      </c>
      <c r="H23" s="9" t="s">
        <v>24</v>
      </c>
      <c r="I23" s="9" t="s">
        <v>24</v>
      </c>
      <c r="J23" s="9" t="s">
        <v>19</v>
      </c>
      <c r="K23" s="9"/>
      <c r="L23" s="9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6"/>
      <c r="B24" s="6"/>
      <c r="C24" s="13"/>
      <c r="D24" s="8"/>
      <c r="E24" s="9"/>
      <c r="F24" s="14" t="s">
        <v>12</v>
      </c>
      <c r="G24" s="9" t="s">
        <v>12</v>
      </c>
      <c r="H24" s="9" t="s">
        <v>12</v>
      </c>
      <c r="I24" s="9" t="s">
        <v>12</v>
      </c>
      <c r="J24" s="9" t="s">
        <v>12</v>
      </c>
      <c r="K24" s="9"/>
      <c r="L24" s="9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6" t="s">
        <v>77</v>
      </c>
      <c r="B25" s="16" t="s">
        <v>78</v>
      </c>
      <c r="C25" s="13">
        <v>45129.0</v>
      </c>
      <c r="D25" s="8" t="s">
        <v>79</v>
      </c>
      <c r="E25" s="9" t="s">
        <v>80</v>
      </c>
      <c r="F25" s="14">
        <v>1.095940767E9</v>
      </c>
      <c r="G25" s="9" t="s">
        <v>17</v>
      </c>
      <c r="H25" s="9" t="s">
        <v>24</v>
      </c>
      <c r="I25" s="9" t="s">
        <v>24</v>
      </c>
      <c r="J25" s="9" t="s">
        <v>19</v>
      </c>
      <c r="K25" s="9"/>
      <c r="L25" s="9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6" t="s">
        <v>81</v>
      </c>
      <c r="B26" s="16" t="s">
        <v>82</v>
      </c>
      <c r="C26" s="13">
        <v>45129.0</v>
      </c>
      <c r="D26" s="8" t="s">
        <v>83</v>
      </c>
      <c r="E26" s="9" t="s">
        <v>84</v>
      </c>
      <c r="F26" s="14">
        <v>9.1525181E7</v>
      </c>
      <c r="G26" s="9" t="s">
        <v>17</v>
      </c>
      <c r="H26" s="9" t="s">
        <v>24</v>
      </c>
      <c r="I26" s="9" t="s">
        <v>67</v>
      </c>
      <c r="J26" s="9" t="s">
        <v>19</v>
      </c>
      <c r="K26" s="9"/>
      <c r="L26" s="9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6" t="s">
        <v>85</v>
      </c>
      <c r="B27" s="16" t="s">
        <v>86</v>
      </c>
      <c r="C27" s="13">
        <v>45129.0</v>
      </c>
      <c r="D27" s="8" t="s">
        <v>87</v>
      </c>
      <c r="E27" s="9" t="s">
        <v>88</v>
      </c>
      <c r="F27" s="14">
        <v>1.098802219E9</v>
      </c>
      <c r="G27" s="9" t="s">
        <v>17</v>
      </c>
      <c r="H27" s="9" t="s">
        <v>37</v>
      </c>
      <c r="I27" s="9" t="s">
        <v>37</v>
      </c>
      <c r="J27" s="9" t="s">
        <v>19</v>
      </c>
      <c r="K27" s="9"/>
      <c r="L27" s="9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6" t="s">
        <v>89</v>
      </c>
      <c r="B28" s="16" t="s">
        <v>90</v>
      </c>
      <c r="C28" s="13">
        <v>45129.0</v>
      </c>
      <c r="D28" s="8" t="s">
        <v>91</v>
      </c>
      <c r="E28" s="9" t="s">
        <v>92</v>
      </c>
      <c r="F28" s="14">
        <v>9.1539339E7</v>
      </c>
      <c r="G28" s="9" t="s">
        <v>17</v>
      </c>
      <c r="H28" s="9" t="s">
        <v>24</v>
      </c>
      <c r="I28" s="9" t="s">
        <v>24</v>
      </c>
      <c r="J28" s="9" t="s">
        <v>19</v>
      </c>
      <c r="K28" s="9"/>
      <c r="L28" s="9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6"/>
      <c r="B29" s="6"/>
      <c r="C29" s="13"/>
      <c r="D29" s="18"/>
      <c r="E29" s="9"/>
      <c r="F29" s="14" t="s">
        <v>12</v>
      </c>
      <c r="G29" s="9" t="s">
        <v>12</v>
      </c>
      <c r="H29" s="9" t="s">
        <v>12</v>
      </c>
      <c r="I29" s="9" t="s">
        <v>12</v>
      </c>
      <c r="J29" s="9" t="s">
        <v>12</v>
      </c>
      <c r="K29" s="9"/>
      <c r="L29" s="9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6" t="s">
        <v>93</v>
      </c>
      <c r="B30" s="16" t="s">
        <v>94</v>
      </c>
      <c r="C30" s="13">
        <v>45129.0</v>
      </c>
      <c r="D30" s="8" t="s">
        <v>95</v>
      </c>
      <c r="E30" s="9" t="s">
        <v>96</v>
      </c>
      <c r="F30" s="14">
        <v>9.1477701E7</v>
      </c>
      <c r="G30" s="9" t="s">
        <v>17</v>
      </c>
      <c r="H30" s="9" t="s">
        <v>67</v>
      </c>
      <c r="I30" s="9" t="s">
        <v>67</v>
      </c>
      <c r="J30" s="9" t="s">
        <v>19</v>
      </c>
      <c r="K30" s="9"/>
      <c r="L30" s="9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6" t="s">
        <v>97</v>
      </c>
      <c r="B31" s="6" t="s">
        <v>98</v>
      </c>
      <c r="C31" s="13">
        <v>45170.0</v>
      </c>
      <c r="D31" s="8" t="s">
        <v>99</v>
      </c>
      <c r="E31" s="9" t="s">
        <v>100</v>
      </c>
      <c r="F31" s="14">
        <v>1.095932394E9</v>
      </c>
      <c r="G31" s="9" t="s">
        <v>101</v>
      </c>
      <c r="H31" s="9" t="s">
        <v>67</v>
      </c>
      <c r="I31" s="9" t="s">
        <v>37</v>
      </c>
      <c r="J31" s="9" t="s">
        <v>19</v>
      </c>
      <c r="K31" s="9"/>
      <c r="L31" s="9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6"/>
      <c r="B32" s="6"/>
      <c r="C32" s="13"/>
      <c r="D32" s="8"/>
      <c r="E32" s="9"/>
      <c r="F32" s="14" t="s">
        <v>12</v>
      </c>
      <c r="G32" s="9" t="s">
        <v>12</v>
      </c>
      <c r="H32" s="9" t="s">
        <v>12</v>
      </c>
      <c r="I32" s="9" t="s">
        <v>12</v>
      </c>
      <c r="J32" s="9" t="s">
        <v>12</v>
      </c>
      <c r="K32" s="9"/>
      <c r="L32" s="9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6" t="s">
        <v>102</v>
      </c>
      <c r="B33" s="16" t="s">
        <v>103</v>
      </c>
      <c r="C33" s="13">
        <v>45240.0</v>
      </c>
      <c r="D33" s="8" t="s">
        <v>104</v>
      </c>
      <c r="E33" s="9" t="s">
        <v>105</v>
      </c>
      <c r="F33" s="14">
        <v>1.095950268E9</v>
      </c>
      <c r="G33" s="9" t="s">
        <v>106</v>
      </c>
      <c r="H33" s="9" t="s">
        <v>67</v>
      </c>
      <c r="I33" s="9" t="s">
        <v>67</v>
      </c>
      <c r="J33" s="9" t="s">
        <v>107</v>
      </c>
      <c r="K33" s="9"/>
      <c r="L33" s="9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6" t="s">
        <v>108</v>
      </c>
      <c r="B34" s="6" t="s">
        <v>109</v>
      </c>
      <c r="C34" s="13">
        <v>45240.0</v>
      </c>
      <c r="D34" s="8" t="s">
        <v>110</v>
      </c>
      <c r="E34" s="9" t="s">
        <v>111</v>
      </c>
      <c r="F34" s="14">
        <v>1.095940311E9</v>
      </c>
      <c r="G34" s="9" t="s">
        <v>112</v>
      </c>
      <c r="H34" s="9" t="s">
        <v>67</v>
      </c>
      <c r="I34" s="9" t="s">
        <v>67</v>
      </c>
      <c r="J34" s="9" t="s">
        <v>113</v>
      </c>
      <c r="K34" s="9"/>
      <c r="L34" s="9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6"/>
      <c r="B35" s="6"/>
      <c r="C35" s="13"/>
      <c r="D35" s="8"/>
      <c r="E35" s="9"/>
      <c r="F35" s="14" t="s">
        <v>12</v>
      </c>
      <c r="G35" s="9" t="s">
        <v>12</v>
      </c>
      <c r="H35" s="9" t="s">
        <v>12</v>
      </c>
      <c r="I35" s="9" t="s">
        <v>12</v>
      </c>
      <c r="J35" s="9" t="s">
        <v>12</v>
      </c>
      <c r="K35" s="9"/>
      <c r="L35" s="9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6"/>
      <c r="B36" s="6"/>
      <c r="C36" s="13"/>
      <c r="D36" s="8"/>
      <c r="E36" s="9"/>
      <c r="F36" s="14" t="s">
        <v>12</v>
      </c>
      <c r="G36" s="9" t="s">
        <v>12</v>
      </c>
      <c r="H36" s="9" t="s">
        <v>12</v>
      </c>
      <c r="I36" s="9" t="s">
        <v>12</v>
      </c>
      <c r="J36" s="9" t="s">
        <v>12</v>
      </c>
      <c r="K36" s="9"/>
      <c r="L36" s="9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6"/>
      <c r="B37" s="6"/>
      <c r="C37" s="13"/>
      <c r="D37" s="8"/>
      <c r="E37" s="9"/>
      <c r="F37" s="14" t="s">
        <v>12</v>
      </c>
      <c r="G37" s="9" t="s">
        <v>12</v>
      </c>
      <c r="H37" s="9" t="s">
        <v>12</v>
      </c>
      <c r="I37" s="9" t="s">
        <v>12</v>
      </c>
      <c r="J37" s="9" t="s">
        <v>12</v>
      </c>
      <c r="K37" s="9"/>
      <c r="L37" s="9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6"/>
      <c r="B38" s="6"/>
      <c r="C38" s="13"/>
      <c r="D38" s="8"/>
      <c r="E38" s="9"/>
      <c r="F38" s="14" t="s">
        <v>12</v>
      </c>
      <c r="G38" s="9" t="s">
        <v>12</v>
      </c>
      <c r="H38" s="9" t="s">
        <v>12</v>
      </c>
      <c r="I38" s="9" t="s">
        <v>12</v>
      </c>
      <c r="J38" s="9" t="s">
        <v>12</v>
      </c>
      <c r="K38" s="9"/>
      <c r="L38" s="9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6"/>
      <c r="B39" s="6"/>
      <c r="C39" s="13"/>
      <c r="D39" s="8"/>
      <c r="E39" s="9"/>
      <c r="F39" s="14" t="s">
        <v>12</v>
      </c>
      <c r="G39" s="9" t="s">
        <v>12</v>
      </c>
      <c r="H39" s="9" t="s">
        <v>12</v>
      </c>
      <c r="I39" s="9" t="s">
        <v>12</v>
      </c>
      <c r="J39" s="9" t="s">
        <v>12</v>
      </c>
      <c r="K39" s="9"/>
      <c r="L39" s="9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6"/>
      <c r="B40" s="6"/>
      <c r="C40" s="13"/>
      <c r="D40" s="8"/>
      <c r="E40" s="9"/>
      <c r="F40" s="14" t="s">
        <v>12</v>
      </c>
      <c r="G40" s="9" t="s">
        <v>12</v>
      </c>
      <c r="H40" s="9" t="s">
        <v>12</v>
      </c>
      <c r="I40" s="9" t="s">
        <v>12</v>
      </c>
      <c r="J40" s="9" t="s">
        <v>12</v>
      </c>
      <c r="K40" s="9"/>
      <c r="L40" s="9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6"/>
      <c r="B41" s="6"/>
      <c r="C41" s="13"/>
      <c r="D41" s="18"/>
      <c r="E41" s="9"/>
      <c r="F41" s="14" t="s">
        <v>12</v>
      </c>
      <c r="G41" s="9" t="s">
        <v>12</v>
      </c>
      <c r="H41" s="9" t="s">
        <v>12</v>
      </c>
      <c r="I41" s="9" t="s">
        <v>12</v>
      </c>
      <c r="J41" s="9" t="s">
        <v>12</v>
      </c>
      <c r="K41" s="9"/>
      <c r="L41" s="9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6"/>
      <c r="B42" s="6"/>
      <c r="C42" s="13"/>
      <c r="D42" s="8"/>
      <c r="E42" s="9"/>
      <c r="F42" s="14" t="s">
        <v>12</v>
      </c>
      <c r="G42" s="9" t="s">
        <v>12</v>
      </c>
      <c r="H42" s="9" t="s">
        <v>12</v>
      </c>
      <c r="I42" s="9" t="s">
        <v>12</v>
      </c>
      <c r="J42" s="9" t="s">
        <v>12</v>
      </c>
      <c r="K42" s="9"/>
      <c r="L42" s="9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6"/>
      <c r="B43" s="6"/>
      <c r="C43" s="13"/>
      <c r="D43" s="8"/>
      <c r="E43" s="9"/>
      <c r="F43" s="14" t="s">
        <v>12</v>
      </c>
      <c r="G43" s="9" t="s">
        <v>12</v>
      </c>
      <c r="H43" s="9" t="s">
        <v>12</v>
      </c>
      <c r="I43" s="9" t="s">
        <v>12</v>
      </c>
      <c r="J43" s="9" t="s">
        <v>12</v>
      </c>
      <c r="K43" s="9"/>
      <c r="L43" s="9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6"/>
      <c r="B44" s="6"/>
      <c r="C44" s="13"/>
      <c r="D44" s="8"/>
      <c r="E44" s="9"/>
      <c r="F44" s="14" t="s">
        <v>12</v>
      </c>
      <c r="G44" s="9" t="s">
        <v>12</v>
      </c>
      <c r="H44" s="9" t="s">
        <v>12</v>
      </c>
      <c r="I44" s="9" t="s">
        <v>12</v>
      </c>
      <c r="J44" s="9" t="s">
        <v>12</v>
      </c>
      <c r="K44" s="9"/>
      <c r="L44" s="9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6"/>
      <c r="B45" s="6"/>
      <c r="C45" s="13"/>
      <c r="D45" s="8"/>
      <c r="E45" s="9"/>
      <c r="F45" s="14" t="s">
        <v>12</v>
      </c>
      <c r="G45" s="9" t="s">
        <v>12</v>
      </c>
      <c r="H45" s="9" t="s">
        <v>12</v>
      </c>
      <c r="I45" s="9" t="s">
        <v>12</v>
      </c>
      <c r="J45" s="9" t="s">
        <v>12</v>
      </c>
      <c r="K45" s="9"/>
      <c r="L45" s="9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6"/>
      <c r="B46" s="6"/>
      <c r="C46" s="13"/>
      <c r="D46" s="8"/>
      <c r="E46" s="9"/>
      <c r="F46" s="14" t="s">
        <v>12</v>
      </c>
      <c r="G46" s="9" t="s">
        <v>12</v>
      </c>
      <c r="H46" s="9" t="s">
        <v>12</v>
      </c>
      <c r="I46" s="9" t="s">
        <v>12</v>
      </c>
      <c r="J46" s="9" t="s">
        <v>12</v>
      </c>
      <c r="K46" s="9"/>
      <c r="L46" s="9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6" t="s">
        <v>114</v>
      </c>
      <c r="B47" s="16" t="s">
        <v>115</v>
      </c>
      <c r="C47" s="13">
        <v>45623.0</v>
      </c>
      <c r="D47" s="8" t="s">
        <v>116</v>
      </c>
      <c r="E47" s="9" t="s">
        <v>117</v>
      </c>
      <c r="F47" s="14">
        <v>1.005154159E9</v>
      </c>
      <c r="G47" s="9" t="s">
        <v>101</v>
      </c>
      <c r="H47" s="9" t="s">
        <v>24</v>
      </c>
      <c r="I47" s="9" t="s">
        <v>67</v>
      </c>
      <c r="J47" s="9" t="s">
        <v>19</v>
      </c>
      <c r="K47" s="9"/>
      <c r="L47" s="9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6"/>
      <c r="B48" s="6"/>
      <c r="C48" s="13"/>
      <c r="D48" s="8"/>
      <c r="E48" s="9"/>
      <c r="F48" s="14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9"/>
      <c r="L48" s="9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6" t="s">
        <v>118</v>
      </c>
      <c r="B49" s="16" t="s">
        <v>119</v>
      </c>
      <c r="C49" s="13">
        <v>45636.0</v>
      </c>
      <c r="D49" s="8" t="s">
        <v>120</v>
      </c>
      <c r="E49" s="9" t="s">
        <v>121</v>
      </c>
      <c r="F49" s="14">
        <v>1.00554077E9</v>
      </c>
      <c r="G49" s="9" t="s">
        <v>17</v>
      </c>
      <c r="H49" s="9" t="s">
        <v>18</v>
      </c>
      <c r="I49" s="9" t="s">
        <v>24</v>
      </c>
      <c r="J49" s="9" t="s">
        <v>19</v>
      </c>
      <c r="K49" s="9"/>
      <c r="L49" s="9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6"/>
      <c r="B50" s="6"/>
      <c r="C50" s="13"/>
      <c r="D50" s="8"/>
      <c r="E50" s="9"/>
      <c r="F50" s="14" t="s">
        <v>12</v>
      </c>
      <c r="G50" s="9" t="s">
        <v>12</v>
      </c>
      <c r="H50" s="9" t="s">
        <v>12</v>
      </c>
      <c r="I50" s="9" t="s">
        <v>12</v>
      </c>
      <c r="J50" s="9" t="s">
        <v>12</v>
      </c>
      <c r="K50" s="9"/>
      <c r="L50" s="9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6"/>
      <c r="B51" s="6"/>
      <c r="C51" s="13"/>
      <c r="D51" s="8"/>
      <c r="E51" s="9"/>
      <c r="F51" s="14" t="s">
        <v>12</v>
      </c>
      <c r="G51" s="9" t="s">
        <v>12</v>
      </c>
      <c r="H51" s="9" t="s">
        <v>12</v>
      </c>
      <c r="I51" s="9" t="s">
        <v>12</v>
      </c>
      <c r="J51" s="9" t="s">
        <v>12</v>
      </c>
      <c r="K51" s="9"/>
      <c r="L51" s="9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6" t="s">
        <v>122</v>
      </c>
      <c r="B52" s="16" t="s">
        <v>123</v>
      </c>
      <c r="C52" s="13">
        <v>45715.0</v>
      </c>
      <c r="D52" s="8" t="s">
        <v>124</v>
      </c>
      <c r="E52" s="9" t="s">
        <v>125</v>
      </c>
      <c r="F52" s="14">
        <v>1.098725439E9</v>
      </c>
      <c r="G52" s="9" t="s">
        <v>17</v>
      </c>
      <c r="H52" s="9" t="s">
        <v>18</v>
      </c>
      <c r="I52" s="9" t="s">
        <v>18</v>
      </c>
      <c r="J52" s="9" t="s">
        <v>19</v>
      </c>
      <c r="K52" s="9"/>
      <c r="L52" s="9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6"/>
      <c r="B53" s="6"/>
      <c r="C53" s="13"/>
      <c r="D53" s="8"/>
      <c r="E53" s="9"/>
      <c r="F53" s="14" t="s">
        <v>12</v>
      </c>
      <c r="G53" s="9" t="s">
        <v>12</v>
      </c>
      <c r="H53" s="9" t="s">
        <v>12</v>
      </c>
      <c r="I53" s="9" t="s">
        <v>12</v>
      </c>
      <c r="J53" s="9" t="s">
        <v>12</v>
      </c>
      <c r="K53" s="9"/>
      <c r="L53" s="9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6" t="s">
        <v>126</v>
      </c>
      <c r="B54" s="16" t="s">
        <v>127</v>
      </c>
      <c r="C54" s="13">
        <v>45715.0</v>
      </c>
      <c r="D54" s="8" t="s">
        <v>128</v>
      </c>
      <c r="E54" s="9" t="s">
        <v>129</v>
      </c>
      <c r="F54" s="14">
        <v>1.098743062E9</v>
      </c>
      <c r="G54" s="9" t="s">
        <v>17</v>
      </c>
      <c r="H54" s="9" t="s">
        <v>67</v>
      </c>
      <c r="I54" s="9" t="s">
        <v>67</v>
      </c>
      <c r="J54" s="9" t="s">
        <v>19</v>
      </c>
      <c r="K54" s="9"/>
      <c r="L54" s="9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6"/>
      <c r="B55" s="6"/>
      <c r="C55" s="13"/>
      <c r="D55" s="8"/>
      <c r="E55" s="9"/>
      <c r="F55" s="14" t="s">
        <v>12</v>
      </c>
      <c r="G55" s="9" t="s">
        <v>12</v>
      </c>
      <c r="H55" s="9" t="s">
        <v>12</v>
      </c>
      <c r="I55" s="9" t="s">
        <v>12</v>
      </c>
      <c r="J55" s="9" t="s">
        <v>12</v>
      </c>
      <c r="K55" s="9"/>
      <c r="L55" s="9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6" t="s">
        <v>130</v>
      </c>
      <c r="B56" s="16" t="s">
        <v>131</v>
      </c>
      <c r="C56" s="13">
        <v>45803.0</v>
      </c>
      <c r="D56" s="8" t="s">
        <v>132</v>
      </c>
      <c r="E56" s="9" t="s">
        <v>133</v>
      </c>
      <c r="F56" s="14">
        <v>9.1539846E7</v>
      </c>
      <c r="G56" s="9" t="s">
        <v>17</v>
      </c>
      <c r="H56" s="9" t="s">
        <v>18</v>
      </c>
      <c r="I56" s="9" t="s">
        <v>18</v>
      </c>
      <c r="J56" s="9" t="s">
        <v>19</v>
      </c>
      <c r="K56" s="9"/>
      <c r="L56" s="9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6" t="s">
        <v>134</v>
      </c>
      <c r="B57" s="16" t="s">
        <v>135</v>
      </c>
      <c r="C57" s="13">
        <v>45841.0</v>
      </c>
      <c r="D57" s="8" t="s">
        <v>136</v>
      </c>
      <c r="E57" s="9" t="s">
        <v>105</v>
      </c>
      <c r="F57" s="14">
        <v>1.095837427E9</v>
      </c>
      <c r="G57" s="9" t="s">
        <v>106</v>
      </c>
      <c r="H57" s="9" t="s">
        <v>18</v>
      </c>
      <c r="I57" s="9" t="s">
        <v>24</v>
      </c>
      <c r="J57" s="9" t="s">
        <v>107</v>
      </c>
      <c r="K57" s="9"/>
      <c r="L57" s="9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6" t="s">
        <v>137</v>
      </c>
      <c r="B58" s="16" t="s">
        <v>138</v>
      </c>
      <c r="C58" s="13">
        <v>45841.0</v>
      </c>
      <c r="D58" s="8" t="s">
        <v>139</v>
      </c>
      <c r="E58" s="9" t="s">
        <v>140</v>
      </c>
      <c r="F58" s="14">
        <v>5227620.0</v>
      </c>
      <c r="G58" s="9" t="s">
        <v>101</v>
      </c>
      <c r="H58" s="9" t="s">
        <v>24</v>
      </c>
      <c r="I58" s="9" t="s">
        <v>24</v>
      </c>
      <c r="J58" s="9" t="s">
        <v>19</v>
      </c>
      <c r="K58" s="9"/>
      <c r="L58" s="9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6"/>
      <c r="B59" s="6"/>
      <c r="C59" s="13"/>
      <c r="D59" s="8"/>
      <c r="E59" s="9"/>
      <c r="F59" s="14" t="s">
        <v>12</v>
      </c>
      <c r="G59" s="9" t="s">
        <v>12</v>
      </c>
      <c r="H59" s="9" t="s">
        <v>12</v>
      </c>
      <c r="I59" s="9" t="s">
        <v>12</v>
      </c>
      <c r="J59" s="9" t="s">
        <v>12</v>
      </c>
      <c r="K59" s="9"/>
      <c r="L59" s="9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6"/>
      <c r="B60" s="6"/>
      <c r="C60" s="13"/>
      <c r="D60" s="8"/>
      <c r="E60" s="9"/>
      <c r="F60" s="14" t="s">
        <v>12</v>
      </c>
      <c r="G60" s="9" t="s">
        <v>12</v>
      </c>
      <c r="H60" s="9" t="s">
        <v>12</v>
      </c>
      <c r="I60" s="9" t="s">
        <v>12</v>
      </c>
      <c r="J60" s="9" t="s">
        <v>12</v>
      </c>
      <c r="K60" s="9"/>
      <c r="L60" s="9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6"/>
      <c r="B61" s="6"/>
      <c r="C61" s="13"/>
      <c r="D61" s="8"/>
      <c r="E61" s="9"/>
      <c r="F61" s="14" t="s">
        <v>12</v>
      </c>
      <c r="G61" s="9" t="s">
        <v>12</v>
      </c>
      <c r="H61" s="9" t="s">
        <v>12</v>
      </c>
      <c r="I61" s="9" t="s">
        <v>12</v>
      </c>
      <c r="J61" s="9" t="s">
        <v>12</v>
      </c>
      <c r="K61" s="9"/>
      <c r="L61" s="9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6" t="s">
        <v>141</v>
      </c>
      <c r="B62" s="16" t="s">
        <v>142</v>
      </c>
      <c r="C62" s="13">
        <v>45841.0</v>
      </c>
      <c r="D62" s="8" t="s">
        <v>143</v>
      </c>
      <c r="E62" s="9" t="s">
        <v>144</v>
      </c>
      <c r="F62" s="14">
        <v>1.005259826E9</v>
      </c>
      <c r="G62" s="9" t="s">
        <v>101</v>
      </c>
      <c r="H62" s="9" t="s">
        <v>24</v>
      </c>
      <c r="I62" s="9" t="s">
        <v>24</v>
      </c>
      <c r="J62" s="9" t="s">
        <v>19</v>
      </c>
      <c r="K62" s="9"/>
      <c r="L62" s="9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6" t="s">
        <v>145</v>
      </c>
      <c r="B63" s="16" t="s">
        <v>146</v>
      </c>
      <c r="C63" s="13">
        <v>45841.0</v>
      </c>
      <c r="D63" s="8" t="s">
        <v>147</v>
      </c>
      <c r="E63" s="9" t="s">
        <v>148</v>
      </c>
      <c r="F63" s="14">
        <v>1.097492171E9</v>
      </c>
      <c r="G63" s="9" t="s">
        <v>101</v>
      </c>
      <c r="H63" s="9" t="s">
        <v>24</v>
      </c>
      <c r="I63" s="9" t="s">
        <v>24</v>
      </c>
      <c r="J63" s="9" t="s">
        <v>19</v>
      </c>
      <c r="K63" s="9"/>
      <c r="L63" s="9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6"/>
      <c r="B64" s="6"/>
      <c r="C64" s="13"/>
      <c r="D64" s="8"/>
      <c r="E64" s="9"/>
      <c r="F64" s="14" t="s">
        <v>12</v>
      </c>
      <c r="G64" s="9" t="s">
        <v>12</v>
      </c>
      <c r="H64" s="9" t="s">
        <v>12</v>
      </c>
      <c r="I64" s="9" t="s">
        <v>12</v>
      </c>
      <c r="J64" s="9" t="s">
        <v>12</v>
      </c>
      <c r="K64" s="9"/>
      <c r="L64" s="9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6" t="s">
        <v>149</v>
      </c>
      <c r="B65" s="16" t="s">
        <v>150</v>
      </c>
      <c r="C65" s="13">
        <v>45843.0</v>
      </c>
      <c r="D65" s="8" t="s">
        <v>151</v>
      </c>
      <c r="E65" s="9" t="s">
        <v>152</v>
      </c>
      <c r="F65" s="14">
        <v>1.095948014E9</v>
      </c>
      <c r="G65" s="9" t="s">
        <v>17</v>
      </c>
      <c r="H65" s="9" t="s">
        <v>18</v>
      </c>
      <c r="I65" s="9" t="s">
        <v>67</v>
      </c>
      <c r="J65" s="9" t="s">
        <v>19</v>
      </c>
      <c r="K65" s="9"/>
      <c r="L65" s="9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6" t="s">
        <v>153</v>
      </c>
      <c r="B66" s="16" t="s">
        <v>154</v>
      </c>
      <c r="C66" s="13">
        <v>45843.0</v>
      </c>
      <c r="D66" s="8" t="s">
        <v>155</v>
      </c>
      <c r="E66" s="9" t="s">
        <v>156</v>
      </c>
      <c r="F66" s="14">
        <v>1.098780114E9</v>
      </c>
      <c r="G66" s="9" t="s">
        <v>17</v>
      </c>
      <c r="H66" s="9" t="s">
        <v>24</v>
      </c>
      <c r="I66" s="9" t="s">
        <v>24</v>
      </c>
      <c r="J66" s="9" t="s">
        <v>19</v>
      </c>
      <c r="K66" s="9"/>
      <c r="L66" s="9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6"/>
      <c r="B67" s="6"/>
      <c r="C67" s="13"/>
      <c r="D67" s="8"/>
      <c r="E67" s="9"/>
      <c r="F67" s="14" t="s">
        <v>12</v>
      </c>
      <c r="G67" s="9" t="s">
        <v>12</v>
      </c>
      <c r="H67" s="9" t="s">
        <v>12</v>
      </c>
      <c r="I67" s="9" t="s">
        <v>12</v>
      </c>
      <c r="J67" s="9" t="s">
        <v>12</v>
      </c>
      <c r="K67" s="9"/>
      <c r="L67" s="9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6" t="s">
        <v>157</v>
      </c>
      <c r="B68" s="16" t="s">
        <v>158</v>
      </c>
      <c r="C68" s="13">
        <v>45843.0</v>
      </c>
      <c r="D68" s="8" t="s">
        <v>159</v>
      </c>
      <c r="E68" s="9" t="s">
        <v>160</v>
      </c>
      <c r="F68" s="14">
        <v>1.09591308E9</v>
      </c>
      <c r="G68" s="9" t="s">
        <v>17</v>
      </c>
      <c r="H68" s="9" t="s">
        <v>24</v>
      </c>
      <c r="I68" s="9" t="s">
        <v>24</v>
      </c>
      <c r="J68" s="9" t="s">
        <v>19</v>
      </c>
      <c r="K68" s="9"/>
      <c r="L68" s="9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6" t="s">
        <v>161</v>
      </c>
      <c r="B69" s="16" t="s">
        <v>162</v>
      </c>
      <c r="C69" s="13">
        <v>45895.0</v>
      </c>
      <c r="D69" s="8" t="s">
        <v>163</v>
      </c>
      <c r="E69" s="9" t="s">
        <v>105</v>
      </c>
      <c r="F69" s="14">
        <v>1.005449575E9</v>
      </c>
      <c r="G69" s="9" t="s">
        <v>106</v>
      </c>
      <c r="H69" s="9" t="s">
        <v>164</v>
      </c>
      <c r="I69" s="9" t="s">
        <v>164</v>
      </c>
      <c r="J69" s="9" t="s">
        <v>107</v>
      </c>
      <c r="K69" s="9"/>
      <c r="L69" s="9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6"/>
      <c r="B70" s="6"/>
      <c r="C70" s="13"/>
      <c r="D70" s="8"/>
      <c r="E70" s="9"/>
      <c r="F70" s="14" t="s">
        <v>12</v>
      </c>
      <c r="G70" s="9" t="s">
        <v>12</v>
      </c>
      <c r="H70" s="9" t="s">
        <v>12</v>
      </c>
      <c r="I70" s="9" t="s">
        <v>12</v>
      </c>
      <c r="J70" s="9" t="s">
        <v>12</v>
      </c>
      <c r="K70" s="9"/>
      <c r="L70" s="9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6"/>
      <c r="B71" s="6"/>
      <c r="C71" s="13"/>
      <c r="D71" s="8"/>
      <c r="E71" s="9"/>
      <c r="F71" s="14" t="s">
        <v>12</v>
      </c>
      <c r="G71" s="9" t="s">
        <v>12</v>
      </c>
      <c r="H71" s="9" t="s">
        <v>12</v>
      </c>
      <c r="I71" s="9" t="s">
        <v>12</v>
      </c>
      <c r="J71" s="9" t="s">
        <v>12</v>
      </c>
      <c r="K71" s="9"/>
      <c r="L71" s="9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6"/>
      <c r="B72" s="6"/>
      <c r="C72" s="13"/>
      <c r="D72" s="8"/>
      <c r="E72" s="9"/>
      <c r="F72" s="14" t="s">
        <v>12</v>
      </c>
      <c r="G72" s="9" t="s">
        <v>12</v>
      </c>
      <c r="H72" s="9" t="s">
        <v>12</v>
      </c>
      <c r="I72" s="9" t="s">
        <v>12</v>
      </c>
      <c r="J72" s="9" t="s">
        <v>12</v>
      </c>
      <c r="K72" s="9"/>
      <c r="L72" s="9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6"/>
      <c r="B73" s="6"/>
      <c r="C73" s="13"/>
      <c r="D73" s="8"/>
      <c r="E73" s="9"/>
      <c r="F73" s="14" t="s">
        <v>12</v>
      </c>
      <c r="G73" s="9" t="s">
        <v>12</v>
      </c>
      <c r="H73" s="9" t="s">
        <v>12</v>
      </c>
      <c r="I73" s="9" t="s">
        <v>12</v>
      </c>
      <c r="J73" s="9" t="s">
        <v>12</v>
      </c>
      <c r="K73" s="9"/>
      <c r="L73" s="9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6"/>
      <c r="B74" s="6"/>
      <c r="C74" s="13"/>
      <c r="D74" s="8"/>
      <c r="E74" s="9"/>
      <c r="F74" s="14" t="s">
        <v>12</v>
      </c>
      <c r="G74" s="9" t="s">
        <v>12</v>
      </c>
      <c r="H74" s="9" t="s">
        <v>12</v>
      </c>
      <c r="I74" s="9" t="s">
        <v>12</v>
      </c>
      <c r="J74" s="9" t="s">
        <v>12</v>
      </c>
      <c r="K74" s="9"/>
      <c r="L74" s="9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6"/>
      <c r="B75" s="6"/>
      <c r="C75" s="13"/>
      <c r="D75" s="8"/>
      <c r="E75" s="9"/>
      <c r="F75" s="14" t="s">
        <v>12</v>
      </c>
      <c r="G75" s="9" t="s">
        <v>12</v>
      </c>
      <c r="H75" s="9" t="s">
        <v>12</v>
      </c>
      <c r="I75" s="9" t="s">
        <v>12</v>
      </c>
      <c r="J75" s="9" t="s">
        <v>12</v>
      </c>
      <c r="K75" s="9"/>
      <c r="L75" s="9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6"/>
      <c r="B76" s="6"/>
      <c r="C76" s="13"/>
      <c r="D76" s="8"/>
      <c r="E76" s="9"/>
      <c r="F76" s="14" t="s">
        <v>12</v>
      </c>
      <c r="G76" s="9" t="s">
        <v>12</v>
      </c>
      <c r="H76" s="9" t="s">
        <v>12</v>
      </c>
      <c r="I76" s="9" t="s">
        <v>12</v>
      </c>
      <c r="J76" s="9" t="s">
        <v>12</v>
      </c>
      <c r="K76" s="9"/>
      <c r="L76" s="9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6"/>
      <c r="B77" s="6"/>
      <c r="C77" s="13"/>
      <c r="D77" s="8"/>
      <c r="E77" s="9"/>
      <c r="F77" s="14" t="s">
        <v>12</v>
      </c>
      <c r="G77" s="9" t="s">
        <v>12</v>
      </c>
      <c r="H77" s="9" t="s">
        <v>12</v>
      </c>
      <c r="I77" s="9" t="s">
        <v>12</v>
      </c>
      <c r="J77" s="9" t="s">
        <v>12</v>
      </c>
      <c r="K77" s="9"/>
      <c r="L77" s="9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6"/>
      <c r="B78" s="6"/>
      <c r="C78" s="13"/>
      <c r="D78" s="8"/>
      <c r="E78" s="9"/>
      <c r="F78" s="14" t="s">
        <v>12</v>
      </c>
      <c r="G78" s="9" t="s">
        <v>12</v>
      </c>
      <c r="H78" s="9" t="s">
        <v>12</v>
      </c>
      <c r="I78" s="9" t="s">
        <v>12</v>
      </c>
      <c r="J78" s="9" t="s">
        <v>12</v>
      </c>
      <c r="K78" s="9"/>
      <c r="L78" s="9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6"/>
      <c r="B79" s="6"/>
      <c r="C79" s="13"/>
      <c r="D79" s="8"/>
      <c r="E79" s="9"/>
      <c r="F79" s="14" t="s">
        <v>12</v>
      </c>
      <c r="G79" s="9" t="s">
        <v>12</v>
      </c>
      <c r="H79" s="9" t="s">
        <v>12</v>
      </c>
      <c r="I79" s="9" t="s">
        <v>12</v>
      </c>
      <c r="J79" s="9" t="s">
        <v>12</v>
      </c>
      <c r="K79" s="9"/>
      <c r="L79" s="9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6"/>
      <c r="B80" s="6"/>
      <c r="C80" s="13"/>
      <c r="D80" s="8"/>
      <c r="E80" s="9"/>
      <c r="F80" s="14" t="s">
        <v>12</v>
      </c>
      <c r="G80" s="9" t="s">
        <v>12</v>
      </c>
      <c r="H80" s="9" t="s">
        <v>12</v>
      </c>
      <c r="I80" s="9" t="s">
        <v>12</v>
      </c>
      <c r="J80" s="9" t="s">
        <v>12</v>
      </c>
      <c r="K80" s="9"/>
      <c r="L80" s="9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6"/>
      <c r="B81" s="6"/>
      <c r="C81" s="13"/>
      <c r="D81" s="8"/>
      <c r="E81" s="9"/>
      <c r="F81" s="14" t="s">
        <v>12</v>
      </c>
      <c r="G81" s="9" t="s">
        <v>12</v>
      </c>
      <c r="H81" s="9" t="s">
        <v>12</v>
      </c>
      <c r="I81" s="9" t="s">
        <v>12</v>
      </c>
      <c r="J81" s="9" t="s">
        <v>12</v>
      </c>
      <c r="K81" s="9"/>
      <c r="L81" s="9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6"/>
      <c r="B82" s="6"/>
      <c r="C82" s="13"/>
      <c r="D82" s="8"/>
      <c r="E82" s="9"/>
      <c r="F82" s="14" t="s">
        <v>12</v>
      </c>
      <c r="G82" s="9" t="s">
        <v>12</v>
      </c>
      <c r="H82" s="9" t="s">
        <v>12</v>
      </c>
      <c r="I82" s="9" t="s">
        <v>12</v>
      </c>
      <c r="J82" s="9" t="s">
        <v>12</v>
      </c>
      <c r="K82" s="9"/>
      <c r="L82" s="9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6"/>
      <c r="B83" s="6"/>
      <c r="C83" s="13"/>
      <c r="D83" s="8"/>
      <c r="E83" s="9"/>
      <c r="F83" s="14" t="s">
        <v>12</v>
      </c>
      <c r="G83" s="9" t="s">
        <v>12</v>
      </c>
      <c r="H83" s="9" t="s">
        <v>12</v>
      </c>
      <c r="I83" s="9" t="s">
        <v>12</v>
      </c>
      <c r="J83" s="9" t="s">
        <v>12</v>
      </c>
      <c r="K83" s="9"/>
      <c r="L83" s="9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6"/>
      <c r="B84" s="6"/>
      <c r="C84" s="13"/>
      <c r="D84" s="8"/>
      <c r="E84" s="9"/>
      <c r="F84" s="14" t="s">
        <v>12</v>
      </c>
      <c r="G84" s="9" t="s">
        <v>12</v>
      </c>
      <c r="H84" s="9" t="s">
        <v>12</v>
      </c>
      <c r="I84" s="9" t="s">
        <v>12</v>
      </c>
      <c r="J84" s="9" t="s">
        <v>12</v>
      </c>
      <c r="K84" s="9"/>
      <c r="L84" s="9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6"/>
      <c r="B85" s="6"/>
      <c r="C85" s="13"/>
      <c r="D85" s="8"/>
      <c r="E85" s="9"/>
      <c r="F85" s="14" t="s">
        <v>12</v>
      </c>
      <c r="G85" s="9" t="s">
        <v>12</v>
      </c>
      <c r="H85" s="9" t="s">
        <v>12</v>
      </c>
      <c r="I85" s="9" t="s">
        <v>12</v>
      </c>
      <c r="J85" s="9" t="s">
        <v>12</v>
      </c>
      <c r="K85" s="9"/>
      <c r="L85" s="9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6"/>
      <c r="B86" s="6"/>
      <c r="C86" s="13"/>
      <c r="D86" s="8"/>
      <c r="E86" s="9"/>
      <c r="F86" s="14" t="s">
        <v>12</v>
      </c>
      <c r="G86" s="9" t="s">
        <v>12</v>
      </c>
      <c r="H86" s="9" t="s">
        <v>12</v>
      </c>
      <c r="I86" s="9" t="s">
        <v>12</v>
      </c>
      <c r="J86" s="9" t="s">
        <v>12</v>
      </c>
      <c r="K86" s="9"/>
      <c r="L86" s="9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6"/>
      <c r="B87" s="6"/>
      <c r="C87" s="13"/>
      <c r="D87" s="8"/>
      <c r="E87" s="9"/>
      <c r="F87" s="14" t="s">
        <v>12</v>
      </c>
      <c r="G87" s="9" t="s">
        <v>12</v>
      </c>
      <c r="H87" s="9" t="s">
        <v>12</v>
      </c>
      <c r="I87" s="9" t="s">
        <v>12</v>
      </c>
      <c r="J87" s="9" t="s">
        <v>12</v>
      </c>
      <c r="K87" s="9"/>
      <c r="L87" s="9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6"/>
      <c r="B88" s="6"/>
      <c r="C88" s="13"/>
      <c r="D88" s="8"/>
      <c r="E88" s="9"/>
      <c r="F88" s="14" t="s">
        <v>12</v>
      </c>
      <c r="G88" s="9" t="s">
        <v>12</v>
      </c>
      <c r="H88" s="9" t="s">
        <v>12</v>
      </c>
      <c r="I88" s="9" t="s">
        <v>12</v>
      </c>
      <c r="J88" s="9" t="s">
        <v>12</v>
      </c>
      <c r="K88" s="9"/>
      <c r="L88" s="9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6"/>
      <c r="B89" s="6"/>
      <c r="C89" s="13"/>
      <c r="D89" s="8"/>
      <c r="E89" s="9"/>
      <c r="F89" s="14" t="s">
        <v>12</v>
      </c>
      <c r="G89" s="9" t="s">
        <v>12</v>
      </c>
      <c r="H89" s="9" t="s">
        <v>12</v>
      </c>
      <c r="I89" s="9" t="s">
        <v>12</v>
      </c>
      <c r="J89" s="9" t="s">
        <v>12</v>
      </c>
      <c r="K89" s="9"/>
      <c r="L89" s="9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6"/>
      <c r="B90" s="6"/>
      <c r="C90" s="13"/>
      <c r="D90" s="8"/>
      <c r="E90" s="9"/>
      <c r="F90" s="14" t="s">
        <v>12</v>
      </c>
      <c r="G90" s="9" t="s">
        <v>12</v>
      </c>
      <c r="H90" s="9" t="s">
        <v>12</v>
      </c>
      <c r="I90" s="9" t="s">
        <v>12</v>
      </c>
      <c r="J90" s="9" t="s">
        <v>12</v>
      </c>
      <c r="K90" s="9"/>
      <c r="L90" s="9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6"/>
      <c r="B91" s="6"/>
      <c r="C91" s="13"/>
      <c r="D91" s="8"/>
      <c r="E91" s="9"/>
      <c r="F91" s="14" t="s">
        <v>12</v>
      </c>
      <c r="G91" s="9" t="s">
        <v>12</v>
      </c>
      <c r="H91" s="9" t="s">
        <v>12</v>
      </c>
      <c r="I91" s="9" t="s">
        <v>12</v>
      </c>
      <c r="J91" s="9" t="s">
        <v>12</v>
      </c>
      <c r="K91" s="9"/>
      <c r="L91" s="9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6"/>
      <c r="B92" s="6"/>
      <c r="C92" s="13"/>
      <c r="D92" s="8"/>
      <c r="E92" s="9"/>
      <c r="F92" s="14" t="s">
        <v>12</v>
      </c>
      <c r="G92" s="9" t="s">
        <v>12</v>
      </c>
      <c r="H92" s="9" t="s">
        <v>12</v>
      </c>
      <c r="I92" s="9" t="s">
        <v>12</v>
      </c>
      <c r="J92" s="9" t="s">
        <v>12</v>
      </c>
      <c r="K92" s="9"/>
      <c r="L92" s="9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6"/>
      <c r="B93" s="6"/>
      <c r="C93" s="13"/>
      <c r="D93" s="8"/>
      <c r="E93" s="9"/>
      <c r="F93" s="14" t="s">
        <v>12</v>
      </c>
      <c r="G93" s="9" t="s">
        <v>12</v>
      </c>
      <c r="H93" s="9" t="s">
        <v>12</v>
      </c>
      <c r="I93" s="9" t="s">
        <v>12</v>
      </c>
      <c r="J93" s="9" t="s">
        <v>12</v>
      </c>
      <c r="K93" s="9"/>
      <c r="L93" s="9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6"/>
      <c r="B94" s="6"/>
      <c r="C94" s="13"/>
      <c r="D94" s="8"/>
      <c r="E94" s="9"/>
      <c r="F94" s="14" t="s">
        <v>12</v>
      </c>
      <c r="G94" s="9" t="s">
        <v>12</v>
      </c>
      <c r="H94" s="9" t="s">
        <v>12</v>
      </c>
      <c r="I94" s="9" t="s">
        <v>12</v>
      </c>
      <c r="J94" s="9" t="s">
        <v>12</v>
      </c>
      <c r="K94" s="9"/>
      <c r="L94" s="9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6"/>
      <c r="B95" s="6"/>
      <c r="C95" s="13"/>
      <c r="D95" s="8"/>
      <c r="E95" s="9"/>
      <c r="F95" s="14" t="s">
        <v>12</v>
      </c>
      <c r="G95" s="9" t="s">
        <v>12</v>
      </c>
      <c r="H95" s="9" t="s">
        <v>12</v>
      </c>
      <c r="I95" s="9" t="s">
        <v>12</v>
      </c>
      <c r="J95" s="9" t="s">
        <v>12</v>
      </c>
      <c r="K95" s="9"/>
      <c r="L95" s="9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6"/>
      <c r="B96" s="6"/>
      <c r="C96" s="13"/>
      <c r="D96" s="8"/>
      <c r="E96" s="9"/>
      <c r="F96" s="14" t="s">
        <v>12</v>
      </c>
      <c r="G96" s="9" t="s">
        <v>12</v>
      </c>
      <c r="H96" s="9" t="s">
        <v>12</v>
      </c>
      <c r="I96" s="9" t="s">
        <v>12</v>
      </c>
      <c r="J96" s="9" t="s">
        <v>12</v>
      </c>
      <c r="K96" s="9"/>
      <c r="L96" s="9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6"/>
      <c r="B97" s="6"/>
      <c r="C97" s="13"/>
      <c r="D97" s="8"/>
      <c r="E97" s="9"/>
      <c r="F97" s="14" t="s">
        <v>12</v>
      </c>
      <c r="G97" s="9" t="s">
        <v>12</v>
      </c>
      <c r="H97" s="9" t="s">
        <v>12</v>
      </c>
      <c r="I97" s="9" t="s">
        <v>12</v>
      </c>
      <c r="J97" s="9" t="s">
        <v>12</v>
      </c>
      <c r="K97" s="9"/>
      <c r="L97" s="9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6"/>
      <c r="B98" s="6"/>
      <c r="C98" s="13"/>
      <c r="D98" s="8"/>
      <c r="E98" s="9"/>
      <c r="F98" s="14" t="s">
        <v>12</v>
      </c>
      <c r="G98" s="9" t="s">
        <v>12</v>
      </c>
      <c r="H98" s="9" t="s">
        <v>12</v>
      </c>
      <c r="I98" s="9" t="s">
        <v>12</v>
      </c>
      <c r="J98" s="9" t="s">
        <v>12</v>
      </c>
      <c r="K98" s="9"/>
      <c r="L98" s="9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6"/>
      <c r="B99" s="6"/>
      <c r="C99" s="13"/>
      <c r="D99" s="8"/>
      <c r="E99" s="9"/>
      <c r="F99" s="14" t="s">
        <v>12</v>
      </c>
      <c r="G99" s="9" t="s">
        <v>12</v>
      </c>
      <c r="H99" s="9" t="s">
        <v>12</v>
      </c>
      <c r="I99" s="9" t="s">
        <v>12</v>
      </c>
      <c r="J99" s="9" t="s">
        <v>12</v>
      </c>
      <c r="K99" s="9"/>
      <c r="L99" s="9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6"/>
      <c r="B100" s="6"/>
      <c r="C100" s="13"/>
      <c r="D100" s="8"/>
      <c r="E100" s="9"/>
      <c r="F100" s="14" t="s">
        <v>12</v>
      </c>
      <c r="G100" s="9" t="s">
        <v>12</v>
      </c>
      <c r="H100" s="9" t="s">
        <v>12</v>
      </c>
      <c r="I100" s="9" t="s">
        <v>12</v>
      </c>
      <c r="J100" s="9" t="s">
        <v>12</v>
      </c>
      <c r="K100" s="9"/>
      <c r="L100" s="9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6"/>
      <c r="B101" s="6"/>
      <c r="C101" s="13"/>
      <c r="D101" s="8"/>
      <c r="E101" s="9"/>
      <c r="F101" s="14" t="s">
        <v>12</v>
      </c>
      <c r="G101" s="9" t="s">
        <v>12</v>
      </c>
      <c r="H101" s="9" t="s">
        <v>12</v>
      </c>
      <c r="I101" s="9" t="s">
        <v>12</v>
      </c>
      <c r="J101" s="9" t="s">
        <v>12</v>
      </c>
      <c r="K101" s="9"/>
      <c r="L101" s="9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6"/>
      <c r="B102" s="6"/>
      <c r="C102" s="13"/>
      <c r="D102" s="8"/>
      <c r="E102" s="9"/>
      <c r="F102" s="14" t="s">
        <v>12</v>
      </c>
      <c r="G102" s="9" t="s">
        <v>12</v>
      </c>
      <c r="H102" s="9" t="s">
        <v>12</v>
      </c>
      <c r="I102" s="9" t="s">
        <v>12</v>
      </c>
      <c r="J102" s="9" t="s">
        <v>12</v>
      </c>
      <c r="K102" s="9"/>
      <c r="L102" s="9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6"/>
      <c r="B103" s="6"/>
      <c r="C103" s="13"/>
      <c r="D103" s="8"/>
      <c r="E103" s="9"/>
      <c r="F103" s="14" t="s">
        <v>12</v>
      </c>
      <c r="G103" s="9" t="s">
        <v>12</v>
      </c>
      <c r="H103" s="9" t="s">
        <v>12</v>
      </c>
      <c r="I103" s="9" t="s">
        <v>12</v>
      </c>
      <c r="J103" s="9" t="s">
        <v>12</v>
      </c>
      <c r="K103" s="9"/>
      <c r="L103" s="9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6"/>
      <c r="B104" s="6"/>
      <c r="C104" s="13"/>
      <c r="D104" s="8"/>
      <c r="E104" s="9"/>
      <c r="F104" s="14" t="s">
        <v>12</v>
      </c>
      <c r="G104" s="9" t="s">
        <v>12</v>
      </c>
      <c r="H104" s="9" t="s">
        <v>12</v>
      </c>
      <c r="I104" s="9" t="s">
        <v>12</v>
      </c>
      <c r="J104" s="9" t="s">
        <v>12</v>
      </c>
      <c r="K104" s="9"/>
      <c r="L104" s="9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6"/>
      <c r="B105" s="6"/>
      <c r="C105" s="13"/>
      <c r="D105" s="8"/>
      <c r="E105" s="9"/>
      <c r="F105" s="14" t="s">
        <v>12</v>
      </c>
      <c r="G105" s="9" t="s">
        <v>12</v>
      </c>
      <c r="H105" s="9" t="s">
        <v>12</v>
      </c>
      <c r="I105" s="9" t="s">
        <v>12</v>
      </c>
      <c r="J105" s="9" t="s">
        <v>12</v>
      </c>
      <c r="K105" s="9"/>
      <c r="L105" s="9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6"/>
      <c r="B106" s="6"/>
      <c r="C106" s="13"/>
      <c r="D106" s="8"/>
      <c r="E106" s="9"/>
      <c r="F106" s="14" t="s">
        <v>12</v>
      </c>
      <c r="G106" s="9" t="s">
        <v>12</v>
      </c>
      <c r="H106" s="9" t="s">
        <v>12</v>
      </c>
      <c r="I106" s="9" t="s">
        <v>12</v>
      </c>
      <c r="J106" s="9" t="s">
        <v>12</v>
      </c>
      <c r="K106" s="9"/>
      <c r="L106" s="9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6"/>
      <c r="B107" s="6"/>
      <c r="C107" s="13"/>
      <c r="D107" s="8"/>
      <c r="E107" s="9"/>
      <c r="F107" s="14" t="s">
        <v>12</v>
      </c>
      <c r="G107" s="9" t="s">
        <v>12</v>
      </c>
      <c r="H107" s="9" t="s">
        <v>12</v>
      </c>
      <c r="I107" s="9" t="s">
        <v>12</v>
      </c>
      <c r="J107" s="9" t="s">
        <v>12</v>
      </c>
      <c r="K107" s="9"/>
      <c r="L107" s="9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6"/>
      <c r="B108" s="6"/>
      <c r="C108" s="13"/>
      <c r="D108" s="8"/>
      <c r="E108" s="9"/>
      <c r="F108" s="14" t="s">
        <v>12</v>
      </c>
      <c r="G108" s="9" t="s">
        <v>12</v>
      </c>
      <c r="H108" s="9" t="s">
        <v>12</v>
      </c>
      <c r="I108" s="9" t="s">
        <v>12</v>
      </c>
      <c r="J108" s="9" t="s">
        <v>12</v>
      </c>
      <c r="K108" s="9"/>
      <c r="L108" s="9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6"/>
      <c r="B109" s="6"/>
      <c r="C109" s="13"/>
      <c r="D109" s="8"/>
      <c r="E109" s="9"/>
      <c r="F109" s="14" t="s">
        <v>12</v>
      </c>
      <c r="G109" s="9" t="s">
        <v>12</v>
      </c>
      <c r="H109" s="9" t="s">
        <v>12</v>
      </c>
      <c r="I109" s="9" t="s">
        <v>12</v>
      </c>
      <c r="J109" s="9" t="s">
        <v>12</v>
      </c>
      <c r="K109" s="9"/>
      <c r="L109" s="9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6"/>
      <c r="B110" s="6"/>
      <c r="C110" s="13"/>
      <c r="D110" s="8"/>
      <c r="E110" s="9"/>
      <c r="F110" s="14" t="s">
        <v>12</v>
      </c>
      <c r="G110" s="9" t="s">
        <v>12</v>
      </c>
      <c r="H110" s="9" t="s">
        <v>12</v>
      </c>
      <c r="I110" s="9" t="s">
        <v>12</v>
      </c>
      <c r="J110" s="9" t="s">
        <v>12</v>
      </c>
      <c r="K110" s="9"/>
      <c r="L110" s="9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6"/>
      <c r="B111" s="6"/>
      <c r="C111" s="13"/>
      <c r="D111" s="8"/>
      <c r="E111" s="9"/>
      <c r="F111" s="14" t="s">
        <v>12</v>
      </c>
      <c r="G111" s="9" t="s">
        <v>12</v>
      </c>
      <c r="H111" s="9" t="s">
        <v>12</v>
      </c>
      <c r="I111" s="9" t="s">
        <v>12</v>
      </c>
      <c r="J111" s="9" t="s">
        <v>12</v>
      </c>
      <c r="K111" s="9"/>
      <c r="L111" s="9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6"/>
      <c r="B112" s="6"/>
      <c r="C112" s="13"/>
      <c r="D112" s="8"/>
      <c r="E112" s="9"/>
      <c r="F112" s="14" t="s">
        <v>12</v>
      </c>
      <c r="G112" s="9" t="s">
        <v>12</v>
      </c>
      <c r="H112" s="9" t="s">
        <v>12</v>
      </c>
      <c r="I112" s="9" t="s">
        <v>12</v>
      </c>
      <c r="J112" s="9" t="s">
        <v>12</v>
      </c>
      <c r="K112" s="9"/>
      <c r="L112" s="9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6"/>
      <c r="B113" s="6"/>
      <c r="C113" s="13"/>
      <c r="D113" s="8"/>
      <c r="E113" s="9"/>
      <c r="F113" s="14" t="s">
        <v>12</v>
      </c>
      <c r="G113" s="9" t="s">
        <v>12</v>
      </c>
      <c r="H113" s="9" t="s">
        <v>12</v>
      </c>
      <c r="I113" s="9" t="s">
        <v>12</v>
      </c>
      <c r="J113" s="9" t="s">
        <v>12</v>
      </c>
      <c r="K113" s="9"/>
      <c r="L113" s="9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6"/>
      <c r="B114" s="6"/>
      <c r="C114" s="13"/>
      <c r="D114" s="8"/>
      <c r="E114" s="9"/>
      <c r="F114" s="14" t="s">
        <v>12</v>
      </c>
      <c r="G114" s="9" t="s">
        <v>12</v>
      </c>
      <c r="H114" s="9" t="s">
        <v>12</v>
      </c>
      <c r="I114" s="9" t="s">
        <v>12</v>
      </c>
      <c r="J114" s="9" t="s">
        <v>12</v>
      </c>
      <c r="K114" s="9"/>
      <c r="L114" s="9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6"/>
      <c r="B115" s="6"/>
      <c r="C115" s="13"/>
      <c r="D115" s="8"/>
      <c r="E115" s="9"/>
      <c r="F115" s="14" t="s">
        <v>12</v>
      </c>
      <c r="G115" s="9" t="s">
        <v>12</v>
      </c>
      <c r="H115" s="9" t="s">
        <v>12</v>
      </c>
      <c r="I115" s="9" t="s">
        <v>12</v>
      </c>
      <c r="J115" s="9" t="s">
        <v>12</v>
      </c>
      <c r="K115" s="9"/>
      <c r="L115" s="9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6"/>
      <c r="B116" s="6"/>
      <c r="C116" s="13"/>
      <c r="D116" s="8"/>
      <c r="E116" s="9"/>
      <c r="F116" s="14" t="s">
        <v>12</v>
      </c>
      <c r="G116" s="9" t="s">
        <v>12</v>
      </c>
      <c r="H116" s="9" t="s">
        <v>12</v>
      </c>
      <c r="I116" s="9" t="s">
        <v>12</v>
      </c>
      <c r="J116" s="9" t="s">
        <v>12</v>
      </c>
      <c r="K116" s="9"/>
      <c r="L116" s="9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6"/>
      <c r="B117" s="6"/>
      <c r="C117" s="13"/>
      <c r="D117" s="8"/>
      <c r="E117" s="9"/>
      <c r="F117" s="14" t="s">
        <v>12</v>
      </c>
      <c r="G117" s="9" t="s">
        <v>12</v>
      </c>
      <c r="H117" s="9" t="s">
        <v>12</v>
      </c>
      <c r="I117" s="9" t="s">
        <v>12</v>
      </c>
      <c r="J117" s="9" t="s">
        <v>12</v>
      </c>
      <c r="K117" s="9"/>
      <c r="L117" s="9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6"/>
      <c r="B118" s="6"/>
      <c r="C118" s="13"/>
      <c r="D118" s="8"/>
      <c r="E118" s="9"/>
      <c r="F118" s="14" t="s">
        <v>12</v>
      </c>
      <c r="G118" s="9" t="s">
        <v>12</v>
      </c>
      <c r="H118" s="9" t="s">
        <v>12</v>
      </c>
      <c r="I118" s="9" t="s">
        <v>12</v>
      </c>
      <c r="J118" s="9" t="s">
        <v>12</v>
      </c>
      <c r="K118" s="9"/>
      <c r="L118" s="9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6"/>
      <c r="B119" s="6"/>
      <c r="C119" s="13"/>
      <c r="D119" s="8"/>
      <c r="E119" s="9"/>
      <c r="F119" s="14" t="s">
        <v>12</v>
      </c>
      <c r="G119" s="9" t="s">
        <v>12</v>
      </c>
      <c r="H119" s="9" t="s">
        <v>12</v>
      </c>
      <c r="I119" s="9" t="s">
        <v>12</v>
      </c>
      <c r="J119" s="9" t="s">
        <v>12</v>
      </c>
      <c r="K119" s="9"/>
      <c r="L119" s="9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6"/>
      <c r="B120" s="6"/>
      <c r="C120" s="13"/>
      <c r="D120" s="8"/>
      <c r="E120" s="9"/>
      <c r="F120" s="14" t="s">
        <v>12</v>
      </c>
      <c r="G120" s="9" t="s">
        <v>12</v>
      </c>
      <c r="H120" s="9" t="s">
        <v>12</v>
      </c>
      <c r="I120" s="9" t="s">
        <v>12</v>
      </c>
      <c r="J120" s="9" t="s">
        <v>12</v>
      </c>
      <c r="K120" s="9"/>
      <c r="L120" s="9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6"/>
      <c r="B121" s="6"/>
      <c r="C121" s="13"/>
      <c r="D121" s="8"/>
      <c r="E121" s="9"/>
      <c r="F121" s="14" t="s">
        <v>12</v>
      </c>
      <c r="G121" s="9" t="s">
        <v>12</v>
      </c>
      <c r="H121" s="9" t="s">
        <v>12</v>
      </c>
      <c r="I121" s="9" t="s">
        <v>12</v>
      </c>
      <c r="J121" s="9" t="s">
        <v>12</v>
      </c>
      <c r="K121" s="9"/>
      <c r="L121" s="9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6"/>
      <c r="B122" s="6"/>
      <c r="C122" s="13"/>
      <c r="D122" s="8"/>
      <c r="E122" s="9"/>
      <c r="F122" s="14" t="s">
        <v>12</v>
      </c>
      <c r="G122" s="9" t="s">
        <v>12</v>
      </c>
      <c r="H122" s="9" t="s">
        <v>12</v>
      </c>
      <c r="I122" s="9" t="s">
        <v>12</v>
      </c>
      <c r="J122" s="9" t="s">
        <v>12</v>
      </c>
      <c r="K122" s="9"/>
      <c r="L122" s="9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6"/>
      <c r="B123" s="6"/>
      <c r="C123" s="13"/>
      <c r="D123" s="8"/>
      <c r="E123" s="9"/>
      <c r="F123" s="14" t="s">
        <v>12</v>
      </c>
      <c r="G123" s="9" t="s">
        <v>12</v>
      </c>
      <c r="H123" s="9" t="s">
        <v>12</v>
      </c>
      <c r="I123" s="9" t="s">
        <v>12</v>
      </c>
      <c r="J123" s="9" t="s">
        <v>12</v>
      </c>
      <c r="K123" s="9"/>
      <c r="L123" s="9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6"/>
      <c r="B124" s="6"/>
      <c r="C124" s="13"/>
      <c r="D124" s="8"/>
      <c r="E124" s="9"/>
      <c r="F124" s="14" t="s">
        <v>12</v>
      </c>
      <c r="G124" s="9" t="s">
        <v>12</v>
      </c>
      <c r="H124" s="9" t="s">
        <v>12</v>
      </c>
      <c r="I124" s="9" t="s">
        <v>12</v>
      </c>
      <c r="J124" s="9" t="s">
        <v>12</v>
      </c>
      <c r="K124" s="9"/>
      <c r="L124" s="9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6"/>
      <c r="B125" s="6"/>
      <c r="C125" s="13"/>
      <c r="D125" s="8"/>
      <c r="E125" s="9"/>
      <c r="F125" s="14" t="s">
        <v>12</v>
      </c>
      <c r="G125" s="9" t="s">
        <v>12</v>
      </c>
      <c r="H125" s="9" t="s">
        <v>12</v>
      </c>
      <c r="I125" s="9" t="s">
        <v>12</v>
      </c>
      <c r="J125" s="9" t="s">
        <v>12</v>
      </c>
      <c r="K125" s="9"/>
      <c r="L125" s="9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6"/>
      <c r="B126" s="6"/>
      <c r="C126" s="13"/>
      <c r="D126" s="8"/>
      <c r="E126" s="9"/>
      <c r="F126" s="14" t="s">
        <v>12</v>
      </c>
      <c r="G126" s="9" t="s">
        <v>12</v>
      </c>
      <c r="H126" s="9" t="s">
        <v>12</v>
      </c>
      <c r="I126" s="9" t="s">
        <v>12</v>
      </c>
      <c r="J126" s="9" t="s">
        <v>12</v>
      </c>
      <c r="K126" s="9"/>
      <c r="L126" s="9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6"/>
      <c r="B127" s="6"/>
      <c r="C127" s="13"/>
      <c r="D127" s="8"/>
      <c r="E127" s="9"/>
      <c r="F127" s="14" t="s">
        <v>12</v>
      </c>
      <c r="G127" s="9" t="s">
        <v>12</v>
      </c>
      <c r="H127" s="9" t="s">
        <v>12</v>
      </c>
      <c r="I127" s="9" t="s">
        <v>12</v>
      </c>
      <c r="J127" s="9" t="s">
        <v>12</v>
      </c>
      <c r="K127" s="9"/>
      <c r="L127" s="9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6"/>
      <c r="B128" s="6"/>
      <c r="C128" s="13"/>
      <c r="D128" s="8"/>
      <c r="E128" s="9"/>
      <c r="F128" s="14" t="s">
        <v>12</v>
      </c>
      <c r="G128" s="9" t="s">
        <v>12</v>
      </c>
      <c r="H128" s="9" t="s">
        <v>12</v>
      </c>
      <c r="I128" s="9" t="s">
        <v>12</v>
      </c>
      <c r="J128" s="9" t="s">
        <v>12</v>
      </c>
      <c r="K128" s="9"/>
      <c r="L128" s="9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6"/>
      <c r="B129" s="6"/>
      <c r="C129" s="13"/>
      <c r="D129" s="8"/>
      <c r="E129" s="9"/>
      <c r="F129" s="14" t="s">
        <v>12</v>
      </c>
      <c r="G129" s="9" t="s">
        <v>12</v>
      </c>
      <c r="H129" s="9" t="s">
        <v>12</v>
      </c>
      <c r="I129" s="9" t="s">
        <v>12</v>
      </c>
      <c r="J129" s="9" t="s">
        <v>12</v>
      </c>
      <c r="K129" s="9"/>
      <c r="L129" s="9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6"/>
      <c r="B130" s="6"/>
      <c r="C130" s="13"/>
      <c r="D130" s="8"/>
      <c r="E130" s="9"/>
      <c r="F130" s="14" t="s">
        <v>12</v>
      </c>
      <c r="G130" s="9" t="s">
        <v>12</v>
      </c>
      <c r="H130" s="9" t="s">
        <v>12</v>
      </c>
      <c r="I130" s="9" t="s">
        <v>12</v>
      </c>
      <c r="J130" s="9" t="s">
        <v>12</v>
      </c>
      <c r="K130" s="9"/>
      <c r="L130" s="9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6"/>
      <c r="B131" s="6"/>
      <c r="C131" s="13"/>
      <c r="D131" s="8"/>
      <c r="E131" s="9"/>
      <c r="F131" s="14" t="s">
        <v>12</v>
      </c>
      <c r="G131" s="9" t="s">
        <v>12</v>
      </c>
      <c r="H131" s="9" t="s">
        <v>12</v>
      </c>
      <c r="I131" s="9" t="s">
        <v>12</v>
      </c>
      <c r="J131" s="9" t="s">
        <v>12</v>
      </c>
      <c r="K131" s="9"/>
      <c r="L131" s="9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6"/>
      <c r="B132" s="6"/>
      <c r="C132" s="13"/>
      <c r="D132" s="8"/>
      <c r="E132" s="9"/>
      <c r="F132" s="14" t="s">
        <v>12</v>
      </c>
      <c r="G132" s="9" t="s">
        <v>12</v>
      </c>
      <c r="H132" s="9" t="s">
        <v>12</v>
      </c>
      <c r="I132" s="9" t="s">
        <v>12</v>
      </c>
      <c r="J132" s="9" t="s">
        <v>12</v>
      </c>
      <c r="K132" s="9"/>
      <c r="L132" s="9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6"/>
      <c r="B133" s="6"/>
      <c r="C133" s="13"/>
      <c r="D133" s="8"/>
      <c r="E133" s="9"/>
      <c r="F133" s="14" t="s">
        <v>12</v>
      </c>
      <c r="G133" s="9" t="s">
        <v>12</v>
      </c>
      <c r="H133" s="9" t="s">
        <v>12</v>
      </c>
      <c r="I133" s="9" t="s">
        <v>12</v>
      </c>
      <c r="J133" s="9" t="s">
        <v>12</v>
      </c>
      <c r="K133" s="9"/>
      <c r="L133" s="9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6"/>
      <c r="B134" s="6"/>
      <c r="C134" s="13"/>
      <c r="D134" s="8"/>
      <c r="E134" s="9"/>
      <c r="F134" s="14" t="s">
        <v>12</v>
      </c>
      <c r="G134" s="9" t="s">
        <v>12</v>
      </c>
      <c r="H134" s="9" t="s">
        <v>12</v>
      </c>
      <c r="I134" s="9" t="s">
        <v>12</v>
      </c>
      <c r="J134" s="9" t="s">
        <v>12</v>
      </c>
      <c r="K134" s="9"/>
      <c r="L134" s="9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6"/>
      <c r="B135" s="6"/>
      <c r="C135" s="13"/>
      <c r="D135" s="8"/>
      <c r="E135" s="9"/>
      <c r="F135" s="14" t="s">
        <v>12</v>
      </c>
      <c r="G135" s="9" t="s">
        <v>12</v>
      </c>
      <c r="H135" s="9" t="s">
        <v>12</v>
      </c>
      <c r="I135" s="9" t="s">
        <v>12</v>
      </c>
      <c r="J135" s="9" t="s">
        <v>12</v>
      </c>
      <c r="K135" s="9"/>
      <c r="L135" s="9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6"/>
      <c r="B136" s="6"/>
      <c r="C136" s="13"/>
      <c r="D136" s="8"/>
      <c r="E136" s="9"/>
      <c r="F136" s="14" t="s">
        <v>12</v>
      </c>
      <c r="G136" s="9" t="s">
        <v>12</v>
      </c>
      <c r="H136" s="9" t="s">
        <v>12</v>
      </c>
      <c r="I136" s="9" t="s">
        <v>12</v>
      </c>
      <c r="J136" s="9" t="s">
        <v>12</v>
      </c>
      <c r="K136" s="9"/>
      <c r="L136" s="9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6"/>
      <c r="B137" s="6"/>
      <c r="C137" s="13"/>
      <c r="D137" s="8"/>
      <c r="E137" s="9"/>
      <c r="F137" s="14" t="s">
        <v>12</v>
      </c>
      <c r="G137" s="9" t="s">
        <v>12</v>
      </c>
      <c r="H137" s="9" t="s">
        <v>12</v>
      </c>
      <c r="I137" s="9" t="s">
        <v>12</v>
      </c>
      <c r="J137" s="9" t="s">
        <v>12</v>
      </c>
      <c r="K137" s="9"/>
      <c r="L137" s="9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6"/>
      <c r="B138" s="6"/>
      <c r="C138" s="13"/>
      <c r="D138" s="8"/>
      <c r="E138" s="9"/>
      <c r="F138" s="14" t="s">
        <v>12</v>
      </c>
      <c r="G138" s="9" t="s">
        <v>12</v>
      </c>
      <c r="H138" s="9" t="s">
        <v>12</v>
      </c>
      <c r="I138" s="9" t="s">
        <v>12</v>
      </c>
      <c r="J138" s="9" t="s">
        <v>12</v>
      </c>
      <c r="K138" s="9"/>
      <c r="L138" s="9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6"/>
      <c r="B139" s="6"/>
      <c r="C139" s="13"/>
      <c r="D139" s="8"/>
      <c r="E139" s="9"/>
      <c r="F139" s="14" t="s">
        <v>12</v>
      </c>
      <c r="G139" s="9" t="s">
        <v>12</v>
      </c>
      <c r="H139" s="9" t="s">
        <v>12</v>
      </c>
      <c r="I139" s="9" t="s">
        <v>12</v>
      </c>
      <c r="J139" s="9" t="s">
        <v>12</v>
      </c>
      <c r="K139" s="9"/>
      <c r="L139" s="9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6"/>
      <c r="B140" s="6"/>
      <c r="C140" s="13"/>
      <c r="D140" s="8"/>
      <c r="E140" s="9"/>
      <c r="F140" s="14" t="s">
        <v>12</v>
      </c>
      <c r="G140" s="9" t="s">
        <v>12</v>
      </c>
      <c r="H140" s="9" t="s">
        <v>12</v>
      </c>
      <c r="I140" s="9" t="s">
        <v>12</v>
      </c>
      <c r="J140" s="9" t="s">
        <v>12</v>
      </c>
      <c r="K140" s="9"/>
      <c r="L140" s="9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6"/>
      <c r="B141" s="6"/>
      <c r="C141" s="13"/>
      <c r="D141" s="8"/>
      <c r="E141" s="9"/>
      <c r="F141" s="14" t="s">
        <v>12</v>
      </c>
      <c r="G141" s="9" t="s">
        <v>12</v>
      </c>
      <c r="H141" s="9" t="s">
        <v>12</v>
      </c>
      <c r="I141" s="9" t="s">
        <v>12</v>
      </c>
      <c r="J141" s="9" t="s">
        <v>12</v>
      </c>
      <c r="K141" s="9"/>
      <c r="L141" s="9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6"/>
      <c r="B142" s="6"/>
      <c r="C142" s="13"/>
      <c r="D142" s="8"/>
      <c r="E142" s="9"/>
      <c r="F142" s="14" t="s">
        <v>12</v>
      </c>
      <c r="G142" s="9" t="s">
        <v>12</v>
      </c>
      <c r="H142" s="9" t="s">
        <v>12</v>
      </c>
      <c r="I142" s="9" t="s">
        <v>12</v>
      </c>
      <c r="J142" s="9" t="s">
        <v>12</v>
      </c>
      <c r="K142" s="9"/>
      <c r="L142" s="9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6"/>
      <c r="B143" s="6"/>
      <c r="C143" s="13"/>
      <c r="D143" s="8"/>
      <c r="E143" s="9"/>
      <c r="F143" s="14" t="s">
        <v>12</v>
      </c>
      <c r="G143" s="9" t="s">
        <v>12</v>
      </c>
      <c r="H143" s="9" t="s">
        <v>12</v>
      </c>
      <c r="I143" s="9" t="s">
        <v>12</v>
      </c>
      <c r="J143" s="9" t="s">
        <v>12</v>
      </c>
      <c r="K143" s="9"/>
      <c r="L143" s="9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6"/>
      <c r="B144" s="6"/>
      <c r="C144" s="13"/>
      <c r="D144" s="8"/>
      <c r="E144" s="9"/>
      <c r="F144" s="14" t="s">
        <v>12</v>
      </c>
      <c r="G144" s="9" t="s">
        <v>12</v>
      </c>
      <c r="H144" s="9" t="s">
        <v>12</v>
      </c>
      <c r="I144" s="9" t="s">
        <v>12</v>
      </c>
      <c r="J144" s="9" t="s">
        <v>12</v>
      </c>
      <c r="K144" s="9"/>
      <c r="L144" s="9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6"/>
      <c r="B145" s="6"/>
      <c r="C145" s="13"/>
      <c r="D145" s="8"/>
      <c r="E145" s="9"/>
      <c r="F145" s="14" t="s">
        <v>12</v>
      </c>
      <c r="G145" s="9" t="s">
        <v>12</v>
      </c>
      <c r="H145" s="9" t="s">
        <v>12</v>
      </c>
      <c r="I145" s="9" t="s">
        <v>12</v>
      </c>
      <c r="J145" s="9" t="s">
        <v>12</v>
      </c>
      <c r="K145" s="9"/>
      <c r="L145" s="9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6"/>
      <c r="B146" s="6"/>
      <c r="C146" s="13"/>
      <c r="D146" s="8"/>
      <c r="E146" s="9"/>
      <c r="F146" s="14" t="s">
        <v>12</v>
      </c>
      <c r="G146" s="9" t="s">
        <v>12</v>
      </c>
      <c r="H146" s="9" t="s">
        <v>12</v>
      </c>
      <c r="I146" s="9" t="s">
        <v>12</v>
      </c>
      <c r="J146" s="9" t="s">
        <v>12</v>
      </c>
      <c r="K146" s="9"/>
      <c r="L146" s="9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6"/>
      <c r="B147" s="6"/>
      <c r="C147" s="13"/>
      <c r="D147" s="8"/>
      <c r="E147" s="9"/>
      <c r="F147" s="14" t="s">
        <v>12</v>
      </c>
      <c r="G147" s="9" t="s">
        <v>12</v>
      </c>
      <c r="H147" s="9" t="s">
        <v>12</v>
      </c>
      <c r="I147" s="9" t="s">
        <v>12</v>
      </c>
      <c r="J147" s="9" t="s">
        <v>12</v>
      </c>
      <c r="K147" s="9"/>
      <c r="L147" s="9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6"/>
      <c r="B148" s="6"/>
      <c r="C148" s="13"/>
      <c r="D148" s="8"/>
      <c r="E148" s="9"/>
      <c r="F148" s="14" t="s">
        <v>12</v>
      </c>
      <c r="G148" s="9" t="s">
        <v>12</v>
      </c>
      <c r="H148" s="9" t="s">
        <v>12</v>
      </c>
      <c r="I148" s="9" t="s">
        <v>12</v>
      </c>
      <c r="J148" s="9" t="s">
        <v>12</v>
      </c>
      <c r="K148" s="9"/>
      <c r="L148" s="9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6"/>
      <c r="B149" s="6"/>
      <c r="C149" s="13"/>
      <c r="D149" s="8"/>
      <c r="E149" s="9"/>
      <c r="F149" s="14" t="s">
        <v>12</v>
      </c>
      <c r="G149" s="9" t="s">
        <v>12</v>
      </c>
      <c r="H149" s="9" t="s">
        <v>12</v>
      </c>
      <c r="I149" s="9" t="s">
        <v>12</v>
      </c>
      <c r="J149" s="9" t="s">
        <v>12</v>
      </c>
      <c r="K149" s="9"/>
      <c r="L149" s="9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6"/>
      <c r="B150" s="6"/>
      <c r="C150" s="13"/>
      <c r="D150" s="8"/>
      <c r="E150" s="9"/>
      <c r="F150" s="14" t="s">
        <v>12</v>
      </c>
      <c r="G150" s="9" t="s">
        <v>12</v>
      </c>
      <c r="H150" s="9" t="s">
        <v>12</v>
      </c>
      <c r="I150" s="9" t="s">
        <v>12</v>
      </c>
      <c r="J150" s="9" t="s">
        <v>12</v>
      </c>
      <c r="K150" s="9"/>
      <c r="L150" s="9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6"/>
      <c r="B151" s="6"/>
      <c r="C151" s="13"/>
      <c r="D151" s="8"/>
      <c r="E151" s="9"/>
      <c r="F151" s="14" t="s">
        <v>12</v>
      </c>
      <c r="G151" s="9" t="s">
        <v>12</v>
      </c>
      <c r="H151" s="9" t="s">
        <v>12</v>
      </c>
      <c r="I151" s="9" t="s">
        <v>12</v>
      </c>
      <c r="J151" s="9" t="s">
        <v>12</v>
      </c>
      <c r="K151" s="9"/>
      <c r="L151" s="9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6"/>
      <c r="B152" s="6"/>
      <c r="C152" s="13"/>
      <c r="D152" s="8"/>
      <c r="E152" s="9"/>
      <c r="F152" s="14" t="s">
        <v>12</v>
      </c>
      <c r="G152" s="9" t="s">
        <v>12</v>
      </c>
      <c r="H152" s="9" t="s">
        <v>12</v>
      </c>
      <c r="I152" s="9" t="s">
        <v>12</v>
      </c>
      <c r="J152" s="9" t="s">
        <v>12</v>
      </c>
      <c r="K152" s="9"/>
      <c r="L152" s="9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6"/>
      <c r="B153" s="6"/>
      <c r="C153" s="13"/>
      <c r="D153" s="8"/>
      <c r="E153" s="9"/>
      <c r="F153" s="14" t="s">
        <v>12</v>
      </c>
      <c r="G153" s="9" t="s">
        <v>12</v>
      </c>
      <c r="H153" s="9" t="s">
        <v>12</v>
      </c>
      <c r="I153" s="9" t="s">
        <v>12</v>
      </c>
      <c r="J153" s="9" t="s">
        <v>12</v>
      </c>
      <c r="K153" s="9"/>
      <c r="L153" s="9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6"/>
      <c r="B154" s="6"/>
      <c r="C154" s="13"/>
      <c r="D154" s="8"/>
      <c r="E154" s="9"/>
      <c r="F154" s="14" t="s">
        <v>12</v>
      </c>
      <c r="G154" s="9" t="s">
        <v>12</v>
      </c>
      <c r="H154" s="9" t="s">
        <v>12</v>
      </c>
      <c r="I154" s="9" t="s">
        <v>12</v>
      </c>
      <c r="J154" s="9" t="s">
        <v>12</v>
      </c>
      <c r="K154" s="9"/>
      <c r="L154" s="9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6"/>
      <c r="B155" s="6"/>
      <c r="C155" s="13"/>
      <c r="D155" s="8"/>
      <c r="E155" s="9"/>
      <c r="F155" s="14" t="s">
        <v>12</v>
      </c>
      <c r="G155" s="9" t="s">
        <v>12</v>
      </c>
      <c r="H155" s="9" t="s">
        <v>12</v>
      </c>
      <c r="I155" s="9" t="s">
        <v>12</v>
      </c>
      <c r="J155" s="9" t="s">
        <v>12</v>
      </c>
      <c r="K155" s="9"/>
      <c r="L155" s="9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6"/>
      <c r="B156" s="6"/>
      <c r="C156" s="13"/>
      <c r="D156" s="8"/>
      <c r="E156" s="9"/>
      <c r="F156" s="14" t="s">
        <v>12</v>
      </c>
      <c r="G156" s="9" t="s">
        <v>12</v>
      </c>
      <c r="H156" s="9" t="s">
        <v>12</v>
      </c>
      <c r="I156" s="9" t="s">
        <v>12</v>
      </c>
      <c r="J156" s="9" t="s">
        <v>12</v>
      </c>
      <c r="K156" s="9"/>
      <c r="L156" s="9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6"/>
      <c r="B157" s="6"/>
      <c r="C157" s="13"/>
      <c r="D157" s="8"/>
      <c r="E157" s="9"/>
      <c r="F157" s="14" t="s">
        <v>12</v>
      </c>
      <c r="G157" s="9" t="s">
        <v>12</v>
      </c>
      <c r="H157" s="9" t="s">
        <v>12</v>
      </c>
      <c r="I157" s="9" t="s">
        <v>12</v>
      </c>
      <c r="J157" s="9" t="s">
        <v>12</v>
      </c>
      <c r="K157" s="9"/>
      <c r="L157" s="9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6"/>
      <c r="B158" s="6"/>
      <c r="C158" s="13"/>
      <c r="D158" s="8"/>
      <c r="E158" s="9"/>
      <c r="F158" s="14" t="s">
        <v>12</v>
      </c>
      <c r="G158" s="9" t="s">
        <v>12</v>
      </c>
      <c r="H158" s="9" t="s">
        <v>12</v>
      </c>
      <c r="I158" s="9" t="s">
        <v>12</v>
      </c>
      <c r="J158" s="9" t="s">
        <v>12</v>
      </c>
      <c r="K158" s="9"/>
      <c r="L158" s="9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6"/>
      <c r="B159" s="6"/>
      <c r="C159" s="13"/>
      <c r="D159" s="8"/>
      <c r="E159" s="9"/>
      <c r="F159" s="14" t="s">
        <v>12</v>
      </c>
      <c r="G159" s="9" t="s">
        <v>12</v>
      </c>
      <c r="H159" s="9" t="s">
        <v>12</v>
      </c>
      <c r="I159" s="9" t="s">
        <v>12</v>
      </c>
      <c r="J159" s="9" t="s">
        <v>12</v>
      </c>
      <c r="K159" s="9"/>
      <c r="L159" s="9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6"/>
      <c r="B160" s="6"/>
      <c r="C160" s="13"/>
      <c r="D160" s="8"/>
      <c r="E160" s="9"/>
      <c r="F160" s="14" t="s">
        <v>12</v>
      </c>
      <c r="G160" s="9" t="s">
        <v>12</v>
      </c>
      <c r="H160" s="9" t="s">
        <v>12</v>
      </c>
      <c r="I160" s="9" t="s">
        <v>12</v>
      </c>
      <c r="J160" s="9" t="s">
        <v>12</v>
      </c>
      <c r="K160" s="9"/>
      <c r="L160" s="9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6"/>
      <c r="B161" s="6"/>
      <c r="C161" s="13"/>
      <c r="D161" s="8"/>
      <c r="E161" s="9"/>
      <c r="F161" s="14" t="s">
        <v>12</v>
      </c>
      <c r="G161" s="9" t="s">
        <v>12</v>
      </c>
      <c r="H161" s="9" t="s">
        <v>12</v>
      </c>
      <c r="I161" s="9" t="s">
        <v>12</v>
      </c>
      <c r="J161" s="9" t="s">
        <v>12</v>
      </c>
      <c r="K161" s="9"/>
      <c r="L161" s="9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6"/>
      <c r="B162" s="6"/>
      <c r="C162" s="13"/>
      <c r="D162" s="8"/>
      <c r="E162" s="9"/>
      <c r="F162" s="14" t="s">
        <v>12</v>
      </c>
      <c r="G162" s="9" t="s">
        <v>12</v>
      </c>
      <c r="H162" s="9" t="s">
        <v>12</v>
      </c>
      <c r="I162" s="9" t="s">
        <v>12</v>
      </c>
      <c r="J162" s="9" t="s">
        <v>12</v>
      </c>
      <c r="K162" s="9"/>
      <c r="L162" s="9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6"/>
      <c r="B163" s="6"/>
      <c r="C163" s="13"/>
      <c r="D163" s="8"/>
      <c r="E163" s="9"/>
      <c r="F163" s="14" t="s">
        <v>12</v>
      </c>
      <c r="G163" s="9" t="s">
        <v>12</v>
      </c>
      <c r="H163" s="9" t="s">
        <v>12</v>
      </c>
      <c r="I163" s="9" t="s">
        <v>12</v>
      </c>
      <c r="J163" s="9" t="s">
        <v>12</v>
      </c>
      <c r="K163" s="9"/>
      <c r="L163" s="9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6"/>
      <c r="B164" s="6"/>
      <c r="C164" s="13"/>
      <c r="D164" s="8"/>
      <c r="E164" s="9"/>
      <c r="F164" s="14" t="s">
        <v>12</v>
      </c>
      <c r="G164" s="9" t="s">
        <v>12</v>
      </c>
      <c r="H164" s="9" t="s">
        <v>12</v>
      </c>
      <c r="I164" s="9" t="s">
        <v>12</v>
      </c>
      <c r="J164" s="9" t="s">
        <v>12</v>
      </c>
      <c r="K164" s="9"/>
      <c r="L164" s="9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6"/>
      <c r="B165" s="6"/>
      <c r="C165" s="13"/>
      <c r="D165" s="8"/>
      <c r="E165" s="9"/>
      <c r="F165" s="14" t="s">
        <v>12</v>
      </c>
      <c r="G165" s="9" t="s">
        <v>12</v>
      </c>
      <c r="H165" s="9" t="s">
        <v>12</v>
      </c>
      <c r="I165" s="9" t="s">
        <v>12</v>
      </c>
      <c r="J165" s="9" t="s">
        <v>12</v>
      </c>
      <c r="K165" s="9"/>
      <c r="L165" s="9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6"/>
      <c r="B166" s="6"/>
      <c r="C166" s="13"/>
      <c r="D166" s="8"/>
      <c r="E166" s="9"/>
      <c r="F166" s="14" t="s">
        <v>12</v>
      </c>
      <c r="G166" s="9" t="s">
        <v>12</v>
      </c>
      <c r="H166" s="9" t="s">
        <v>12</v>
      </c>
      <c r="I166" s="9" t="s">
        <v>12</v>
      </c>
      <c r="J166" s="9" t="s">
        <v>12</v>
      </c>
      <c r="K166" s="9"/>
      <c r="L166" s="9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6"/>
      <c r="B167" s="6"/>
      <c r="C167" s="13"/>
      <c r="D167" s="8"/>
      <c r="E167" s="9"/>
      <c r="F167" s="14" t="s">
        <v>12</v>
      </c>
      <c r="G167" s="9" t="s">
        <v>12</v>
      </c>
      <c r="H167" s="9" t="s">
        <v>12</v>
      </c>
      <c r="I167" s="9" t="s">
        <v>12</v>
      </c>
      <c r="J167" s="9" t="s">
        <v>12</v>
      </c>
      <c r="K167" s="9"/>
      <c r="L167" s="9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6"/>
      <c r="B168" s="6"/>
      <c r="C168" s="13"/>
      <c r="D168" s="8"/>
      <c r="E168" s="9"/>
      <c r="F168" s="14" t="s">
        <v>12</v>
      </c>
      <c r="G168" s="9" t="s">
        <v>12</v>
      </c>
      <c r="H168" s="9" t="s">
        <v>12</v>
      </c>
      <c r="I168" s="9" t="s">
        <v>12</v>
      </c>
      <c r="J168" s="9" t="s">
        <v>12</v>
      </c>
      <c r="K168" s="9"/>
      <c r="L168" s="9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6"/>
      <c r="B169" s="6"/>
      <c r="C169" s="13"/>
      <c r="D169" s="8"/>
      <c r="E169" s="9"/>
      <c r="F169" s="14" t="s">
        <v>12</v>
      </c>
      <c r="G169" s="9" t="s">
        <v>12</v>
      </c>
      <c r="H169" s="9" t="s">
        <v>12</v>
      </c>
      <c r="I169" s="9" t="s">
        <v>12</v>
      </c>
      <c r="J169" s="9" t="s">
        <v>12</v>
      </c>
      <c r="K169" s="9"/>
      <c r="L169" s="9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6"/>
      <c r="B170" s="6"/>
      <c r="C170" s="13"/>
      <c r="D170" s="8"/>
      <c r="E170" s="9"/>
      <c r="F170" s="14" t="s">
        <v>12</v>
      </c>
      <c r="G170" s="9" t="s">
        <v>12</v>
      </c>
      <c r="H170" s="9" t="s">
        <v>12</v>
      </c>
      <c r="I170" s="9" t="s">
        <v>12</v>
      </c>
      <c r="J170" s="9" t="s">
        <v>12</v>
      </c>
      <c r="K170" s="9"/>
      <c r="L170" s="9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6"/>
      <c r="B171" s="6"/>
      <c r="C171" s="13"/>
      <c r="D171" s="8"/>
      <c r="E171" s="9"/>
      <c r="F171" s="14" t="s">
        <v>12</v>
      </c>
      <c r="G171" s="9" t="s">
        <v>12</v>
      </c>
      <c r="H171" s="9" t="s">
        <v>12</v>
      </c>
      <c r="I171" s="9" t="s">
        <v>12</v>
      </c>
      <c r="J171" s="9" t="s">
        <v>12</v>
      </c>
      <c r="K171" s="9"/>
      <c r="L171" s="9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6"/>
      <c r="B172" s="6"/>
      <c r="C172" s="13"/>
      <c r="D172" s="8"/>
      <c r="E172" s="9"/>
      <c r="F172" s="14" t="s">
        <v>12</v>
      </c>
      <c r="G172" s="9" t="s">
        <v>12</v>
      </c>
      <c r="H172" s="9" t="s">
        <v>12</v>
      </c>
      <c r="I172" s="9" t="s">
        <v>12</v>
      </c>
      <c r="J172" s="9" t="s">
        <v>12</v>
      </c>
      <c r="K172" s="9"/>
      <c r="L172" s="9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6"/>
      <c r="B173" s="6"/>
      <c r="C173" s="13"/>
      <c r="D173" s="8"/>
      <c r="E173" s="9"/>
      <c r="F173" s="14" t="s">
        <v>12</v>
      </c>
      <c r="G173" s="9" t="s">
        <v>12</v>
      </c>
      <c r="H173" s="9" t="s">
        <v>12</v>
      </c>
      <c r="I173" s="9" t="s">
        <v>12</v>
      </c>
      <c r="J173" s="9" t="s">
        <v>12</v>
      </c>
      <c r="K173" s="9"/>
      <c r="L173" s="9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6"/>
      <c r="B174" s="6"/>
      <c r="C174" s="13"/>
      <c r="D174" s="8"/>
      <c r="E174" s="9"/>
      <c r="F174" s="14" t="s">
        <v>12</v>
      </c>
      <c r="G174" s="9" t="s">
        <v>12</v>
      </c>
      <c r="H174" s="9" t="s">
        <v>12</v>
      </c>
      <c r="I174" s="9" t="s">
        <v>12</v>
      </c>
      <c r="J174" s="9" t="s">
        <v>12</v>
      </c>
      <c r="K174" s="9"/>
      <c r="L174" s="9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6"/>
      <c r="B175" s="6"/>
      <c r="C175" s="13"/>
      <c r="D175" s="8"/>
      <c r="E175" s="9"/>
      <c r="F175" s="14" t="s">
        <v>12</v>
      </c>
      <c r="G175" s="9" t="s">
        <v>12</v>
      </c>
      <c r="H175" s="9" t="s">
        <v>12</v>
      </c>
      <c r="I175" s="9" t="s">
        <v>12</v>
      </c>
      <c r="J175" s="9" t="s">
        <v>12</v>
      </c>
      <c r="K175" s="9"/>
      <c r="L175" s="9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6"/>
      <c r="B176" s="6"/>
      <c r="C176" s="13"/>
      <c r="D176" s="8"/>
      <c r="E176" s="9"/>
      <c r="F176" s="14" t="s">
        <v>12</v>
      </c>
      <c r="G176" s="9" t="s">
        <v>12</v>
      </c>
      <c r="H176" s="9" t="s">
        <v>12</v>
      </c>
      <c r="I176" s="9" t="s">
        <v>12</v>
      </c>
      <c r="J176" s="9" t="s">
        <v>12</v>
      </c>
      <c r="K176" s="9"/>
      <c r="L176" s="9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6"/>
      <c r="B177" s="6"/>
      <c r="C177" s="13"/>
      <c r="D177" s="8"/>
      <c r="E177" s="9"/>
      <c r="F177" s="14" t="s">
        <v>12</v>
      </c>
      <c r="G177" s="9" t="s">
        <v>12</v>
      </c>
      <c r="H177" s="9" t="s">
        <v>12</v>
      </c>
      <c r="I177" s="9" t="s">
        <v>12</v>
      </c>
      <c r="J177" s="9" t="s">
        <v>12</v>
      </c>
      <c r="K177" s="9"/>
      <c r="L177" s="9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6"/>
      <c r="B178" s="6"/>
      <c r="C178" s="13"/>
      <c r="D178" s="8"/>
      <c r="E178" s="9"/>
      <c r="F178" s="14" t="s">
        <v>12</v>
      </c>
      <c r="G178" s="9" t="s">
        <v>12</v>
      </c>
      <c r="H178" s="9" t="s">
        <v>12</v>
      </c>
      <c r="I178" s="9" t="s">
        <v>12</v>
      </c>
      <c r="J178" s="9" t="s">
        <v>12</v>
      </c>
      <c r="K178" s="9"/>
      <c r="L178" s="9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6"/>
      <c r="B179" s="6"/>
      <c r="C179" s="13"/>
      <c r="D179" s="8"/>
      <c r="E179" s="9"/>
      <c r="F179" s="14" t="s">
        <v>12</v>
      </c>
      <c r="G179" s="9" t="s">
        <v>12</v>
      </c>
      <c r="H179" s="9" t="s">
        <v>12</v>
      </c>
      <c r="I179" s="9" t="s">
        <v>12</v>
      </c>
      <c r="J179" s="9" t="s">
        <v>12</v>
      </c>
      <c r="K179" s="9"/>
      <c r="L179" s="9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6"/>
      <c r="B180" s="6"/>
      <c r="C180" s="13"/>
      <c r="D180" s="8"/>
      <c r="E180" s="9"/>
      <c r="F180" s="14" t="s">
        <v>12</v>
      </c>
      <c r="G180" s="9" t="s">
        <v>12</v>
      </c>
      <c r="H180" s="9" t="s">
        <v>12</v>
      </c>
      <c r="I180" s="9" t="s">
        <v>12</v>
      </c>
      <c r="J180" s="9" t="s">
        <v>12</v>
      </c>
      <c r="K180" s="9"/>
      <c r="L180" s="9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6"/>
      <c r="B181" s="6"/>
      <c r="C181" s="13"/>
      <c r="D181" s="8"/>
      <c r="E181" s="9"/>
      <c r="F181" s="14" t="s">
        <v>12</v>
      </c>
      <c r="G181" s="9" t="s">
        <v>12</v>
      </c>
      <c r="H181" s="9" t="s">
        <v>12</v>
      </c>
      <c r="I181" s="9" t="s">
        <v>12</v>
      </c>
      <c r="J181" s="9" t="s">
        <v>12</v>
      </c>
      <c r="K181" s="9"/>
      <c r="L181" s="9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6"/>
      <c r="B182" s="6"/>
      <c r="C182" s="13"/>
      <c r="D182" s="8"/>
      <c r="E182" s="9"/>
      <c r="F182" s="14" t="s">
        <v>12</v>
      </c>
      <c r="G182" s="9" t="s">
        <v>12</v>
      </c>
      <c r="H182" s="9" t="s">
        <v>12</v>
      </c>
      <c r="I182" s="9" t="s">
        <v>12</v>
      </c>
      <c r="J182" s="9" t="s">
        <v>12</v>
      </c>
      <c r="K182" s="9"/>
      <c r="L182" s="9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6"/>
      <c r="B183" s="6"/>
      <c r="C183" s="13"/>
      <c r="D183" s="8"/>
      <c r="E183" s="9"/>
      <c r="F183" s="14" t="s">
        <v>12</v>
      </c>
      <c r="G183" s="9" t="s">
        <v>12</v>
      </c>
      <c r="H183" s="9" t="s">
        <v>12</v>
      </c>
      <c r="I183" s="9" t="s">
        <v>12</v>
      </c>
      <c r="J183" s="9" t="s">
        <v>12</v>
      </c>
      <c r="K183" s="9"/>
      <c r="L183" s="9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6"/>
      <c r="B184" s="6"/>
      <c r="C184" s="13"/>
      <c r="D184" s="8"/>
      <c r="E184" s="9"/>
      <c r="F184" s="14" t="s">
        <v>12</v>
      </c>
      <c r="G184" s="9" t="s">
        <v>12</v>
      </c>
      <c r="H184" s="9" t="s">
        <v>12</v>
      </c>
      <c r="I184" s="9" t="s">
        <v>12</v>
      </c>
      <c r="J184" s="9" t="s">
        <v>12</v>
      </c>
      <c r="K184" s="9"/>
      <c r="L184" s="9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6"/>
      <c r="B185" s="6"/>
      <c r="C185" s="13"/>
      <c r="D185" s="8"/>
      <c r="E185" s="9"/>
      <c r="F185" s="14" t="s">
        <v>12</v>
      </c>
      <c r="G185" s="9" t="s">
        <v>12</v>
      </c>
      <c r="H185" s="9" t="s">
        <v>12</v>
      </c>
      <c r="I185" s="9" t="s">
        <v>12</v>
      </c>
      <c r="J185" s="9" t="s">
        <v>12</v>
      </c>
      <c r="K185" s="9"/>
      <c r="L185" s="9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6"/>
      <c r="B186" s="6"/>
      <c r="C186" s="13"/>
      <c r="D186" s="8"/>
      <c r="E186" s="9"/>
      <c r="F186" s="14" t="s">
        <v>12</v>
      </c>
      <c r="G186" s="9" t="s">
        <v>12</v>
      </c>
      <c r="H186" s="9" t="s">
        <v>12</v>
      </c>
      <c r="I186" s="9" t="s">
        <v>12</v>
      </c>
      <c r="J186" s="9" t="s">
        <v>12</v>
      </c>
      <c r="K186" s="9"/>
      <c r="L186" s="9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6"/>
      <c r="B187" s="6"/>
      <c r="C187" s="13"/>
      <c r="D187" s="8"/>
      <c r="E187" s="9"/>
      <c r="F187" s="14" t="s">
        <v>12</v>
      </c>
      <c r="G187" s="9" t="s">
        <v>12</v>
      </c>
      <c r="H187" s="9" t="s">
        <v>12</v>
      </c>
      <c r="I187" s="9" t="s">
        <v>12</v>
      </c>
      <c r="J187" s="9" t="s">
        <v>12</v>
      </c>
      <c r="K187" s="9"/>
      <c r="L187" s="9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6"/>
      <c r="B188" s="6"/>
      <c r="C188" s="13"/>
      <c r="D188" s="8"/>
      <c r="E188" s="9"/>
      <c r="F188" s="14" t="s">
        <v>12</v>
      </c>
      <c r="G188" s="9" t="s">
        <v>12</v>
      </c>
      <c r="H188" s="9" t="s">
        <v>12</v>
      </c>
      <c r="I188" s="9" t="s">
        <v>12</v>
      </c>
      <c r="J188" s="9" t="s">
        <v>12</v>
      </c>
      <c r="K188" s="9"/>
      <c r="L188" s="9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6"/>
      <c r="B189" s="6"/>
      <c r="C189" s="13"/>
      <c r="D189" s="8"/>
      <c r="E189" s="9"/>
      <c r="F189" s="14" t="s">
        <v>12</v>
      </c>
      <c r="G189" s="9" t="s">
        <v>12</v>
      </c>
      <c r="H189" s="9" t="s">
        <v>12</v>
      </c>
      <c r="I189" s="9" t="s">
        <v>12</v>
      </c>
      <c r="J189" s="9" t="s">
        <v>12</v>
      </c>
      <c r="K189" s="9"/>
      <c r="L189" s="9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6"/>
      <c r="B190" s="6"/>
      <c r="C190" s="13"/>
      <c r="D190" s="8"/>
      <c r="E190" s="9"/>
      <c r="F190" s="14" t="s">
        <v>12</v>
      </c>
      <c r="G190" s="9" t="s">
        <v>12</v>
      </c>
      <c r="H190" s="9" t="s">
        <v>12</v>
      </c>
      <c r="I190" s="9" t="s">
        <v>12</v>
      </c>
      <c r="J190" s="9" t="s">
        <v>12</v>
      </c>
      <c r="K190" s="9"/>
      <c r="L190" s="9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6"/>
      <c r="B191" s="6"/>
      <c r="C191" s="13"/>
      <c r="D191" s="8"/>
      <c r="E191" s="9"/>
      <c r="F191" s="14" t="s">
        <v>12</v>
      </c>
      <c r="G191" s="9" t="s">
        <v>12</v>
      </c>
      <c r="H191" s="9" t="s">
        <v>12</v>
      </c>
      <c r="I191" s="9" t="s">
        <v>12</v>
      </c>
      <c r="J191" s="9" t="s">
        <v>12</v>
      </c>
      <c r="K191" s="9"/>
      <c r="L191" s="9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6"/>
      <c r="B192" s="6"/>
      <c r="C192" s="13"/>
      <c r="D192" s="8"/>
      <c r="E192" s="9"/>
      <c r="F192" s="14" t="s">
        <v>12</v>
      </c>
      <c r="G192" s="9" t="s">
        <v>12</v>
      </c>
      <c r="H192" s="9" t="s">
        <v>12</v>
      </c>
      <c r="I192" s="9" t="s">
        <v>12</v>
      </c>
      <c r="J192" s="9" t="s">
        <v>12</v>
      </c>
      <c r="K192" s="9"/>
      <c r="L192" s="9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6"/>
      <c r="B193" s="6"/>
      <c r="C193" s="13"/>
      <c r="D193" s="8"/>
      <c r="E193" s="9"/>
      <c r="F193" s="14" t="s">
        <v>12</v>
      </c>
      <c r="G193" s="9" t="s">
        <v>12</v>
      </c>
      <c r="H193" s="9" t="s">
        <v>12</v>
      </c>
      <c r="I193" s="9" t="s">
        <v>12</v>
      </c>
      <c r="J193" s="9" t="s">
        <v>12</v>
      </c>
      <c r="K193" s="9"/>
      <c r="L193" s="9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6"/>
      <c r="B194" s="6"/>
      <c r="C194" s="13"/>
      <c r="D194" s="8"/>
      <c r="E194" s="9"/>
      <c r="F194" s="14" t="s">
        <v>12</v>
      </c>
      <c r="G194" s="9" t="s">
        <v>12</v>
      </c>
      <c r="H194" s="9" t="s">
        <v>12</v>
      </c>
      <c r="I194" s="9" t="s">
        <v>12</v>
      </c>
      <c r="J194" s="9" t="s">
        <v>12</v>
      </c>
      <c r="K194" s="9"/>
      <c r="L194" s="9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6"/>
      <c r="B195" s="6"/>
      <c r="C195" s="13"/>
      <c r="D195" s="8"/>
      <c r="E195" s="9"/>
      <c r="F195" s="14" t="s">
        <v>12</v>
      </c>
      <c r="G195" s="9" t="s">
        <v>12</v>
      </c>
      <c r="H195" s="9" t="s">
        <v>12</v>
      </c>
      <c r="I195" s="9" t="s">
        <v>12</v>
      </c>
      <c r="J195" s="9" t="s">
        <v>12</v>
      </c>
      <c r="K195" s="9"/>
      <c r="L195" s="9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6"/>
      <c r="B196" s="6"/>
      <c r="C196" s="13"/>
      <c r="D196" s="8"/>
      <c r="E196" s="9"/>
      <c r="F196" s="14" t="s">
        <v>12</v>
      </c>
      <c r="G196" s="9" t="s">
        <v>12</v>
      </c>
      <c r="H196" s="9" t="s">
        <v>12</v>
      </c>
      <c r="I196" s="9" t="s">
        <v>12</v>
      </c>
      <c r="J196" s="9" t="s">
        <v>12</v>
      </c>
      <c r="K196" s="9"/>
      <c r="L196" s="9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6"/>
      <c r="B197" s="6"/>
      <c r="C197" s="13"/>
      <c r="D197" s="8"/>
      <c r="E197" s="9"/>
      <c r="F197" s="14" t="s">
        <v>12</v>
      </c>
      <c r="G197" s="9" t="s">
        <v>12</v>
      </c>
      <c r="H197" s="9" t="s">
        <v>12</v>
      </c>
      <c r="I197" s="9" t="s">
        <v>12</v>
      </c>
      <c r="J197" s="9" t="s">
        <v>12</v>
      </c>
      <c r="K197" s="9"/>
      <c r="L197" s="9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6"/>
      <c r="B198" s="6"/>
      <c r="C198" s="13"/>
      <c r="D198" s="8"/>
      <c r="E198" s="9"/>
      <c r="F198" s="14" t="s">
        <v>12</v>
      </c>
      <c r="G198" s="9" t="s">
        <v>12</v>
      </c>
      <c r="H198" s="9" t="s">
        <v>12</v>
      </c>
      <c r="I198" s="9" t="s">
        <v>12</v>
      </c>
      <c r="J198" s="9" t="s">
        <v>12</v>
      </c>
      <c r="K198" s="9"/>
      <c r="L198" s="9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6"/>
      <c r="B199" s="6"/>
      <c r="C199" s="13"/>
      <c r="D199" s="8"/>
      <c r="E199" s="9"/>
      <c r="F199" s="14" t="s">
        <v>12</v>
      </c>
      <c r="G199" s="9" t="s">
        <v>12</v>
      </c>
      <c r="H199" s="9" t="s">
        <v>12</v>
      </c>
      <c r="I199" s="9" t="s">
        <v>12</v>
      </c>
      <c r="J199" s="9" t="s">
        <v>12</v>
      </c>
      <c r="K199" s="9"/>
      <c r="L199" s="9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6"/>
      <c r="B200" s="6"/>
      <c r="C200" s="13"/>
      <c r="D200" s="8"/>
      <c r="E200" s="9"/>
      <c r="F200" s="14" t="s">
        <v>12</v>
      </c>
      <c r="G200" s="9" t="s">
        <v>12</v>
      </c>
      <c r="H200" s="9" t="s">
        <v>12</v>
      </c>
      <c r="I200" s="9" t="s">
        <v>12</v>
      </c>
      <c r="J200" s="9" t="s">
        <v>12</v>
      </c>
      <c r="K200" s="9"/>
      <c r="L200" s="9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6"/>
      <c r="B201" s="6"/>
      <c r="C201" s="13"/>
      <c r="D201" s="8"/>
      <c r="E201" s="9"/>
      <c r="F201" s="14" t="s">
        <v>12</v>
      </c>
      <c r="G201" s="9" t="s">
        <v>12</v>
      </c>
      <c r="H201" s="9" t="s">
        <v>12</v>
      </c>
      <c r="I201" s="9" t="s">
        <v>12</v>
      </c>
      <c r="J201" s="9" t="s">
        <v>12</v>
      </c>
      <c r="K201" s="9"/>
      <c r="L201" s="9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6"/>
      <c r="B202" s="6"/>
      <c r="C202" s="13"/>
      <c r="D202" s="8"/>
      <c r="E202" s="9"/>
      <c r="F202" s="14" t="s">
        <v>12</v>
      </c>
      <c r="G202" s="9" t="s">
        <v>12</v>
      </c>
      <c r="H202" s="9" t="s">
        <v>12</v>
      </c>
      <c r="I202" s="9" t="s">
        <v>12</v>
      </c>
      <c r="J202" s="9" t="s">
        <v>12</v>
      </c>
      <c r="K202" s="9"/>
      <c r="L202" s="9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6"/>
      <c r="B203" s="6"/>
      <c r="C203" s="13"/>
      <c r="D203" s="8"/>
      <c r="E203" s="9"/>
      <c r="F203" s="14" t="s">
        <v>12</v>
      </c>
      <c r="G203" s="9" t="s">
        <v>12</v>
      </c>
      <c r="H203" s="9" t="s">
        <v>12</v>
      </c>
      <c r="I203" s="9" t="s">
        <v>12</v>
      </c>
      <c r="J203" s="9" t="s">
        <v>12</v>
      </c>
      <c r="K203" s="9"/>
      <c r="L203" s="9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6"/>
      <c r="B204" s="6"/>
      <c r="C204" s="13"/>
      <c r="D204" s="8"/>
      <c r="E204" s="9"/>
      <c r="F204" s="14" t="s">
        <v>12</v>
      </c>
      <c r="G204" s="9" t="s">
        <v>12</v>
      </c>
      <c r="H204" s="9" t="s">
        <v>12</v>
      </c>
      <c r="I204" s="9" t="s">
        <v>12</v>
      </c>
      <c r="J204" s="9" t="s">
        <v>12</v>
      </c>
      <c r="K204" s="9"/>
      <c r="L204" s="9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6"/>
      <c r="B205" s="6"/>
      <c r="C205" s="13"/>
      <c r="D205" s="8"/>
      <c r="E205" s="9"/>
      <c r="F205" s="14" t="s">
        <v>12</v>
      </c>
      <c r="G205" s="9" t="s">
        <v>12</v>
      </c>
      <c r="H205" s="9" t="s">
        <v>12</v>
      </c>
      <c r="I205" s="9" t="s">
        <v>12</v>
      </c>
      <c r="J205" s="9" t="s">
        <v>12</v>
      </c>
      <c r="K205" s="9"/>
      <c r="L205" s="9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6"/>
      <c r="B206" s="6"/>
      <c r="C206" s="13"/>
      <c r="D206" s="8"/>
      <c r="E206" s="9"/>
      <c r="F206" s="14" t="s">
        <v>12</v>
      </c>
      <c r="G206" s="9" t="s">
        <v>12</v>
      </c>
      <c r="H206" s="9" t="s">
        <v>12</v>
      </c>
      <c r="I206" s="9" t="s">
        <v>12</v>
      </c>
      <c r="J206" s="9" t="s">
        <v>12</v>
      </c>
      <c r="K206" s="9"/>
      <c r="L206" s="9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6"/>
      <c r="B207" s="6"/>
      <c r="C207" s="13"/>
      <c r="D207" s="8"/>
      <c r="E207" s="9"/>
      <c r="F207" s="14" t="s">
        <v>12</v>
      </c>
      <c r="G207" s="9" t="s">
        <v>12</v>
      </c>
      <c r="H207" s="9" t="s">
        <v>12</v>
      </c>
      <c r="I207" s="9" t="s">
        <v>12</v>
      </c>
      <c r="J207" s="9" t="s">
        <v>12</v>
      </c>
      <c r="K207" s="9"/>
      <c r="L207" s="9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6"/>
      <c r="B208" s="6"/>
      <c r="C208" s="13"/>
      <c r="D208" s="8"/>
      <c r="E208" s="9"/>
      <c r="F208" s="14" t="s">
        <v>12</v>
      </c>
      <c r="G208" s="9" t="s">
        <v>12</v>
      </c>
      <c r="H208" s="9" t="s">
        <v>12</v>
      </c>
      <c r="I208" s="9" t="s">
        <v>12</v>
      </c>
      <c r="J208" s="9" t="s">
        <v>12</v>
      </c>
      <c r="K208" s="9"/>
      <c r="L208" s="9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6"/>
      <c r="B209" s="6"/>
      <c r="C209" s="13"/>
      <c r="D209" s="8"/>
      <c r="E209" s="9"/>
      <c r="F209" s="14" t="s">
        <v>12</v>
      </c>
      <c r="G209" s="9" t="s">
        <v>12</v>
      </c>
      <c r="H209" s="9" t="s">
        <v>12</v>
      </c>
      <c r="I209" s="9" t="s">
        <v>12</v>
      </c>
      <c r="J209" s="9" t="s">
        <v>12</v>
      </c>
      <c r="K209" s="9"/>
      <c r="L209" s="9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6"/>
      <c r="B210" s="6"/>
      <c r="C210" s="13"/>
      <c r="D210" s="8"/>
      <c r="E210" s="9"/>
      <c r="F210" s="14" t="s">
        <v>12</v>
      </c>
      <c r="G210" s="9" t="s">
        <v>12</v>
      </c>
      <c r="H210" s="9" t="s">
        <v>12</v>
      </c>
      <c r="I210" s="9" t="s">
        <v>12</v>
      </c>
      <c r="J210" s="9" t="s">
        <v>12</v>
      </c>
      <c r="K210" s="9"/>
      <c r="L210" s="9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6"/>
      <c r="B211" s="6"/>
      <c r="C211" s="13"/>
      <c r="D211" s="8"/>
      <c r="E211" s="9"/>
      <c r="F211" s="14" t="s">
        <v>12</v>
      </c>
      <c r="G211" s="9" t="s">
        <v>12</v>
      </c>
      <c r="H211" s="9" t="s">
        <v>12</v>
      </c>
      <c r="I211" s="9" t="s">
        <v>12</v>
      </c>
      <c r="J211" s="9" t="s">
        <v>12</v>
      </c>
      <c r="K211" s="9"/>
      <c r="L211" s="9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6"/>
      <c r="B212" s="6"/>
      <c r="C212" s="13"/>
      <c r="D212" s="8"/>
      <c r="E212" s="9"/>
      <c r="F212" s="14" t="s">
        <v>12</v>
      </c>
      <c r="G212" s="9" t="s">
        <v>12</v>
      </c>
      <c r="H212" s="9" t="s">
        <v>12</v>
      </c>
      <c r="I212" s="9" t="s">
        <v>12</v>
      </c>
      <c r="J212" s="9" t="s">
        <v>12</v>
      </c>
      <c r="K212" s="9"/>
      <c r="L212" s="9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6"/>
      <c r="B213" s="6"/>
      <c r="C213" s="13"/>
      <c r="D213" s="8"/>
      <c r="E213" s="9"/>
      <c r="F213" s="14" t="s">
        <v>12</v>
      </c>
      <c r="G213" s="9" t="s">
        <v>12</v>
      </c>
      <c r="H213" s="9" t="s">
        <v>12</v>
      </c>
      <c r="I213" s="9" t="s">
        <v>12</v>
      </c>
      <c r="J213" s="9" t="s">
        <v>12</v>
      </c>
      <c r="K213" s="9"/>
      <c r="L213" s="9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6"/>
      <c r="B214" s="6"/>
      <c r="C214" s="13"/>
      <c r="D214" s="8"/>
      <c r="E214" s="9"/>
      <c r="F214" s="14" t="s">
        <v>12</v>
      </c>
      <c r="G214" s="9" t="s">
        <v>12</v>
      </c>
      <c r="H214" s="9" t="s">
        <v>12</v>
      </c>
      <c r="I214" s="9" t="s">
        <v>12</v>
      </c>
      <c r="J214" s="9" t="s">
        <v>12</v>
      </c>
      <c r="K214" s="9"/>
      <c r="L214" s="9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6"/>
      <c r="B215" s="6"/>
      <c r="C215" s="13"/>
      <c r="D215" s="8"/>
      <c r="E215" s="9"/>
      <c r="F215" s="14" t="s">
        <v>12</v>
      </c>
      <c r="G215" s="9" t="s">
        <v>12</v>
      </c>
      <c r="H215" s="9" t="s">
        <v>12</v>
      </c>
      <c r="I215" s="9" t="s">
        <v>12</v>
      </c>
      <c r="J215" s="9" t="s">
        <v>12</v>
      </c>
      <c r="K215" s="9"/>
      <c r="L215" s="9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6"/>
      <c r="B216" s="6"/>
      <c r="C216" s="13"/>
      <c r="D216" s="8"/>
      <c r="E216" s="9"/>
      <c r="F216" s="14" t="s">
        <v>12</v>
      </c>
      <c r="G216" s="9" t="s">
        <v>12</v>
      </c>
      <c r="H216" s="9" t="s">
        <v>12</v>
      </c>
      <c r="I216" s="9" t="s">
        <v>12</v>
      </c>
      <c r="J216" s="9" t="s">
        <v>12</v>
      </c>
      <c r="K216" s="9"/>
      <c r="L216" s="9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6"/>
      <c r="B217" s="6"/>
      <c r="C217" s="13"/>
      <c r="D217" s="8"/>
      <c r="E217" s="9"/>
      <c r="F217" s="14" t="s">
        <v>12</v>
      </c>
      <c r="G217" s="9" t="s">
        <v>12</v>
      </c>
      <c r="H217" s="9" t="s">
        <v>12</v>
      </c>
      <c r="I217" s="9" t="s">
        <v>12</v>
      </c>
      <c r="J217" s="9" t="s">
        <v>12</v>
      </c>
      <c r="K217" s="9"/>
      <c r="L217" s="9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6"/>
      <c r="B218" s="6"/>
      <c r="C218" s="13"/>
      <c r="D218" s="8"/>
      <c r="E218" s="9"/>
      <c r="F218" s="14" t="s">
        <v>12</v>
      </c>
      <c r="G218" s="9" t="s">
        <v>12</v>
      </c>
      <c r="H218" s="9" t="s">
        <v>12</v>
      </c>
      <c r="I218" s="9" t="s">
        <v>12</v>
      </c>
      <c r="J218" s="9" t="s">
        <v>12</v>
      </c>
      <c r="K218" s="9"/>
      <c r="L218" s="9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6"/>
      <c r="B219" s="6"/>
      <c r="C219" s="13"/>
      <c r="D219" s="8"/>
      <c r="E219" s="9"/>
      <c r="F219" s="14" t="s">
        <v>12</v>
      </c>
      <c r="G219" s="9" t="s">
        <v>12</v>
      </c>
      <c r="H219" s="9" t="s">
        <v>12</v>
      </c>
      <c r="I219" s="9" t="s">
        <v>12</v>
      </c>
      <c r="J219" s="9" t="s">
        <v>12</v>
      </c>
      <c r="K219" s="9"/>
      <c r="L219" s="9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6"/>
      <c r="B220" s="6"/>
      <c r="C220" s="13"/>
      <c r="D220" s="8"/>
      <c r="E220" s="9"/>
      <c r="F220" s="14" t="s">
        <v>12</v>
      </c>
      <c r="G220" s="9" t="s">
        <v>12</v>
      </c>
      <c r="H220" s="9" t="s">
        <v>12</v>
      </c>
      <c r="I220" s="9" t="s">
        <v>12</v>
      </c>
      <c r="J220" s="9" t="s">
        <v>12</v>
      </c>
      <c r="K220" s="9"/>
      <c r="L220" s="9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6"/>
      <c r="B221" s="6"/>
      <c r="C221" s="13"/>
      <c r="D221" s="8"/>
      <c r="E221" s="9"/>
      <c r="F221" s="14" t="s">
        <v>12</v>
      </c>
      <c r="G221" s="9" t="s">
        <v>12</v>
      </c>
      <c r="H221" s="9" t="s">
        <v>12</v>
      </c>
      <c r="I221" s="9" t="s">
        <v>12</v>
      </c>
      <c r="J221" s="9" t="s">
        <v>12</v>
      </c>
      <c r="K221" s="9"/>
      <c r="L221" s="9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6"/>
      <c r="B222" s="6"/>
      <c r="C222" s="13"/>
      <c r="D222" s="8"/>
      <c r="E222" s="9"/>
      <c r="F222" s="14" t="s">
        <v>12</v>
      </c>
      <c r="G222" s="9" t="s">
        <v>12</v>
      </c>
      <c r="H222" s="9" t="s">
        <v>12</v>
      </c>
      <c r="I222" s="9" t="s">
        <v>12</v>
      </c>
      <c r="J222" s="9" t="s">
        <v>12</v>
      </c>
      <c r="K222" s="9"/>
      <c r="L222" s="9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6"/>
      <c r="B223" s="6"/>
      <c r="C223" s="13"/>
      <c r="D223" s="8"/>
      <c r="E223" s="9"/>
      <c r="F223" s="14" t="s">
        <v>12</v>
      </c>
      <c r="G223" s="9" t="s">
        <v>12</v>
      </c>
      <c r="H223" s="9" t="s">
        <v>12</v>
      </c>
      <c r="I223" s="9" t="s">
        <v>12</v>
      </c>
      <c r="J223" s="9" t="s">
        <v>12</v>
      </c>
      <c r="K223" s="9"/>
      <c r="L223" s="9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6"/>
      <c r="B224" s="6"/>
      <c r="C224" s="13"/>
      <c r="D224" s="8"/>
      <c r="E224" s="9"/>
      <c r="F224" s="14" t="s">
        <v>12</v>
      </c>
      <c r="G224" s="9" t="s">
        <v>12</v>
      </c>
      <c r="H224" s="9" t="s">
        <v>12</v>
      </c>
      <c r="I224" s="9" t="s">
        <v>12</v>
      </c>
      <c r="J224" s="9" t="s">
        <v>12</v>
      </c>
      <c r="K224" s="9"/>
      <c r="L224" s="9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6"/>
      <c r="B225" s="6"/>
      <c r="C225" s="13"/>
      <c r="D225" s="8"/>
      <c r="E225" s="9"/>
      <c r="F225" s="14" t="s">
        <v>12</v>
      </c>
      <c r="G225" s="9" t="s">
        <v>12</v>
      </c>
      <c r="H225" s="9" t="s">
        <v>12</v>
      </c>
      <c r="I225" s="9" t="s">
        <v>12</v>
      </c>
      <c r="J225" s="9" t="s">
        <v>12</v>
      </c>
      <c r="K225" s="9"/>
      <c r="L225" s="9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6"/>
      <c r="B226" s="6"/>
      <c r="C226" s="13"/>
      <c r="D226" s="8"/>
      <c r="E226" s="9"/>
      <c r="F226" s="14" t="s">
        <v>12</v>
      </c>
      <c r="G226" s="9" t="s">
        <v>12</v>
      </c>
      <c r="H226" s="9" t="s">
        <v>12</v>
      </c>
      <c r="I226" s="9" t="s">
        <v>12</v>
      </c>
      <c r="J226" s="9" t="s">
        <v>12</v>
      </c>
      <c r="K226" s="9"/>
      <c r="L226" s="9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6"/>
      <c r="B227" s="6"/>
      <c r="C227" s="13"/>
      <c r="D227" s="8"/>
      <c r="E227" s="9"/>
      <c r="F227" s="14" t="s">
        <v>12</v>
      </c>
      <c r="G227" s="9" t="s">
        <v>12</v>
      </c>
      <c r="H227" s="9" t="s">
        <v>12</v>
      </c>
      <c r="I227" s="9" t="s">
        <v>12</v>
      </c>
      <c r="J227" s="9" t="s">
        <v>12</v>
      </c>
      <c r="K227" s="9"/>
      <c r="L227" s="9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6"/>
      <c r="B228" s="6"/>
      <c r="C228" s="13"/>
      <c r="D228" s="8"/>
      <c r="E228" s="9"/>
      <c r="F228" s="14" t="s">
        <v>12</v>
      </c>
      <c r="G228" s="9" t="s">
        <v>12</v>
      </c>
      <c r="H228" s="9" t="s">
        <v>12</v>
      </c>
      <c r="I228" s="9" t="s">
        <v>12</v>
      </c>
      <c r="J228" s="9" t="s">
        <v>12</v>
      </c>
      <c r="K228" s="9"/>
      <c r="L228" s="9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6"/>
      <c r="B229" s="6"/>
      <c r="C229" s="13"/>
      <c r="D229" s="8"/>
      <c r="E229" s="9"/>
      <c r="F229" s="14" t="s">
        <v>12</v>
      </c>
      <c r="G229" s="9" t="s">
        <v>12</v>
      </c>
      <c r="H229" s="9" t="s">
        <v>12</v>
      </c>
      <c r="I229" s="9" t="s">
        <v>12</v>
      </c>
      <c r="J229" s="9" t="s">
        <v>12</v>
      </c>
      <c r="K229" s="9"/>
      <c r="L229" s="9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6"/>
      <c r="B230" s="6"/>
      <c r="C230" s="13"/>
      <c r="D230" s="8"/>
      <c r="E230" s="9"/>
      <c r="F230" s="14" t="s">
        <v>12</v>
      </c>
      <c r="G230" s="9" t="s">
        <v>12</v>
      </c>
      <c r="H230" s="9" t="s">
        <v>12</v>
      </c>
      <c r="I230" s="9" t="s">
        <v>12</v>
      </c>
      <c r="J230" s="9" t="s">
        <v>12</v>
      </c>
      <c r="K230" s="9"/>
      <c r="L230" s="9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6"/>
      <c r="B231" s="6"/>
      <c r="C231" s="13"/>
      <c r="D231" s="8"/>
      <c r="E231" s="9"/>
      <c r="F231" s="14" t="s">
        <v>12</v>
      </c>
      <c r="G231" s="9" t="s">
        <v>12</v>
      </c>
      <c r="H231" s="9" t="s">
        <v>12</v>
      </c>
      <c r="I231" s="9" t="s">
        <v>12</v>
      </c>
      <c r="J231" s="9" t="s">
        <v>12</v>
      </c>
      <c r="K231" s="9"/>
      <c r="L231" s="9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6"/>
      <c r="B232" s="6"/>
      <c r="C232" s="13"/>
      <c r="D232" s="8"/>
      <c r="E232" s="9"/>
      <c r="F232" s="14" t="s">
        <v>12</v>
      </c>
      <c r="G232" s="9" t="s">
        <v>12</v>
      </c>
      <c r="H232" s="9" t="s">
        <v>12</v>
      </c>
      <c r="I232" s="9" t="s">
        <v>12</v>
      </c>
      <c r="J232" s="9" t="s">
        <v>12</v>
      </c>
      <c r="K232" s="9"/>
      <c r="L232" s="9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6"/>
      <c r="B233" s="6"/>
      <c r="C233" s="13"/>
      <c r="D233" s="8"/>
      <c r="E233" s="9"/>
      <c r="F233" s="14" t="s">
        <v>12</v>
      </c>
      <c r="G233" s="9" t="s">
        <v>12</v>
      </c>
      <c r="H233" s="9" t="s">
        <v>12</v>
      </c>
      <c r="I233" s="9" t="s">
        <v>12</v>
      </c>
      <c r="J233" s="9" t="s">
        <v>12</v>
      </c>
      <c r="K233" s="9"/>
      <c r="L233" s="9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6"/>
      <c r="B234" s="6"/>
      <c r="C234" s="13"/>
      <c r="D234" s="8"/>
      <c r="E234" s="9"/>
      <c r="F234" s="14" t="s">
        <v>12</v>
      </c>
      <c r="G234" s="9" t="s">
        <v>12</v>
      </c>
      <c r="H234" s="9" t="s">
        <v>12</v>
      </c>
      <c r="I234" s="9" t="s">
        <v>12</v>
      </c>
      <c r="J234" s="9" t="s">
        <v>12</v>
      </c>
      <c r="K234" s="9"/>
      <c r="L234" s="9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6"/>
      <c r="B235" s="6"/>
      <c r="C235" s="13"/>
      <c r="D235" s="8"/>
      <c r="E235" s="9"/>
      <c r="F235" s="14" t="s">
        <v>12</v>
      </c>
      <c r="G235" s="9" t="s">
        <v>12</v>
      </c>
      <c r="H235" s="9" t="s">
        <v>12</v>
      </c>
      <c r="I235" s="9" t="s">
        <v>12</v>
      </c>
      <c r="J235" s="9" t="s">
        <v>12</v>
      </c>
      <c r="K235" s="9"/>
      <c r="L235" s="9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6"/>
      <c r="B236" s="6"/>
      <c r="C236" s="13"/>
      <c r="D236" s="8"/>
      <c r="E236" s="9"/>
      <c r="F236" s="14" t="s">
        <v>12</v>
      </c>
      <c r="G236" s="9" t="s">
        <v>12</v>
      </c>
      <c r="H236" s="9" t="s">
        <v>12</v>
      </c>
      <c r="I236" s="9" t="s">
        <v>12</v>
      </c>
      <c r="J236" s="9" t="s">
        <v>12</v>
      </c>
      <c r="K236" s="9"/>
      <c r="L236" s="9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6"/>
      <c r="B237" s="6"/>
      <c r="C237" s="13"/>
      <c r="D237" s="8"/>
      <c r="E237" s="9"/>
      <c r="F237" s="14" t="s">
        <v>12</v>
      </c>
      <c r="G237" s="9" t="s">
        <v>12</v>
      </c>
      <c r="H237" s="9" t="s">
        <v>12</v>
      </c>
      <c r="I237" s="9" t="s">
        <v>12</v>
      </c>
      <c r="J237" s="9" t="s">
        <v>12</v>
      </c>
      <c r="K237" s="9"/>
      <c r="L237" s="9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6"/>
      <c r="B238" s="6"/>
      <c r="C238" s="13"/>
      <c r="D238" s="8"/>
      <c r="E238" s="9"/>
      <c r="F238" s="14" t="s">
        <v>12</v>
      </c>
      <c r="G238" s="9" t="s">
        <v>12</v>
      </c>
      <c r="H238" s="9" t="s">
        <v>12</v>
      </c>
      <c r="I238" s="9" t="s">
        <v>12</v>
      </c>
      <c r="J238" s="9" t="s">
        <v>12</v>
      </c>
      <c r="K238" s="9"/>
      <c r="L238" s="9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6"/>
      <c r="B239" s="6"/>
      <c r="C239" s="13"/>
      <c r="D239" s="8"/>
      <c r="E239" s="9"/>
      <c r="F239" s="14" t="s">
        <v>12</v>
      </c>
      <c r="G239" s="9" t="s">
        <v>12</v>
      </c>
      <c r="H239" s="9" t="s">
        <v>12</v>
      </c>
      <c r="I239" s="9" t="s">
        <v>12</v>
      </c>
      <c r="J239" s="9" t="s">
        <v>12</v>
      </c>
      <c r="K239" s="9"/>
      <c r="L239" s="9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6"/>
      <c r="B240" s="6"/>
      <c r="C240" s="13"/>
      <c r="D240" s="8"/>
      <c r="E240" s="9"/>
      <c r="F240" s="14" t="s">
        <v>12</v>
      </c>
      <c r="G240" s="9" t="s">
        <v>12</v>
      </c>
      <c r="H240" s="9" t="s">
        <v>12</v>
      </c>
      <c r="I240" s="9" t="s">
        <v>12</v>
      </c>
      <c r="J240" s="9" t="s">
        <v>12</v>
      </c>
      <c r="K240" s="9"/>
      <c r="L240" s="9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6"/>
      <c r="B241" s="6"/>
      <c r="C241" s="13"/>
      <c r="D241" s="8"/>
      <c r="E241" s="9"/>
      <c r="F241" s="14" t="s">
        <v>12</v>
      </c>
      <c r="G241" s="9" t="s">
        <v>12</v>
      </c>
      <c r="H241" s="9" t="s">
        <v>12</v>
      </c>
      <c r="I241" s="9" t="s">
        <v>12</v>
      </c>
      <c r="J241" s="9" t="s">
        <v>12</v>
      </c>
      <c r="K241" s="9"/>
      <c r="L241" s="9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6"/>
      <c r="B242" s="6"/>
      <c r="C242" s="13"/>
      <c r="D242" s="8"/>
      <c r="E242" s="9"/>
      <c r="F242" s="14" t="s">
        <v>12</v>
      </c>
      <c r="G242" s="9" t="s">
        <v>12</v>
      </c>
      <c r="H242" s="9" t="s">
        <v>12</v>
      </c>
      <c r="I242" s="9" t="s">
        <v>12</v>
      </c>
      <c r="J242" s="9" t="s">
        <v>12</v>
      </c>
      <c r="K242" s="9"/>
      <c r="L242" s="9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6"/>
      <c r="B243" s="6"/>
      <c r="C243" s="13"/>
      <c r="D243" s="8"/>
      <c r="E243" s="9"/>
      <c r="F243" s="14" t="s">
        <v>12</v>
      </c>
      <c r="G243" s="9" t="s">
        <v>12</v>
      </c>
      <c r="H243" s="9" t="s">
        <v>12</v>
      </c>
      <c r="I243" s="9" t="s">
        <v>12</v>
      </c>
      <c r="J243" s="9" t="s">
        <v>12</v>
      </c>
      <c r="K243" s="9"/>
      <c r="L243" s="9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6"/>
      <c r="B244" s="6"/>
      <c r="C244" s="13"/>
      <c r="D244" s="8"/>
      <c r="E244" s="9"/>
      <c r="F244" s="14" t="s">
        <v>12</v>
      </c>
      <c r="G244" s="9" t="s">
        <v>12</v>
      </c>
      <c r="H244" s="9" t="s">
        <v>12</v>
      </c>
      <c r="I244" s="9" t="s">
        <v>12</v>
      </c>
      <c r="J244" s="9" t="s">
        <v>12</v>
      </c>
      <c r="K244" s="9"/>
      <c r="L244" s="9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6"/>
      <c r="B245" s="6"/>
      <c r="C245" s="13"/>
      <c r="D245" s="8"/>
      <c r="E245" s="9"/>
      <c r="F245" s="14" t="s">
        <v>12</v>
      </c>
      <c r="G245" s="9" t="s">
        <v>12</v>
      </c>
      <c r="H245" s="9" t="s">
        <v>12</v>
      </c>
      <c r="I245" s="9" t="s">
        <v>12</v>
      </c>
      <c r="J245" s="9" t="s">
        <v>12</v>
      </c>
      <c r="K245" s="9"/>
      <c r="L245" s="9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6"/>
      <c r="B246" s="6"/>
      <c r="C246" s="13"/>
      <c r="D246" s="8"/>
      <c r="E246" s="9"/>
      <c r="F246" s="14" t="s">
        <v>12</v>
      </c>
      <c r="G246" s="9" t="s">
        <v>12</v>
      </c>
      <c r="H246" s="9" t="s">
        <v>12</v>
      </c>
      <c r="I246" s="9" t="s">
        <v>12</v>
      </c>
      <c r="J246" s="9" t="s">
        <v>12</v>
      </c>
      <c r="K246" s="9"/>
      <c r="L246" s="9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6"/>
      <c r="B247" s="6"/>
      <c r="C247" s="13"/>
      <c r="D247" s="8"/>
      <c r="E247" s="9"/>
      <c r="F247" s="14" t="s">
        <v>12</v>
      </c>
      <c r="G247" s="9" t="s">
        <v>12</v>
      </c>
      <c r="H247" s="9" t="s">
        <v>12</v>
      </c>
      <c r="I247" s="9" t="s">
        <v>12</v>
      </c>
      <c r="J247" s="9" t="s">
        <v>12</v>
      </c>
      <c r="K247" s="9"/>
      <c r="L247" s="9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6"/>
      <c r="B248" s="6"/>
      <c r="C248" s="13"/>
      <c r="D248" s="8"/>
      <c r="E248" s="9"/>
      <c r="F248" s="14" t="s">
        <v>12</v>
      </c>
      <c r="G248" s="9" t="s">
        <v>12</v>
      </c>
      <c r="H248" s="9" t="s">
        <v>12</v>
      </c>
      <c r="I248" s="9" t="s">
        <v>12</v>
      </c>
      <c r="J248" s="9" t="s">
        <v>12</v>
      </c>
      <c r="K248" s="9"/>
      <c r="L248" s="9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6"/>
      <c r="B249" s="6"/>
      <c r="C249" s="13"/>
      <c r="D249" s="8"/>
      <c r="E249" s="9"/>
      <c r="F249" s="14" t="s">
        <v>12</v>
      </c>
      <c r="G249" s="9" t="s">
        <v>12</v>
      </c>
      <c r="H249" s="9" t="s">
        <v>12</v>
      </c>
      <c r="I249" s="9" t="s">
        <v>12</v>
      </c>
      <c r="J249" s="9" t="s">
        <v>12</v>
      </c>
      <c r="K249" s="9"/>
      <c r="L249" s="9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6"/>
      <c r="B250" s="6"/>
      <c r="C250" s="13"/>
      <c r="D250" s="8"/>
      <c r="E250" s="9"/>
      <c r="F250" s="14" t="s">
        <v>12</v>
      </c>
      <c r="G250" s="9" t="s">
        <v>12</v>
      </c>
      <c r="H250" s="9" t="s">
        <v>12</v>
      </c>
      <c r="I250" s="9" t="s">
        <v>12</v>
      </c>
      <c r="J250" s="9" t="s">
        <v>12</v>
      </c>
      <c r="K250" s="9"/>
      <c r="L250" s="9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6"/>
      <c r="B251" s="6"/>
      <c r="C251" s="13"/>
      <c r="D251" s="8"/>
      <c r="E251" s="9"/>
      <c r="F251" s="14" t="s">
        <v>12</v>
      </c>
      <c r="G251" s="9" t="s">
        <v>12</v>
      </c>
      <c r="H251" s="9" t="s">
        <v>12</v>
      </c>
      <c r="I251" s="9" t="s">
        <v>12</v>
      </c>
      <c r="J251" s="9" t="s">
        <v>12</v>
      </c>
      <c r="K251" s="9"/>
      <c r="L251" s="9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6"/>
      <c r="B252" s="6"/>
      <c r="C252" s="13"/>
      <c r="D252" s="8"/>
      <c r="E252" s="9"/>
      <c r="F252" s="14" t="s">
        <v>12</v>
      </c>
      <c r="G252" s="9" t="s">
        <v>12</v>
      </c>
      <c r="H252" s="9" t="s">
        <v>12</v>
      </c>
      <c r="I252" s="9" t="s">
        <v>12</v>
      </c>
      <c r="J252" s="9" t="s">
        <v>12</v>
      </c>
      <c r="K252" s="9"/>
      <c r="L252" s="9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6"/>
      <c r="B253" s="6"/>
      <c r="C253" s="13"/>
      <c r="D253" s="8"/>
      <c r="E253" s="9"/>
      <c r="F253" s="14" t="s">
        <v>12</v>
      </c>
      <c r="G253" s="9" t="s">
        <v>12</v>
      </c>
      <c r="H253" s="9" t="s">
        <v>12</v>
      </c>
      <c r="I253" s="9" t="s">
        <v>12</v>
      </c>
      <c r="J253" s="9" t="s">
        <v>12</v>
      </c>
      <c r="K253" s="9"/>
      <c r="L253" s="9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6"/>
      <c r="B254" s="6"/>
      <c r="C254" s="13"/>
      <c r="D254" s="8"/>
      <c r="E254" s="9"/>
      <c r="F254" s="14" t="s">
        <v>12</v>
      </c>
      <c r="G254" s="9" t="s">
        <v>12</v>
      </c>
      <c r="H254" s="9" t="s">
        <v>12</v>
      </c>
      <c r="I254" s="9" t="s">
        <v>12</v>
      </c>
      <c r="J254" s="9" t="s">
        <v>12</v>
      </c>
      <c r="K254" s="9"/>
      <c r="L254" s="9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6"/>
      <c r="B255" s="6"/>
      <c r="C255" s="13"/>
      <c r="D255" s="8"/>
      <c r="E255" s="9"/>
      <c r="F255" s="14" t="s">
        <v>12</v>
      </c>
      <c r="G255" s="9" t="s">
        <v>12</v>
      </c>
      <c r="H255" s="9" t="s">
        <v>12</v>
      </c>
      <c r="I255" s="9" t="s">
        <v>12</v>
      </c>
      <c r="J255" s="9" t="s">
        <v>12</v>
      </c>
      <c r="K255" s="9"/>
      <c r="L255" s="9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6"/>
      <c r="B256" s="6"/>
      <c r="C256" s="13"/>
      <c r="D256" s="8"/>
      <c r="E256" s="9"/>
      <c r="F256" s="14" t="s">
        <v>12</v>
      </c>
      <c r="G256" s="9" t="s">
        <v>12</v>
      </c>
      <c r="H256" s="9" t="s">
        <v>12</v>
      </c>
      <c r="I256" s="9" t="s">
        <v>12</v>
      </c>
      <c r="J256" s="9" t="s">
        <v>12</v>
      </c>
      <c r="K256" s="9"/>
      <c r="L256" s="9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6"/>
      <c r="B257" s="6"/>
      <c r="C257" s="13"/>
      <c r="D257" s="8"/>
      <c r="E257" s="9"/>
      <c r="F257" s="14" t="s">
        <v>12</v>
      </c>
      <c r="G257" s="9" t="s">
        <v>12</v>
      </c>
      <c r="H257" s="9" t="s">
        <v>12</v>
      </c>
      <c r="I257" s="9" t="s">
        <v>12</v>
      </c>
      <c r="J257" s="9" t="s">
        <v>12</v>
      </c>
      <c r="K257" s="9"/>
      <c r="L257" s="9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6"/>
      <c r="B258" s="6"/>
      <c r="C258" s="13"/>
      <c r="D258" s="8"/>
      <c r="E258" s="9"/>
      <c r="F258" s="14" t="s">
        <v>12</v>
      </c>
      <c r="G258" s="9" t="s">
        <v>12</v>
      </c>
      <c r="H258" s="9" t="s">
        <v>12</v>
      </c>
      <c r="I258" s="9" t="s">
        <v>12</v>
      </c>
      <c r="J258" s="9" t="s">
        <v>12</v>
      </c>
      <c r="K258" s="9"/>
      <c r="L258" s="9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6"/>
      <c r="B259" s="6"/>
      <c r="C259" s="13"/>
      <c r="D259" s="8"/>
      <c r="E259" s="9"/>
      <c r="F259" s="14" t="s">
        <v>12</v>
      </c>
      <c r="G259" s="9" t="s">
        <v>12</v>
      </c>
      <c r="H259" s="9" t="s">
        <v>12</v>
      </c>
      <c r="I259" s="9" t="s">
        <v>12</v>
      </c>
      <c r="J259" s="9" t="s">
        <v>12</v>
      </c>
      <c r="K259" s="9"/>
      <c r="L259" s="9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6"/>
      <c r="B260" s="6"/>
      <c r="C260" s="13"/>
      <c r="D260" s="8"/>
      <c r="E260" s="9"/>
      <c r="F260" s="14" t="s">
        <v>12</v>
      </c>
      <c r="G260" s="9" t="s">
        <v>12</v>
      </c>
      <c r="H260" s="9" t="s">
        <v>12</v>
      </c>
      <c r="I260" s="9" t="s">
        <v>12</v>
      </c>
      <c r="J260" s="9" t="s">
        <v>12</v>
      </c>
      <c r="K260" s="9"/>
      <c r="L260" s="9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6"/>
      <c r="B261" s="6"/>
      <c r="C261" s="13"/>
      <c r="D261" s="8"/>
      <c r="E261" s="9"/>
      <c r="F261" s="14" t="s">
        <v>12</v>
      </c>
      <c r="G261" s="9" t="s">
        <v>12</v>
      </c>
      <c r="H261" s="9" t="s">
        <v>12</v>
      </c>
      <c r="I261" s="9" t="s">
        <v>12</v>
      </c>
      <c r="J261" s="9" t="s">
        <v>12</v>
      </c>
      <c r="K261" s="9"/>
      <c r="L261" s="9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6"/>
      <c r="B262" s="6"/>
      <c r="C262" s="13"/>
      <c r="D262" s="8"/>
      <c r="E262" s="9"/>
      <c r="F262" s="14" t="s">
        <v>12</v>
      </c>
      <c r="G262" s="9" t="s">
        <v>12</v>
      </c>
      <c r="H262" s="9" t="s">
        <v>12</v>
      </c>
      <c r="I262" s="9" t="s">
        <v>12</v>
      </c>
      <c r="J262" s="9" t="s">
        <v>12</v>
      </c>
      <c r="K262" s="9"/>
      <c r="L262" s="9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6"/>
      <c r="B263" s="6"/>
      <c r="C263" s="13"/>
      <c r="D263" s="8"/>
      <c r="E263" s="9"/>
      <c r="F263" s="14" t="s">
        <v>12</v>
      </c>
      <c r="G263" s="9" t="s">
        <v>12</v>
      </c>
      <c r="H263" s="9" t="s">
        <v>12</v>
      </c>
      <c r="I263" s="9" t="s">
        <v>12</v>
      </c>
      <c r="J263" s="9" t="s">
        <v>12</v>
      </c>
      <c r="K263" s="9"/>
      <c r="L263" s="9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6"/>
      <c r="B264" s="6"/>
      <c r="C264" s="13"/>
      <c r="D264" s="8"/>
      <c r="E264" s="9"/>
      <c r="F264" s="14" t="s">
        <v>12</v>
      </c>
      <c r="G264" s="9" t="s">
        <v>12</v>
      </c>
      <c r="H264" s="9" t="s">
        <v>12</v>
      </c>
      <c r="I264" s="9" t="s">
        <v>12</v>
      </c>
      <c r="J264" s="9" t="s">
        <v>12</v>
      </c>
      <c r="K264" s="9"/>
      <c r="L264" s="9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6"/>
      <c r="B265" s="6"/>
      <c r="C265" s="13"/>
      <c r="D265" s="8"/>
      <c r="E265" s="9"/>
      <c r="F265" s="14" t="s">
        <v>12</v>
      </c>
      <c r="G265" s="9" t="s">
        <v>12</v>
      </c>
      <c r="H265" s="9" t="s">
        <v>12</v>
      </c>
      <c r="I265" s="9" t="s">
        <v>12</v>
      </c>
      <c r="J265" s="9" t="s">
        <v>12</v>
      </c>
      <c r="K265" s="9"/>
      <c r="L265" s="9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6"/>
      <c r="B266" s="6"/>
      <c r="C266" s="13"/>
      <c r="D266" s="8"/>
      <c r="E266" s="9"/>
      <c r="F266" s="14" t="s">
        <v>12</v>
      </c>
      <c r="G266" s="9" t="s">
        <v>12</v>
      </c>
      <c r="H266" s="9" t="s">
        <v>12</v>
      </c>
      <c r="I266" s="9" t="s">
        <v>12</v>
      </c>
      <c r="J266" s="9" t="s">
        <v>12</v>
      </c>
      <c r="K266" s="9"/>
      <c r="L266" s="9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6"/>
      <c r="B267" s="6"/>
      <c r="C267" s="13"/>
      <c r="D267" s="8"/>
      <c r="E267" s="9"/>
      <c r="F267" s="14" t="s">
        <v>12</v>
      </c>
      <c r="G267" s="9" t="s">
        <v>12</v>
      </c>
      <c r="H267" s="9" t="s">
        <v>12</v>
      </c>
      <c r="I267" s="9" t="s">
        <v>12</v>
      </c>
      <c r="J267" s="9" t="s">
        <v>12</v>
      </c>
      <c r="K267" s="9"/>
      <c r="L267" s="9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6"/>
      <c r="B268" s="6"/>
      <c r="C268" s="13"/>
      <c r="D268" s="8"/>
      <c r="E268" s="9"/>
      <c r="F268" s="14" t="s">
        <v>12</v>
      </c>
      <c r="G268" s="9" t="s">
        <v>12</v>
      </c>
      <c r="H268" s="9" t="s">
        <v>12</v>
      </c>
      <c r="I268" s="9" t="s">
        <v>12</v>
      </c>
      <c r="J268" s="9" t="s">
        <v>12</v>
      </c>
      <c r="K268" s="9"/>
      <c r="L268" s="9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6"/>
      <c r="B269" s="6"/>
      <c r="C269" s="13"/>
      <c r="D269" s="8"/>
      <c r="E269" s="9"/>
      <c r="F269" s="14" t="s">
        <v>12</v>
      </c>
      <c r="G269" s="9" t="s">
        <v>12</v>
      </c>
      <c r="H269" s="9" t="s">
        <v>12</v>
      </c>
      <c r="I269" s="9" t="s">
        <v>12</v>
      </c>
      <c r="J269" s="9" t="s">
        <v>12</v>
      </c>
      <c r="K269" s="9"/>
      <c r="L269" s="9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6"/>
      <c r="B270" s="6"/>
      <c r="C270" s="13"/>
      <c r="D270" s="8"/>
      <c r="E270" s="9"/>
      <c r="F270" s="14" t="s">
        <v>12</v>
      </c>
      <c r="G270" s="9" t="s">
        <v>12</v>
      </c>
      <c r="H270" s="9" t="s">
        <v>12</v>
      </c>
      <c r="I270" s="9" t="s">
        <v>12</v>
      </c>
      <c r="J270" s="9" t="s">
        <v>12</v>
      </c>
      <c r="K270" s="9"/>
      <c r="L270" s="9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6"/>
      <c r="B271" s="6"/>
      <c r="C271" s="13"/>
      <c r="D271" s="8"/>
      <c r="E271" s="9"/>
      <c r="F271" s="14" t="s">
        <v>12</v>
      </c>
      <c r="G271" s="9" t="s">
        <v>12</v>
      </c>
      <c r="H271" s="9" t="s">
        <v>12</v>
      </c>
      <c r="I271" s="9" t="s">
        <v>12</v>
      </c>
      <c r="J271" s="9" t="s">
        <v>12</v>
      </c>
      <c r="K271" s="9"/>
      <c r="L271" s="9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6"/>
      <c r="B272" s="6"/>
      <c r="C272" s="13"/>
      <c r="D272" s="8"/>
      <c r="E272" s="9"/>
      <c r="F272" s="14" t="s">
        <v>12</v>
      </c>
      <c r="G272" s="9" t="s">
        <v>12</v>
      </c>
      <c r="H272" s="9" t="s">
        <v>12</v>
      </c>
      <c r="I272" s="9" t="s">
        <v>12</v>
      </c>
      <c r="J272" s="9" t="s">
        <v>12</v>
      </c>
      <c r="K272" s="9"/>
      <c r="L272" s="9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6"/>
      <c r="B273" s="6"/>
      <c r="C273" s="13"/>
      <c r="D273" s="8"/>
      <c r="E273" s="9"/>
      <c r="F273" s="14" t="s">
        <v>12</v>
      </c>
      <c r="G273" s="9" t="s">
        <v>12</v>
      </c>
      <c r="H273" s="9" t="s">
        <v>12</v>
      </c>
      <c r="I273" s="9" t="s">
        <v>12</v>
      </c>
      <c r="J273" s="9" t="s">
        <v>12</v>
      </c>
      <c r="K273" s="9"/>
      <c r="L273" s="9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6"/>
      <c r="B274" s="6"/>
      <c r="C274" s="13"/>
      <c r="D274" s="8"/>
      <c r="E274" s="9"/>
      <c r="F274" s="14" t="s">
        <v>12</v>
      </c>
      <c r="G274" s="9" t="s">
        <v>12</v>
      </c>
      <c r="H274" s="9" t="s">
        <v>12</v>
      </c>
      <c r="I274" s="9" t="s">
        <v>12</v>
      </c>
      <c r="J274" s="9" t="s">
        <v>12</v>
      </c>
      <c r="K274" s="9"/>
      <c r="L274" s="9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6"/>
      <c r="B275" s="6"/>
      <c r="C275" s="13"/>
      <c r="D275" s="8"/>
      <c r="E275" s="9"/>
      <c r="F275" s="14" t="s">
        <v>12</v>
      </c>
      <c r="G275" s="9" t="s">
        <v>12</v>
      </c>
      <c r="H275" s="9" t="s">
        <v>12</v>
      </c>
      <c r="I275" s="9" t="s">
        <v>12</v>
      </c>
      <c r="J275" s="9" t="s">
        <v>12</v>
      </c>
      <c r="K275" s="9"/>
      <c r="L275" s="9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6"/>
      <c r="B276" s="6"/>
      <c r="C276" s="13"/>
      <c r="D276" s="8"/>
      <c r="E276" s="9"/>
      <c r="F276" s="14" t="s">
        <v>12</v>
      </c>
      <c r="G276" s="9" t="s">
        <v>12</v>
      </c>
      <c r="H276" s="9" t="s">
        <v>12</v>
      </c>
      <c r="I276" s="9" t="s">
        <v>12</v>
      </c>
      <c r="J276" s="9" t="s">
        <v>12</v>
      </c>
      <c r="K276" s="9"/>
      <c r="L276" s="9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6"/>
      <c r="B277" s="6"/>
      <c r="C277" s="13"/>
      <c r="D277" s="8"/>
      <c r="E277" s="9"/>
      <c r="F277" s="14" t="s">
        <v>12</v>
      </c>
      <c r="G277" s="9" t="s">
        <v>12</v>
      </c>
      <c r="H277" s="9" t="s">
        <v>12</v>
      </c>
      <c r="I277" s="9" t="s">
        <v>12</v>
      </c>
      <c r="J277" s="9" t="s">
        <v>12</v>
      </c>
      <c r="K277" s="9"/>
      <c r="L277" s="9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6"/>
      <c r="B278" s="6"/>
      <c r="C278" s="13"/>
      <c r="D278" s="8"/>
      <c r="E278" s="9"/>
      <c r="F278" s="14" t="s">
        <v>12</v>
      </c>
      <c r="G278" s="9" t="s">
        <v>12</v>
      </c>
      <c r="H278" s="9" t="s">
        <v>12</v>
      </c>
      <c r="I278" s="9" t="s">
        <v>12</v>
      </c>
      <c r="J278" s="9" t="s">
        <v>12</v>
      </c>
      <c r="K278" s="9"/>
      <c r="L278" s="9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6"/>
      <c r="B279" s="6"/>
      <c r="C279" s="13"/>
      <c r="D279" s="8"/>
      <c r="E279" s="9"/>
      <c r="F279" s="14" t="s">
        <v>12</v>
      </c>
      <c r="G279" s="9" t="s">
        <v>12</v>
      </c>
      <c r="H279" s="9" t="s">
        <v>12</v>
      </c>
      <c r="I279" s="9" t="s">
        <v>12</v>
      </c>
      <c r="J279" s="9" t="s">
        <v>12</v>
      </c>
      <c r="K279" s="9"/>
      <c r="L279" s="9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6"/>
      <c r="B280" s="6"/>
      <c r="C280" s="13"/>
      <c r="D280" s="8"/>
      <c r="E280" s="9"/>
      <c r="F280" s="14" t="s">
        <v>12</v>
      </c>
      <c r="G280" s="9" t="s">
        <v>12</v>
      </c>
      <c r="H280" s="9" t="s">
        <v>12</v>
      </c>
      <c r="I280" s="9" t="s">
        <v>12</v>
      </c>
      <c r="J280" s="9" t="s">
        <v>12</v>
      </c>
      <c r="K280" s="9"/>
      <c r="L280" s="9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6"/>
      <c r="B281" s="6"/>
      <c r="C281" s="13"/>
      <c r="D281" s="8"/>
      <c r="E281" s="9"/>
      <c r="F281" s="14" t="s">
        <v>12</v>
      </c>
      <c r="G281" s="9" t="s">
        <v>12</v>
      </c>
      <c r="H281" s="9" t="s">
        <v>12</v>
      </c>
      <c r="I281" s="9" t="s">
        <v>12</v>
      </c>
      <c r="J281" s="9" t="s">
        <v>12</v>
      </c>
      <c r="K281" s="9"/>
      <c r="L281" s="9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6"/>
      <c r="B282" s="6"/>
      <c r="C282" s="13"/>
      <c r="D282" s="8"/>
      <c r="E282" s="9"/>
      <c r="F282" s="14" t="s">
        <v>12</v>
      </c>
      <c r="G282" s="9" t="s">
        <v>12</v>
      </c>
      <c r="H282" s="9" t="s">
        <v>12</v>
      </c>
      <c r="I282" s="9" t="s">
        <v>12</v>
      </c>
      <c r="J282" s="9" t="s">
        <v>12</v>
      </c>
      <c r="K282" s="9"/>
      <c r="L282" s="9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6"/>
      <c r="B283" s="6"/>
      <c r="C283" s="13"/>
      <c r="D283" s="8"/>
      <c r="E283" s="9"/>
      <c r="F283" s="14" t="s">
        <v>12</v>
      </c>
      <c r="G283" s="9" t="s">
        <v>12</v>
      </c>
      <c r="H283" s="9" t="s">
        <v>12</v>
      </c>
      <c r="I283" s="9" t="s">
        <v>12</v>
      </c>
      <c r="J283" s="9" t="s">
        <v>12</v>
      </c>
      <c r="K283" s="9"/>
      <c r="L283" s="9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6"/>
      <c r="B284" s="6"/>
      <c r="C284" s="13"/>
      <c r="D284" s="8"/>
      <c r="E284" s="9"/>
      <c r="F284" s="14" t="s">
        <v>12</v>
      </c>
      <c r="G284" s="9" t="s">
        <v>12</v>
      </c>
      <c r="H284" s="9" t="s">
        <v>12</v>
      </c>
      <c r="I284" s="9" t="s">
        <v>12</v>
      </c>
      <c r="J284" s="9" t="s">
        <v>12</v>
      </c>
      <c r="K284" s="9"/>
      <c r="L284" s="9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6"/>
      <c r="B285" s="6"/>
      <c r="C285" s="13"/>
      <c r="D285" s="8"/>
      <c r="E285" s="9"/>
      <c r="F285" s="14" t="s">
        <v>12</v>
      </c>
      <c r="G285" s="9" t="s">
        <v>12</v>
      </c>
      <c r="H285" s="9" t="s">
        <v>12</v>
      </c>
      <c r="I285" s="9" t="s">
        <v>12</v>
      </c>
      <c r="J285" s="9" t="s">
        <v>12</v>
      </c>
      <c r="K285" s="9"/>
      <c r="L285" s="9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6"/>
      <c r="B286" s="6"/>
      <c r="C286" s="13"/>
      <c r="D286" s="8"/>
      <c r="E286" s="9"/>
      <c r="F286" s="14" t="s">
        <v>12</v>
      </c>
      <c r="G286" s="9" t="s">
        <v>12</v>
      </c>
      <c r="H286" s="9" t="s">
        <v>12</v>
      </c>
      <c r="I286" s="9" t="s">
        <v>12</v>
      </c>
      <c r="J286" s="9" t="s">
        <v>12</v>
      </c>
      <c r="K286" s="9"/>
      <c r="L286" s="9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6"/>
      <c r="B287" s="6"/>
      <c r="C287" s="13"/>
      <c r="D287" s="8"/>
      <c r="E287" s="9"/>
      <c r="F287" s="14" t="s">
        <v>12</v>
      </c>
      <c r="G287" s="9" t="s">
        <v>12</v>
      </c>
      <c r="H287" s="9" t="s">
        <v>12</v>
      </c>
      <c r="I287" s="9" t="s">
        <v>12</v>
      </c>
      <c r="J287" s="9" t="s">
        <v>12</v>
      </c>
      <c r="K287" s="9"/>
      <c r="L287" s="9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6"/>
      <c r="B288" s="6"/>
      <c r="C288" s="13"/>
      <c r="D288" s="8"/>
      <c r="E288" s="9"/>
      <c r="F288" s="14" t="s">
        <v>12</v>
      </c>
      <c r="G288" s="9" t="s">
        <v>12</v>
      </c>
      <c r="H288" s="9" t="s">
        <v>12</v>
      </c>
      <c r="I288" s="9" t="s">
        <v>12</v>
      </c>
      <c r="J288" s="9" t="s">
        <v>12</v>
      </c>
      <c r="K288" s="9"/>
      <c r="L288" s="9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6"/>
      <c r="B289" s="6"/>
      <c r="C289" s="13"/>
      <c r="D289" s="8"/>
      <c r="E289" s="9"/>
      <c r="F289" s="14" t="s">
        <v>12</v>
      </c>
      <c r="G289" s="9" t="s">
        <v>12</v>
      </c>
      <c r="H289" s="9" t="s">
        <v>12</v>
      </c>
      <c r="I289" s="9" t="s">
        <v>12</v>
      </c>
      <c r="J289" s="9" t="s">
        <v>12</v>
      </c>
      <c r="K289" s="9"/>
      <c r="L289" s="9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6"/>
      <c r="B290" s="6"/>
      <c r="C290" s="13"/>
      <c r="D290" s="8"/>
      <c r="E290" s="9"/>
      <c r="F290" s="14" t="s">
        <v>12</v>
      </c>
      <c r="G290" s="9" t="s">
        <v>12</v>
      </c>
      <c r="H290" s="9" t="s">
        <v>12</v>
      </c>
      <c r="I290" s="9" t="s">
        <v>12</v>
      </c>
      <c r="J290" s="9" t="s">
        <v>12</v>
      </c>
      <c r="K290" s="9"/>
      <c r="L290" s="9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6"/>
      <c r="B291" s="6"/>
      <c r="C291" s="13"/>
      <c r="D291" s="8"/>
      <c r="E291" s="9"/>
      <c r="F291" s="14" t="s">
        <v>12</v>
      </c>
      <c r="G291" s="9" t="s">
        <v>12</v>
      </c>
      <c r="H291" s="9" t="s">
        <v>12</v>
      </c>
      <c r="I291" s="9" t="s">
        <v>12</v>
      </c>
      <c r="J291" s="9" t="s">
        <v>12</v>
      </c>
      <c r="K291" s="9"/>
      <c r="L291" s="9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6"/>
      <c r="B292" s="6"/>
      <c r="C292" s="13"/>
      <c r="D292" s="8"/>
      <c r="E292" s="9"/>
      <c r="F292" s="14" t="s">
        <v>12</v>
      </c>
      <c r="G292" s="9" t="s">
        <v>12</v>
      </c>
      <c r="H292" s="9" t="s">
        <v>12</v>
      </c>
      <c r="I292" s="9" t="s">
        <v>12</v>
      </c>
      <c r="J292" s="9" t="s">
        <v>12</v>
      </c>
      <c r="K292" s="9"/>
      <c r="L292" s="9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6"/>
      <c r="B293" s="6"/>
      <c r="C293" s="13"/>
      <c r="D293" s="8"/>
      <c r="E293" s="9"/>
      <c r="F293" s="14" t="s">
        <v>12</v>
      </c>
      <c r="G293" s="9" t="s">
        <v>12</v>
      </c>
      <c r="H293" s="9" t="s">
        <v>12</v>
      </c>
      <c r="I293" s="9" t="s">
        <v>12</v>
      </c>
      <c r="J293" s="9" t="s">
        <v>12</v>
      </c>
      <c r="K293" s="9"/>
      <c r="L293" s="9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6"/>
      <c r="B294" s="6"/>
      <c r="C294" s="13"/>
      <c r="D294" s="8"/>
      <c r="E294" s="9"/>
      <c r="F294" s="14" t="s">
        <v>12</v>
      </c>
      <c r="G294" s="9" t="s">
        <v>12</v>
      </c>
      <c r="H294" s="9" t="s">
        <v>12</v>
      </c>
      <c r="I294" s="9" t="s">
        <v>12</v>
      </c>
      <c r="J294" s="9" t="s">
        <v>12</v>
      </c>
      <c r="K294" s="9"/>
      <c r="L294" s="9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6"/>
      <c r="B295" s="6"/>
      <c r="C295" s="13"/>
      <c r="D295" s="8"/>
      <c r="E295" s="9"/>
      <c r="F295" s="14" t="s">
        <v>12</v>
      </c>
      <c r="G295" s="9" t="s">
        <v>12</v>
      </c>
      <c r="H295" s="9" t="s">
        <v>12</v>
      </c>
      <c r="I295" s="9" t="s">
        <v>12</v>
      </c>
      <c r="J295" s="9" t="s">
        <v>12</v>
      </c>
      <c r="K295" s="9"/>
      <c r="L295" s="9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6"/>
      <c r="B296" s="6"/>
      <c r="C296" s="13"/>
      <c r="D296" s="8"/>
      <c r="E296" s="9"/>
      <c r="F296" s="14" t="s">
        <v>12</v>
      </c>
      <c r="G296" s="9" t="s">
        <v>12</v>
      </c>
      <c r="H296" s="9" t="s">
        <v>12</v>
      </c>
      <c r="I296" s="9" t="s">
        <v>12</v>
      </c>
      <c r="J296" s="9" t="s">
        <v>12</v>
      </c>
      <c r="K296" s="9"/>
      <c r="L296" s="9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6"/>
      <c r="B297" s="6"/>
      <c r="C297" s="13"/>
      <c r="D297" s="8"/>
      <c r="E297" s="9"/>
      <c r="F297" s="14" t="s">
        <v>12</v>
      </c>
      <c r="G297" s="9" t="s">
        <v>12</v>
      </c>
      <c r="H297" s="9" t="s">
        <v>12</v>
      </c>
      <c r="I297" s="9" t="s">
        <v>12</v>
      </c>
      <c r="J297" s="9" t="s">
        <v>12</v>
      </c>
      <c r="K297" s="9"/>
      <c r="L297" s="9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6"/>
      <c r="B298" s="6"/>
      <c r="C298" s="13"/>
      <c r="D298" s="8"/>
      <c r="E298" s="9"/>
      <c r="F298" s="14" t="s">
        <v>12</v>
      </c>
      <c r="G298" s="9" t="s">
        <v>12</v>
      </c>
      <c r="H298" s="9" t="s">
        <v>12</v>
      </c>
      <c r="I298" s="9" t="s">
        <v>12</v>
      </c>
      <c r="J298" s="9" t="s">
        <v>12</v>
      </c>
      <c r="K298" s="9"/>
      <c r="L298" s="9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6"/>
      <c r="B299" s="6"/>
      <c r="C299" s="13"/>
      <c r="D299" s="8"/>
      <c r="E299" s="9"/>
      <c r="F299" s="14" t="s">
        <v>12</v>
      </c>
      <c r="G299" s="9" t="s">
        <v>12</v>
      </c>
      <c r="H299" s="9" t="s">
        <v>12</v>
      </c>
      <c r="I299" s="9" t="s">
        <v>12</v>
      </c>
      <c r="J299" s="9" t="s">
        <v>12</v>
      </c>
      <c r="K299" s="9"/>
      <c r="L299" s="9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6"/>
      <c r="B300" s="6"/>
      <c r="C300" s="13"/>
      <c r="D300" s="8"/>
      <c r="E300" s="9"/>
      <c r="F300" s="14" t="s">
        <v>12</v>
      </c>
      <c r="G300" s="9" t="s">
        <v>12</v>
      </c>
      <c r="H300" s="9" t="s">
        <v>12</v>
      </c>
      <c r="I300" s="9" t="s">
        <v>12</v>
      </c>
      <c r="J300" s="9" t="s">
        <v>12</v>
      </c>
      <c r="K300" s="9"/>
      <c r="L300" s="9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6"/>
      <c r="B301" s="6"/>
      <c r="C301" s="13"/>
      <c r="D301" s="8"/>
      <c r="E301" s="9"/>
      <c r="F301" s="14" t="s">
        <v>12</v>
      </c>
      <c r="G301" s="9" t="s">
        <v>12</v>
      </c>
      <c r="H301" s="9" t="s">
        <v>12</v>
      </c>
      <c r="I301" s="9" t="s">
        <v>12</v>
      </c>
      <c r="J301" s="9" t="s">
        <v>12</v>
      </c>
      <c r="K301" s="9"/>
      <c r="L301" s="9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6"/>
      <c r="B302" s="6"/>
      <c r="C302" s="13"/>
      <c r="D302" s="8"/>
      <c r="E302" s="9"/>
      <c r="F302" s="14" t="s">
        <v>12</v>
      </c>
      <c r="G302" s="9" t="s">
        <v>12</v>
      </c>
      <c r="H302" s="9" t="s">
        <v>12</v>
      </c>
      <c r="I302" s="9" t="s">
        <v>12</v>
      </c>
      <c r="J302" s="9" t="s">
        <v>12</v>
      </c>
      <c r="K302" s="9"/>
      <c r="L302" s="9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6"/>
      <c r="B303" s="6"/>
      <c r="C303" s="13"/>
      <c r="D303" s="8"/>
      <c r="E303" s="9"/>
      <c r="F303" s="14" t="s">
        <v>12</v>
      </c>
      <c r="G303" s="9" t="s">
        <v>12</v>
      </c>
      <c r="H303" s="9" t="s">
        <v>12</v>
      </c>
      <c r="I303" s="9" t="s">
        <v>12</v>
      </c>
      <c r="J303" s="9" t="s">
        <v>12</v>
      </c>
      <c r="K303" s="9"/>
      <c r="L303" s="9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6"/>
      <c r="B304" s="6"/>
      <c r="C304" s="13"/>
      <c r="D304" s="8"/>
      <c r="E304" s="9"/>
      <c r="F304" s="14" t="s">
        <v>12</v>
      </c>
      <c r="G304" s="9" t="s">
        <v>12</v>
      </c>
      <c r="H304" s="9" t="s">
        <v>12</v>
      </c>
      <c r="I304" s="9" t="s">
        <v>12</v>
      </c>
      <c r="J304" s="9" t="s">
        <v>12</v>
      </c>
      <c r="K304" s="9"/>
      <c r="L304" s="9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6"/>
      <c r="B305" s="6"/>
      <c r="C305" s="13"/>
      <c r="D305" s="8"/>
      <c r="E305" s="9"/>
      <c r="F305" s="14" t="s">
        <v>12</v>
      </c>
      <c r="G305" s="9" t="s">
        <v>12</v>
      </c>
      <c r="H305" s="9" t="s">
        <v>12</v>
      </c>
      <c r="I305" s="9" t="s">
        <v>12</v>
      </c>
      <c r="J305" s="9" t="s">
        <v>12</v>
      </c>
      <c r="K305" s="9"/>
      <c r="L305" s="9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6"/>
      <c r="B306" s="6"/>
      <c r="C306" s="13"/>
      <c r="D306" s="8"/>
      <c r="E306" s="9"/>
      <c r="F306" s="14" t="s">
        <v>12</v>
      </c>
      <c r="G306" s="9" t="s">
        <v>12</v>
      </c>
      <c r="H306" s="9" t="s">
        <v>12</v>
      </c>
      <c r="I306" s="9" t="s">
        <v>12</v>
      </c>
      <c r="J306" s="9" t="s">
        <v>12</v>
      </c>
      <c r="K306" s="9"/>
      <c r="L306" s="9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6"/>
      <c r="B307" s="6"/>
      <c r="C307" s="13"/>
      <c r="D307" s="8"/>
      <c r="E307" s="9"/>
      <c r="F307" s="14" t="s">
        <v>12</v>
      </c>
      <c r="G307" s="9" t="s">
        <v>12</v>
      </c>
      <c r="H307" s="9" t="s">
        <v>12</v>
      </c>
      <c r="I307" s="9" t="s">
        <v>12</v>
      </c>
      <c r="J307" s="9" t="s">
        <v>12</v>
      </c>
      <c r="K307" s="9"/>
      <c r="L307" s="9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6"/>
      <c r="B308" s="6"/>
      <c r="C308" s="13"/>
      <c r="D308" s="8"/>
      <c r="E308" s="9"/>
      <c r="F308" s="14" t="s">
        <v>12</v>
      </c>
      <c r="G308" s="9" t="s">
        <v>12</v>
      </c>
      <c r="H308" s="9" t="s">
        <v>12</v>
      </c>
      <c r="I308" s="9" t="s">
        <v>12</v>
      </c>
      <c r="J308" s="9" t="s">
        <v>12</v>
      </c>
      <c r="K308" s="9"/>
      <c r="L308" s="9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6"/>
      <c r="B309" s="6"/>
      <c r="C309" s="13"/>
      <c r="D309" s="8"/>
      <c r="E309" s="9"/>
      <c r="F309" s="14" t="s">
        <v>12</v>
      </c>
      <c r="G309" s="9" t="s">
        <v>12</v>
      </c>
      <c r="H309" s="9" t="s">
        <v>12</v>
      </c>
      <c r="I309" s="9" t="s">
        <v>12</v>
      </c>
      <c r="J309" s="9" t="s">
        <v>12</v>
      </c>
      <c r="K309" s="9"/>
      <c r="L309" s="9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6"/>
      <c r="B310" s="6"/>
      <c r="C310" s="13"/>
      <c r="D310" s="8"/>
      <c r="E310" s="9"/>
      <c r="F310" s="14" t="s">
        <v>12</v>
      </c>
      <c r="G310" s="9" t="s">
        <v>12</v>
      </c>
      <c r="H310" s="9" t="s">
        <v>12</v>
      </c>
      <c r="I310" s="9" t="s">
        <v>12</v>
      </c>
      <c r="J310" s="9" t="s">
        <v>12</v>
      </c>
      <c r="K310" s="9"/>
      <c r="L310" s="9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6"/>
      <c r="B311" s="6"/>
      <c r="C311" s="13"/>
      <c r="D311" s="8"/>
      <c r="E311" s="9"/>
      <c r="F311" s="14" t="s">
        <v>12</v>
      </c>
      <c r="G311" s="9" t="s">
        <v>12</v>
      </c>
      <c r="H311" s="9" t="s">
        <v>12</v>
      </c>
      <c r="I311" s="9" t="s">
        <v>12</v>
      </c>
      <c r="J311" s="9" t="s">
        <v>12</v>
      </c>
      <c r="K311" s="9"/>
      <c r="L311" s="9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6"/>
      <c r="B312" s="6"/>
      <c r="C312" s="13"/>
      <c r="D312" s="8"/>
      <c r="E312" s="9"/>
      <c r="F312" s="14" t="s">
        <v>12</v>
      </c>
      <c r="G312" s="9" t="s">
        <v>12</v>
      </c>
      <c r="H312" s="9" t="s">
        <v>12</v>
      </c>
      <c r="I312" s="9" t="s">
        <v>12</v>
      </c>
      <c r="J312" s="9" t="s">
        <v>12</v>
      </c>
      <c r="K312" s="9"/>
      <c r="L312" s="9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6"/>
      <c r="B313" s="6"/>
      <c r="C313" s="13"/>
      <c r="D313" s="8"/>
      <c r="E313" s="9"/>
      <c r="F313" s="14" t="s">
        <v>12</v>
      </c>
      <c r="G313" s="9" t="s">
        <v>12</v>
      </c>
      <c r="H313" s="9" t="s">
        <v>12</v>
      </c>
      <c r="I313" s="9" t="s">
        <v>12</v>
      </c>
      <c r="J313" s="9" t="s">
        <v>12</v>
      </c>
      <c r="K313" s="9"/>
      <c r="L313" s="9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6"/>
      <c r="B314" s="6"/>
      <c r="C314" s="13"/>
      <c r="D314" s="8"/>
      <c r="E314" s="9"/>
      <c r="F314" s="14" t="s">
        <v>12</v>
      </c>
      <c r="G314" s="9" t="s">
        <v>12</v>
      </c>
      <c r="H314" s="9" t="s">
        <v>12</v>
      </c>
      <c r="I314" s="9" t="s">
        <v>12</v>
      </c>
      <c r="J314" s="9" t="s">
        <v>12</v>
      </c>
      <c r="K314" s="9"/>
      <c r="L314" s="9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6"/>
      <c r="B315" s="6"/>
      <c r="C315" s="13"/>
      <c r="D315" s="8"/>
      <c r="E315" s="9"/>
      <c r="F315" s="14" t="s">
        <v>12</v>
      </c>
      <c r="G315" s="9" t="s">
        <v>12</v>
      </c>
      <c r="H315" s="9" t="s">
        <v>12</v>
      </c>
      <c r="I315" s="9" t="s">
        <v>12</v>
      </c>
      <c r="J315" s="9" t="s">
        <v>12</v>
      </c>
      <c r="K315" s="9"/>
      <c r="L315" s="9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6"/>
      <c r="B316" s="6"/>
      <c r="C316" s="13"/>
      <c r="D316" s="8"/>
      <c r="E316" s="9"/>
      <c r="F316" s="14" t="s">
        <v>12</v>
      </c>
      <c r="G316" s="9" t="s">
        <v>12</v>
      </c>
      <c r="H316" s="9" t="s">
        <v>12</v>
      </c>
      <c r="I316" s="9" t="s">
        <v>12</v>
      </c>
      <c r="J316" s="9" t="s">
        <v>12</v>
      </c>
      <c r="K316" s="9"/>
      <c r="L316" s="9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6"/>
      <c r="B317" s="6"/>
      <c r="C317" s="13"/>
      <c r="D317" s="8"/>
      <c r="E317" s="9"/>
      <c r="F317" s="14" t="s">
        <v>12</v>
      </c>
      <c r="G317" s="9" t="s">
        <v>12</v>
      </c>
      <c r="H317" s="9" t="s">
        <v>12</v>
      </c>
      <c r="I317" s="9" t="s">
        <v>12</v>
      </c>
      <c r="J317" s="9" t="s">
        <v>12</v>
      </c>
      <c r="K317" s="9"/>
      <c r="L317" s="9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6"/>
      <c r="B318" s="6"/>
      <c r="C318" s="13"/>
      <c r="D318" s="8"/>
      <c r="E318" s="9"/>
      <c r="F318" s="14" t="s">
        <v>12</v>
      </c>
      <c r="G318" s="9" t="s">
        <v>12</v>
      </c>
      <c r="H318" s="9" t="s">
        <v>12</v>
      </c>
      <c r="I318" s="9" t="s">
        <v>12</v>
      </c>
      <c r="J318" s="9" t="s">
        <v>12</v>
      </c>
      <c r="K318" s="9"/>
      <c r="L318" s="9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6"/>
      <c r="B319" s="6"/>
      <c r="C319" s="13"/>
      <c r="D319" s="8"/>
      <c r="E319" s="9"/>
      <c r="F319" s="14" t="s">
        <v>12</v>
      </c>
      <c r="G319" s="9" t="s">
        <v>12</v>
      </c>
      <c r="H319" s="9" t="s">
        <v>12</v>
      </c>
      <c r="I319" s="9" t="s">
        <v>12</v>
      </c>
      <c r="J319" s="9" t="s">
        <v>12</v>
      </c>
      <c r="K319" s="9"/>
      <c r="L319" s="9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6"/>
      <c r="B320" s="6"/>
      <c r="C320" s="13"/>
      <c r="D320" s="8"/>
      <c r="E320" s="9"/>
      <c r="F320" s="14" t="s">
        <v>12</v>
      </c>
      <c r="G320" s="9" t="s">
        <v>12</v>
      </c>
      <c r="H320" s="9" t="s">
        <v>12</v>
      </c>
      <c r="I320" s="9" t="s">
        <v>12</v>
      </c>
      <c r="J320" s="9" t="s">
        <v>12</v>
      </c>
      <c r="K320" s="9"/>
      <c r="L320" s="9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6"/>
      <c r="B321" s="6"/>
      <c r="C321" s="13"/>
      <c r="D321" s="8"/>
      <c r="E321" s="9"/>
      <c r="F321" s="14" t="s">
        <v>12</v>
      </c>
      <c r="G321" s="9" t="s">
        <v>12</v>
      </c>
      <c r="H321" s="9" t="s">
        <v>12</v>
      </c>
      <c r="I321" s="9" t="s">
        <v>12</v>
      </c>
      <c r="J321" s="9" t="s">
        <v>12</v>
      </c>
      <c r="K321" s="9"/>
      <c r="L321" s="9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6"/>
      <c r="B322" s="6"/>
      <c r="C322" s="13"/>
      <c r="D322" s="8"/>
      <c r="E322" s="9"/>
      <c r="F322" s="14" t="s">
        <v>12</v>
      </c>
      <c r="G322" s="9" t="s">
        <v>12</v>
      </c>
      <c r="H322" s="9" t="s">
        <v>12</v>
      </c>
      <c r="I322" s="9" t="s">
        <v>12</v>
      </c>
      <c r="J322" s="9" t="s">
        <v>12</v>
      </c>
      <c r="K322" s="9"/>
      <c r="L322" s="9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6"/>
      <c r="B323" s="6"/>
      <c r="C323" s="13"/>
      <c r="D323" s="8"/>
      <c r="E323" s="9"/>
      <c r="F323" s="14" t="s">
        <v>12</v>
      </c>
      <c r="G323" s="9" t="s">
        <v>12</v>
      </c>
      <c r="H323" s="9" t="s">
        <v>12</v>
      </c>
      <c r="I323" s="9" t="s">
        <v>12</v>
      </c>
      <c r="J323" s="9" t="s">
        <v>12</v>
      </c>
      <c r="K323" s="9"/>
      <c r="L323" s="9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6"/>
      <c r="B324" s="6"/>
      <c r="C324" s="13"/>
      <c r="D324" s="8"/>
      <c r="E324" s="9"/>
      <c r="F324" s="14" t="s">
        <v>12</v>
      </c>
      <c r="G324" s="9" t="s">
        <v>12</v>
      </c>
      <c r="H324" s="9" t="s">
        <v>12</v>
      </c>
      <c r="I324" s="9" t="s">
        <v>12</v>
      </c>
      <c r="J324" s="9" t="s">
        <v>12</v>
      </c>
      <c r="K324" s="9"/>
      <c r="L324" s="9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6"/>
      <c r="B325" s="6"/>
      <c r="C325" s="13"/>
      <c r="D325" s="8"/>
      <c r="E325" s="9"/>
      <c r="F325" s="14" t="s">
        <v>12</v>
      </c>
      <c r="G325" s="9" t="s">
        <v>12</v>
      </c>
      <c r="H325" s="9" t="s">
        <v>12</v>
      </c>
      <c r="I325" s="9" t="s">
        <v>12</v>
      </c>
      <c r="J325" s="9" t="s">
        <v>12</v>
      </c>
      <c r="K325" s="9"/>
      <c r="L325" s="9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6"/>
      <c r="B326" s="6"/>
      <c r="C326" s="13"/>
      <c r="D326" s="8"/>
      <c r="E326" s="9"/>
      <c r="F326" s="14" t="s">
        <v>12</v>
      </c>
      <c r="G326" s="9" t="s">
        <v>12</v>
      </c>
      <c r="H326" s="9" t="s">
        <v>12</v>
      </c>
      <c r="I326" s="9" t="s">
        <v>12</v>
      </c>
      <c r="J326" s="9" t="s">
        <v>12</v>
      </c>
      <c r="K326" s="9"/>
      <c r="L326" s="9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6"/>
      <c r="B327" s="6"/>
      <c r="C327" s="13"/>
      <c r="D327" s="8"/>
      <c r="E327" s="9"/>
      <c r="F327" s="14" t="s">
        <v>12</v>
      </c>
      <c r="G327" s="9" t="s">
        <v>12</v>
      </c>
      <c r="H327" s="9" t="s">
        <v>12</v>
      </c>
      <c r="I327" s="9" t="s">
        <v>12</v>
      </c>
      <c r="J327" s="9" t="s">
        <v>12</v>
      </c>
      <c r="K327" s="9"/>
      <c r="L327" s="9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6"/>
      <c r="B328" s="6"/>
      <c r="C328" s="13"/>
      <c r="D328" s="8"/>
      <c r="E328" s="9"/>
      <c r="F328" s="14" t="s">
        <v>12</v>
      </c>
      <c r="G328" s="9" t="s">
        <v>12</v>
      </c>
      <c r="H328" s="9" t="s">
        <v>12</v>
      </c>
      <c r="I328" s="9" t="s">
        <v>12</v>
      </c>
      <c r="J328" s="9" t="s">
        <v>12</v>
      </c>
      <c r="K328" s="9"/>
      <c r="L328" s="9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6"/>
      <c r="B329" s="6"/>
      <c r="C329" s="13"/>
      <c r="D329" s="8"/>
      <c r="E329" s="9"/>
      <c r="F329" s="14" t="s">
        <v>12</v>
      </c>
      <c r="G329" s="9" t="s">
        <v>12</v>
      </c>
      <c r="H329" s="9" t="s">
        <v>12</v>
      </c>
      <c r="I329" s="9" t="s">
        <v>12</v>
      </c>
      <c r="J329" s="9" t="s">
        <v>12</v>
      </c>
      <c r="K329" s="9"/>
      <c r="L329" s="9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6"/>
      <c r="B330" s="6"/>
      <c r="C330" s="13"/>
      <c r="D330" s="8"/>
      <c r="E330" s="9"/>
      <c r="F330" s="14" t="s">
        <v>12</v>
      </c>
      <c r="G330" s="9" t="s">
        <v>12</v>
      </c>
      <c r="H330" s="9" t="s">
        <v>12</v>
      </c>
      <c r="I330" s="9" t="s">
        <v>12</v>
      </c>
      <c r="J330" s="9" t="s">
        <v>12</v>
      </c>
      <c r="K330" s="9"/>
      <c r="L330" s="9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6"/>
      <c r="B331" s="6"/>
      <c r="C331" s="13"/>
      <c r="D331" s="8"/>
      <c r="E331" s="9"/>
      <c r="F331" s="14" t="s">
        <v>12</v>
      </c>
      <c r="G331" s="9" t="s">
        <v>12</v>
      </c>
      <c r="H331" s="9" t="s">
        <v>12</v>
      </c>
      <c r="I331" s="9" t="s">
        <v>12</v>
      </c>
      <c r="J331" s="9" t="s">
        <v>12</v>
      </c>
      <c r="K331" s="9"/>
      <c r="L331" s="9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6"/>
      <c r="B332" s="6"/>
      <c r="C332" s="13"/>
      <c r="D332" s="8"/>
      <c r="E332" s="9"/>
      <c r="F332" s="14" t="s">
        <v>12</v>
      </c>
      <c r="G332" s="9" t="s">
        <v>12</v>
      </c>
      <c r="H332" s="9" t="s">
        <v>12</v>
      </c>
      <c r="I332" s="9" t="s">
        <v>12</v>
      </c>
      <c r="J332" s="9" t="s">
        <v>12</v>
      </c>
      <c r="K332" s="9"/>
      <c r="L332" s="9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6"/>
      <c r="B333" s="6"/>
      <c r="C333" s="13"/>
      <c r="D333" s="8"/>
      <c r="E333" s="9"/>
      <c r="F333" s="14" t="s">
        <v>12</v>
      </c>
      <c r="G333" s="9" t="s">
        <v>12</v>
      </c>
      <c r="H333" s="9" t="s">
        <v>12</v>
      </c>
      <c r="I333" s="9" t="s">
        <v>12</v>
      </c>
      <c r="J333" s="9" t="s">
        <v>12</v>
      </c>
      <c r="K333" s="9"/>
      <c r="L333" s="9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6"/>
      <c r="B334" s="6"/>
      <c r="C334" s="13"/>
      <c r="D334" s="8"/>
      <c r="E334" s="9"/>
      <c r="F334" s="14" t="s">
        <v>12</v>
      </c>
      <c r="G334" s="9" t="s">
        <v>12</v>
      </c>
      <c r="H334" s="9" t="s">
        <v>12</v>
      </c>
      <c r="I334" s="9" t="s">
        <v>12</v>
      </c>
      <c r="J334" s="9" t="s">
        <v>12</v>
      </c>
      <c r="K334" s="9"/>
      <c r="L334" s="9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6"/>
      <c r="B335" s="6"/>
      <c r="C335" s="13"/>
      <c r="D335" s="8"/>
      <c r="E335" s="9"/>
      <c r="F335" s="14" t="s">
        <v>12</v>
      </c>
      <c r="G335" s="9" t="s">
        <v>12</v>
      </c>
      <c r="H335" s="9" t="s">
        <v>12</v>
      </c>
      <c r="I335" s="9" t="s">
        <v>12</v>
      </c>
      <c r="J335" s="9" t="s">
        <v>12</v>
      </c>
      <c r="K335" s="9"/>
      <c r="L335" s="9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6"/>
      <c r="B336" s="6"/>
      <c r="C336" s="13"/>
      <c r="D336" s="8"/>
      <c r="E336" s="9"/>
      <c r="F336" s="14" t="s">
        <v>12</v>
      </c>
      <c r="G336" s="9" t="s">
        <v>12</v>
      </c>
      <c r="H336" s="9" t="s">
        <v>12</v>
      </c>
      <c r="I336" s="9" t="s">
        <v>12</v>
      </c>
      <c r="J336" s="9" t="s">
        <v>12</v>
      </c>
      <c r="K336" s="9"/>
      <c r="L336" s="9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6"/>
      <c r="B337" s="6"/>
      <c r="C337" s="13"/>
      <c r="D337" s="8"/>
      <c r="E337" s="9"/>
      <c r="F337" s="14" t="s">
        <v>12</v>
      </c>
      <c r="G337" s="9" t="s">
        <v>12</v>
      </c>
      <c r="H337" s="9" t="s">
        <v>12</v>
      </c>
      <c r="I337" s="9" t="s">
        <v>12</v>
      </c>
      <c r="J337" s="9" t="s">
        <v>12</v>
      </c>
      <c r="K337" s="9"/>
      <c r="L337" s="9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6"/>
      <c r="B338" s="6"/>
      <c r="C338" s="13"/>
      <c r="D338" s="8"/>
      <c r="E338" s="9"/>
      <c r="F338" s="14" t="s">
        <v>12</v>
      </c>
      <c r="G338" s="9" t="s">
        <v>12</v>
      </c>
      <c r="H338" s="9" t="s">
        <v>12</v>
      </c>
      <c r="I338" s="9" t="s">
        <v>12</v>
      </c>
      <c r="J338" s="9" t="s">
        <v>12</v>
      </c>
      <c r="K338" s="9"/>
      <c r="L338" s="9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6"/>
      <c r="B339" s="6"/>
      <c r="C339" s="13"/>
      <c r="D339" s="8"/>
      <c r="E339" s="9"/>
      <c r="F339" s="14" t="s">
        <v>12</v>
      </c>
      <c r="G339" s="9" t="s">
        <v>12</v>
      </c>
      <c r="H339" s="9" t="s">
        <v>12</v>
      </c>
      <c r="I339" s="9" t="s">
        <v>12</v>
      </c>
      <c r="J339" s="9" t="s">
        <v>12</v>
      </c>
      <c r="K339" s="9"/>
      <c r="L339" s="9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6"/>
      <c r="B340" s="6"/>
      <c r="C340" s="13"/>
      <c r="D340" s="8"/>
      <c r="E340" s="9"/>
      <c r="F340" s="14" t="s">
        <v>12</v>
      </c>
      <c r="G340" s="9" t="s">
        <v>12</v>
      </c>
      <c r="H340" s="9" t="s">
        <v>12</v>
      </c>
      <c r="I340" s="9" t="s">
        <v>12</v>
      </c>
      <c r="J340" s="9" t="s">
        <v>12</v>
      </c>
      <c r="K340" s="9"/>
      <c r="L340" s="9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6"/>
      <c r="B341" s="6"/>
      <c r="C341" s="13"/>
      <c r="D341" s="8"/>
      <c r="E341" s="9"/>
      <c r="F341" s="14" t="s">
        <v>12</v>
      </c>
      <c r="G341" s="9" t="s">
        <v>12</v>
      </c>
      <c r="H341" s="9" t="s">
        <v>12</v>
      </c>
      <c r="I341" s="9" t="s">
        <v>12</v>
      </c>
      <c r="J341" s="9" t="s">
        <v>12</v>
      </c>
      <c r="K341" s="9"/>
      <c r="L341" s="9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6"/>
      <c r="B342" s="6"/>
      <c r="C342" s="13"/>
      <c r="D342" s="8"/>
      <c r="E342" s="9"/>
      <c r="F342" s="14" t="s">
        <v>12</v>
      </c>
      <c r="G342" s="9" t="s">
        <v>12</v>
      </c>
      <c r="H342" s="9" t="s">
        <v>12</v>
      </c>
      <c r="I342" s="9" t="s">
        <v>12</v>
      </c>
      <c r="J342" s="9" t="s">
        <v>12</v>
      </c>
      <c r="K342" s="9"/>
      <c r="L342" s="9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6"/>
      <c r="B343" s="6"/>
      <c r="C343" s="13"/>
      <c r="D343" s="8"/>
      <c r="E343" s="9"/>
      <c r="F343" s="14" t="s">
        <v>12</v>
      </c>
      <c r="G343" s="9" t="s">
        <v>12</v>
      </c>
      <c r="H343" s="9" t="s">
        <v>12</v>
      </c>
      <c r="I343" s="9" t="s">
        <v>12</v>
      </c>
      <c r="J343" s="9" t="s">
        <v>12</v>
      </c>
      <c r="K343" s="9"/>
      <c r="L343" s="9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6"/>
      <c r="B344" s="6"/>
      <c r="C344" s="13"/>
      <c r="D344" s="8"/>
      <c r="E344" s="9"/>
      <c r="F344" s="14" t="s">
        <v>12</v>
      </c>
      <c r="G344" s="9" t="s">
        <v>12</v>
      </c>
      <c r="H344" s="9" t="s">
        <v>12</v>
      </c>
      <c r="I344" s="9" t="s">
        <v>12</v>
      </c>
      <c r="J344" s="9" t="s">
        <v>12</v>
      </c>
      <c r="K344" s="9"/>
      <c r="L344" s="9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6"/>
      <c r="B345" s="6"/>
      <c r="C345" s="13"/>
      <c r="D345" s="8"/>
      <c r="E345" s="9"/>
      <c r="F345" s="14" t="s">
        <v>12</v>
      </c>
      <c r="G345" s="9" t="s">
        <v>12</v>
      </c>
      <c r="H345" s="9" t="s">
        <v>12</v>
      </c>
      <c r="I345" s="9" t="s">
        <v>12</v>
      </c>
      <c r="J345" s="9" t="s">
        <v>12</v>
      </c>
      <c r="K345" s="9"/>
      <c r="L345" s="9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6"/>
      <c r="B346" s="6"/>
      <c r="C346" s="13"/>
      <c r="D346" s="8"/>
      <c r="E346" s="9"/>
      <c r="F346" s="14" t="s">
        <v>12</v>
      </c>
      <c r="G346" s="9" t="s">
        <v>12</v>
      </c>
      <c r="H346" s="9" t="s">
        <v>12</v>
      </c>
      <c r="I346" s="9" t="s">
        <v>12</v>
      </c>
      <c r="J346" s="9" t="s">
        <v>12</v>
      </c>
      <c r="K346" s="9"/>
      <c r="L346" s="9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6"/>
      <c r="B347" s="6"/>
      <c r="C347" s="13"/>
      <c r="D347" s="8"/>
      <c r="E347" s="9"/>
      <c r="F347" s="14" t="s">
        <v>12</v>
      </c>
      <c r="G347" s="9" t="s">
        <v>12</v>
      </c>
      <c r="H347" s="9" t="s">
        <v>12</v>
      </c>
      <c r="I347" s="9" t="s">
        <v>12</v>
      </c>
      <c r="J347" s="9" t="s">
        <v>12</v>
      </c>
      <c r="K347" s="9"/>
      <c r="L347" s="9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6"/>
      <c r="B348" s="6"/>
      <c r="C348" s="13"/>
      <c r="D348" s="8"/>
      <c r="E348" s="9"/>
      <c r="F348" s="14" t="s">
        <v>12</v>
      </c>
      <c r="G348" s="9" t="s">
        <v>12</v>
      </c>
      <c r="H348" s="9" t="s">
        <v>12</v>
      </c>
      <c r="I348" s="9" t="s">
        <v>12</v>
      </c>
      <c r="J348" s="9" t="s">
        <v>12</v>
      </c>
      <c r="K348" s="9"/>
      <c r="L348" s="9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6"/>
      <c r="B349" s="6"/>
      <c r="C349" s="13"/>
      <c r="D349" s="8"/>
      <c r="E349" s="9"/>
      <c r="F349" s="14" t="s">
        <v>12</v>
      </c>
      <c r="G349" s="9" t="s">
        <v>12</v>
      </c>
      <c r="H349" s="9" t="s">
        <v>12</v>
      </c>
      <c r="I349" s="9" t="s">
        <v>12</v>
      </c>
      <c r="J349" s="9" t="s">
        <v>12</v>
      </c>
      <c r="K349" s="9"/>
      <c r="L349" s="9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6"/>
      <c r="B350" s="6"/>
      <c r="C350" s="13"/>
      <c r="D350" s="8"/>
      <c r="E350" s="9"/>
      <c r="F350" s="14" t="s">
        <v>12</v>
      </c>
      <c r="G350" s="9" t="s">
        <v>12</v>
      </c>
      <c r="H350" s="9" t="s">
        <v>12</v>
      </c>
      <c r="I350" s="9" t="s">
        <v>12</v>
      </c>
      <c r="J350" s="9" t="s">
        <v>12</v>
      </c>
      <c r="K350" s="9"/>
      <c r="L350" s="9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6"/>
      <c r="B351" s="6"/>
      <c r="C351" s="13"/>
      <c r="D351" s="8"/>
      <c r="E351" s="9"/>
      <c r="F351" s="14" t="s">
        <v>12</v>
      </c>
      <c r="G351" s="9" t="s">
        <v>12</v>
      </c>
      <c r="H351" s="9" t="s">
        <v>12</v>
      </c>
      <c r="I351" s="9" t="s">
        <v>12</v>
      </c>
      <c r="J351" s="9" t="s">
        <v>12</v>
      </c>
      <c r="K351" s="9"/>
      <c r="L351" s="9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6"/>
      <c r="B352" s="6"/>
      <c r="C352" s="13"/>
      <c r="D352" s="8"/>
      <c r="E352" s="9"/>
      <c r="F352" s="14" t="s">
        <v>12</v>
      </c>
      <c r="G352" s="9" t="s">
        <v>12</v>
      </c>
      <c r="H352" s="9" t="s">
        <v>12</v>
      </c>
      <c r="I352" s="9" t="s">
        <v>12</v>
      </c>
      <c r="J352" s="9" t="s">
        <v>12</v>
      </c>
      <c r="K352" s="9"/>
      <c r="L352" s="9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6"/>
      <c r="B353" s="6"/>
      <c r="C353" s="13"/>
      <c r="D353" s="8"/>
      <c r="E353" s="9"/>
      <c r="F353" s="14" t="s">
        <v>12</v>
      </c>
      <c r="G353" s="9" t="s">
        <v>12</v>
      </c>
      <c r="H353" s="9" t="s">
        <v>12</v>
      </c>
      <c r="I353" s="9" t="s">
        <v>12</v>
      </c>
      <c r="J353" s="9" t="s">
        <v>12</v>
      </c>
      <c r="K353" s="9"/>
      <c r="L353" s="9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6"/>
      <c r="B354" s="6"/>
      <c r="C354" s="13"/>
      <c r="D354" s="8"/>
      <c r="E354" s="9"/>
      <c r="F354" s="14" t="s">
        <v>12</v>
      </c>
      <c r="G354" s="9" t="s">
        <v>12</v>
      </c>
      <c r="H354" s="9" t="s">
        <v>12</v>
      </c>
      <c r="I354" s="9" t="s">
        <v>12</v>
      </c>
      <c r="J354" s="9" t="s">
        <v>12</v>
      </c>
      <c r="K354" s="9"/>
      <c r="L354" s="9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6"/>
      <c r="B355" s="6"/>
      <c r="C355" s="13"/>
      <c r="D355" s="8"/>
      <c r="E355" s="9"/>
      <c r="F355" s="14" t="s">
        <v>12</v>
      </c>
      <c r="G355" s="9" t="s">
        <v>12</v>
      </c>
      <c r="H355" s="9" t="s">
        <v>12</v>
      </c>
      <c r="I355" s="9" t="s">
        <v>12</v>
      </c>
      <c r="J355" s="9" t="s">
        <v>12</v>
      </c>
      <c r="K355" s="9"/>
      <c r="L355" s="9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6"/>
      <c r="B356" s="6"/>
      <c r="C356" s="13"/>
      <c r="D356" s="8"/>
      <c r="E356" s="9"/>
      <c r="F356" s="14" t="s">
        <v>12</v>
      </c>
      <c r="G356" s="9" t="s">
        <v>12</v>
      </c>
      <c r="H356" s="9" t="s">
        <v>12</v>
      </c>
      <c r="I356" s="9" t="s">
        <v>12</v>
      </c>
      <c r="J356" s="9" t="s">
        <v>12</v>
      </c>
      <c r="K356" s="9"/>
      <c r="L356" s="9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6"/>
      <c r="B357" s="6"/>
      <c r="C357" s="13"/>
      <c r="D357" s="8"/>
      <c r="E357" s="9"/>
      <c r="F357" s="14" t="s">
        <v>12</v>
      </c>
      <c r="G357" s="9" t="s">
        <v>12</v>
      </c>
      <c r="H357" s="9" t="s">
        <v>12</v>
      </c>
      <c r="I357" s="9" t="s">
        <v>12</v>
      </c>
      <c r="J357" s="9" t="s">
        <v>12</v>
      </c>
      <c r="K357" s="9"/>
      <c r="L357" s="9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6"/>
      <c r="B358" s="6"/>
      <c r="C358" s="13"/>
      <c r="D358" s="8"/>
      <c r="E358" s="9"/>
      <c r="F358" s="14" t="s">
        <v>12</v>
      </c>
      <c r="G358" s="9" t="s">
        <v>12</v>
      </c>
      <c r="H358" s="9" t="s">
        <v>12</v>
      </c>
      <c r="I358" s="9" t="s">
        <v>12</v>
      </c>
      <c r="J358" s="9" t="s">
        <v>12</v>
      </c>
      <c r="K358" s="9"/>
      <c r="L358" s="9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6"/>
      <c r="B359" s="6"/>
      <c r="C359" s="13"/>
      <c r="D359" s="8"/>
      <c r="E359" s="9"/>
      <c r="F359" s="14" t="s">
        <v>12</v>
      </c>
      <c r="G359" s="9" t="s">
        <v>12</v>
      </c>
      <c r="H359" s="9" t="s">
        <v>12</v>
      </c>
      <c r="I359" s="9" t="s">
        <v>12</v>
      </c>
      <c r="J359" s="9" t="s">
        <v>12</v>
      </c>
      <c r="K359" s="9"/>
      <c r="L359" s="9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6"/>
      <c r="B360" s="6"/>
      <c r="C360" s="13"/>
      <c r="D360" s="8"/>
      <c r="E360" s="9"/>
      <c r="F360" s="14" t="s">
        <v>12</v>
      </c>
      <c r="G360" s="9" t="s">
        <v>12</v>
      </c>
      <c r="H360" s="9" t="s">
        <v>12</v>
      </c>
      <c r="I360" s="9" t="s">
        <v>12</v>
      </c>
      <c r="J360" s="9" t="s">
        <v>12</v>
      </c>
      <c r="K360" s="9"/>
      <c r="L360" s="9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6"/>
      <c r="B361" s="6"/>
      <c r="C361" s="13"/>
      <c r="D361" s="8"/>
      <c r="E361" s="9"/>
      <c r="F361" s="14" t="s">
        <v>12</v>
      </c>
      <c r="G361" s="9" t="s">
        <v>12</v>
      </c>
      <c r="H361" s="9" t="s">
        <v>12</v>
      </c>
      <c r="I361" s="9" t="s">
        <v>12</v>
      </c>
      <c r="J361" s="9" t="s">
        <v>12</v>
      </c>
      <c r="K361" s="9"/>
      <c r="L361" s="9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6"/>
      <c r="B362" s="6"/>
      <c r="C362" s="13"/>
      <c r="D362" s="8"/>
      <c r="E362" s="9"/>
      <c r="F362" s="14" t="s">
        <v>12</v>
      </c>
      <c r="G362" s="9" t="s">
        <v>12</v>
      </c>
      <c r="H362" s="9" t="s">
        <v>12</v>
      </c>
      <c r="I362" s="9" t="s">
        <v>12</v>
      </c>
      <c r="J362" s="9" t="s">
        <v>12</v>
      </c>
      <c r="K362" s="9"/>
      <c r="L362" s="9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6"/>
      <c r="B363" s="6"/>
      <c r="C363" s="13"/>
      <c r="D363" s="8"/>
      <c r="E363" s="9"/>
      <c r="F363" s="14" t="s">
        <v>12</v>
      </c>
      <c r="G363" s="9" t="s">
        <v>12</v>
      </c>
      <c r="H363" s="9" t="s">
        <v>12</v>
      </c>
      <c r="I363" s="9" t="s">
        <v>12</v>
      </c>
      <c r="J363" s="9" t="s">
        <v>12</v>
      </c>
      <c r="K363" s="9"/>
      <c r="L363" s="9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6"/>
      <c r="B364" s="6"/>
      <c r="C364" s="13"/>
      <c r="D364" s="8"/>
      <c r="E364" s="9"/>
      <c r="F364" s="14" t="s">
        <v>12</v>
      </c>
      <c r="G364" s="9" t="s">
        <v>12</v>
      </c>
      <c r="H364" s="9" t="s">
        <v>12</v>
      </c>
      <c r="I364" s="9" t="s">
        <v>12</v>
      </c>
      <c r="J364" s="9" t="s">
        <v>12</v>
      </c>
      <c r="K364" s="9"/>
      <c r="L364" s="9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6"/>
      <c r="B365" s="6"/>
      <c r="C365" s="13"/>
      <c r="D365" s="8"/>
      <c r="E365" s="9"/>
      <c r="F365" s="14" t="s">
        <v>12</v>
      </c>
      <c r="G365" s="9" t="s">
        <v>12</v>
      </c>
      <c r="H365" s="9" t="s">
        <v>12</v>
      </c>
      <c r="I365" s="9" t="s">
        <v>12</v>
      </c>
      <c r="J365" s="9" t="s">
        <v>12</v>
      </c>
      <c r="K365" s="9"/>
      <c r="L365" s="9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6"/>
      <c r="B366" s="6"/>
      <c r="C366" s="13"/>
      <c r="D366" s="8"/>
      <c r="E366" s="9"/>
      <c r="F366" s="14" t="s">
        <v>12</v>
      </c>
      <c r="G366" s="9" t="s">
        <v>12</v>
      </c>
      <c r="H366" s="9" t="s">
        <v>12</v>
      </c>
      <c r="I366" s="9" t="s">
        <v>12</v>
      </c>
      <c r="J366" s="9" t="s">
        <v>12</v>
      </c>
      <c r="K366" s="9"/>
      <c r="L366" s="9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6"/>
      <c r="B367" s="6"/>
      <c r="C367" s="13"/>
      <c r="D367" s="8"/>
      <c r="E367" s="9"/>
      <c r="F367" s="14" t="s">
        <v>12</v>
      </c>
      <c r="G367" s="9" t="s">
        <v>12</v>
      </c>
      <c r="H367" s="9" t="s">
        <v>12</v>
      </c>
      <c r="I367" s="9" t="s">
        <v>12</v>
      </c>
      <c r="J367" s="9" t="s">
        <v>12</v>
      </c>
      <c r="K367" s="9"/>
      <c r="L367" s="9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6"/>
      <c r="B368" s="6"/>
      <c r="C368" s="13"/>
      <c r="D368" s="8"/>
      <c r="E368" s="9"/>
      <c r="F368" s="14" t="s">
        <v>12</v>
      </c>
      <c r="G368" s="9" t="s">
        <v>12</v>
      </c>
      <c r="H368" s="9" t="s">
        <v>12</v>
      </c>
      <c r="I368" s="9" t="s">
        <v>12</v>
      </c>
      <c r="J368" s="9" t="s">
        <v>12</v>
      </c>
      <c r="K368" s="9"/>
      <c r="L368" s="9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6"/>
      <c r="B369" s="6"/>
      <c r="C369" s="13"/>
      <c r="D369" s="8"/>
      <c r="E369" s="9"/>
      <c r="F369" s="14" t="s">
        <v>12</v>
      </c>
      <c r="G369" s="9" t="s">
        <v>12</v>
      </c>
      <c r="H369" s="9" t="s">
        <v>12</v>
      </c>
      <c r="I369" s="9" t="s">
        <v>12</v>
      </c>
      <c r="J369" s="9" t="s">
        <v>12</v>
      </c>
      <c r="K369" s="9"/>
      <c r="L369" s="9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6"/>
      <c r="B370" s="6"/>
      <c r="C370" s="13"/>
      <c r="D370" s="8"/>
      <c r="E370" s="9"/>
      <c r="F370" s="14" t="s">
        <v>12</v>
      </c>
      <c r="G370" s="9" t="s">
        <v>12</v>
      </c>
      <c r="H370" s="9" t="s">
        <v>12</v>
      </c>
      <c r="I370" s="9" t="s">
        <v>12</v>
      </c>
      <c r="J370" s="9" t="s">
        <v>12</v>
      </c>
      <c r="K370" s="9"/>
      <c r="L370" s="9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6"/>
      <c r="B371" s="6"/>
      <c r="C371" s="13"/>
      <c r="D371" s="8"/>
      <c r="E371" s="9"/>
      <c r="F371" s="14" t="s">
        <v>12</v>
      </c>
      <c r="G371" s="9" t="s">
        <v>12</v>
      </c>
      <c r="H371" s="9" t="s">
        <v>12</v>
      </c>
      <c r="I371" s="9" t="s">
        <v>12</v>
      </c>
      <c r="J371" s="9" t="s">
        <v>12</v>
      </c>
      <c r="K371" s="9"/>
      <c r="L371" s="9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6"/>
      <c r="B372" s="6"/>
      <c r="C372" s="13"/>
      <c r="D372" s="8"/>
      <c r="E372" s="9"/>
      <c r="F372" s="14" t="s">
        <v>12</v>
      </c>
      <c r="G372" s="9" t="s">
        <v>12</v>
      </c>
      <c r="H372" s="9" t="s">
        <v>12</v>
      </c>
      <c r="I372" s="9" t="s">
        <v>12</v>
      </c>
      <c r="J372" s="9" t="s">
        <v>12</v>
      </c>
      <c r="K372" s="9"/>
      <c r="L372" s="9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6"/>
      <c r="B373" s="6"/>
      <c r="C373" s="13"/>
      <c r="D373" s="8"/>
      <c r="E373" s="9"/>
      <c r="F373" s="14" t="s">
        <v>12</v>
      </c>
      <c r="G373" s="9" t="s">
        <v>12</v>
      </c>
      <c r="H373" s="9" t="s">
        <v>12</v>
      </c>
      <c r="I373" s="9" t="s">
        <v>12</v>
      </c>
      <c r="J373" s="9" t="s">
        <v>12</v>
      </c>
      <c r="K373" s="9"/>
      <c r="L373" s="9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6"/>
      <c r="B374" s="6"/>
      <c r="C374" s="13"/>
      <c r="D374" s="8"/>
      <c r="E374" s="9"/>
      <c r="F374" s="14" t="s">
        <v>12</v>
      </c>
      <c r="G374" s="9" t="s">
        <v>12</v>
      </c>
      <c r="H374" s="9" t="s">
        <v>12</v>
      </c>
      <c r="I374" s="9" t="s">
        <v>12</v>
      </c>
      <c r="J374" s="9" t="s">
        <v>12</v>
      </c>
      <c r="K374" s="9"/>
      <c r="L374" s="9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6"/>
      <c r="B375" s="6"/>
      <c r="C375" s="13"/>
      <c r="D375" s="8"/>
      <c r="E375" s="9"/>
      <c r="F375" s="14" t="s">
        <v>12</v>
      </c>
      <c r="G375" s="9" t="s">
        <v>12</v>
      </c>
      <c r="H375" s="9" t="s">
        <v>12</v>
      </c>
      <c r="I375" s="9" t="s">
        <v>12</v>
      </c>
      <c r="J375" s="9" t="s">
        <v>12</v>
      </c>
      <c r="K375" s="9"/>
      <c r="L375" s="9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6"/>
      <c r="B376" s="6"/>
      <c r="C376" s="13"/>
      <c r="D376" s="8"/>
      <c r="E376" s="9"/>
      <c r="F376" s="14" t="s">
        <v>12</v>
      </c>
      <c r="G376" s="9" t="s">
        <v>12</v>
      </c>
      <c r="H376" s="9" t="s">
        <v>12</v>
      </c>
      <c r="I376" s="9" t="s">
        <v>12</v>
      </c>
      <c r="J376" s="9" t="s">
        <v>12</v>
      </c>
      <c r="K376" s="9"/>
      <c r="L376" s="9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6"/>
      <c r="B377" s="6"/>
      <c r="C377" s="13"/>
      <c r="D377" s="8"/>
      <c r="E377" s="9"/>
      <c r="F377" s="14" t="s">
        <v>12</v>
      </c>
      <c r="G377" s="9" t="s">
        <v>12</v>
      </c>
      <c r="H377" s="9" t="s">
        <v>12</v>
      </c>
      <c r="I377" s="9" t="s">
        <v>12</v>
      </c>
      <c r="J377" s="9" t="s">
        <v>12</v>
      </c>
      <c r="K377" s="9"/>
      <c r="L377" s="9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6"/>
      <c r="B378" s="6"/>
      <c r="C378" s="13"/>
      <c r="D378" s="8"/>
      <c r="E378" s="9"/>
      <c r="F378" s="14" t="s">
        <v>12</v>
      </c>
      <c r="G378" s="9" t="s">
        <v>12</v>
      </c>
      <c r="H378" s="9" t="s">
        <v>12</v>
      </c>
      <c r="I378" s="9" t="s">
        <v>12</v>
      </c>
      <c r="J378" s="9" t="s">
        <v>12</v>
      </c>
      <c r="K378" s="9"/>
      <c r="L378" s="9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6"/>
      <c r="B379" s="6"/>
      <c r="C379" s="13"/>
      <c r="D379" s="8"/>
      <c r="E379" s="9"/>
      <c r="F379" s="14" t="s">
        <v>12</v>
      </c>
      <c r="G379" s="9" t="s">
        <v>12</v>
      </c>
      <c r="H379" s="9" t="s">
        <v>12</v>
      </c>
      <c r="I379" s="9" t="s">
        <v>12</v>
      </c>
      <c r="J379" s="9" t="s">
        <v>12</v>
      </c>
      <c r="K379" s="9"/>
      <c r="L379" s="9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6"/>
      <c r="B380" s="6"/>
      <c r="C380" s="13"/>
      <c r="D380" s="8"/>
      <c r="E380" s="9"/>
      <c r="F380" s="14" t="s">
        <v>12</v>
      </c>
      <c r="G380" s="9" t="s">
        <v>12</v>
      </c>
      <c r="H380" s="9" t="s">
        <v>12</v>
      </c>
      <c r="I380" s="9" t="s">
        <v>12</v>
      </c>
      <c r="J380" s="9" t="s">
        <v>12</v>
      </c>
      <c r="K380" s="9"/>
      <c r="L380" s="9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6"/>
      <c r="B381" s="6"/>
      <c r="C381" s="13"/>
      <c r="D381" s="8"/>
      <c r="E381" s="9"/>
      <c r="F381" s="14" t="s">
        <v>12</v>
      </c>
      <c r="G381" s="9" t="s">
        <v>12</v>
      </c>
      <c r="H381" s="9" t="s">
        <v>12</v>
      </c>
      <c r="I381" s="9" t="s">
        <v>12</v>
      </c>
      <c r="J381" s="9" t="s">
        <v>12</v>
      </c>
      <c r="K381" s="9"/>
      <c r="L381" s="9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6"/>
      <c r="B382" s="6"/>
      <c r="C382" s="13"/>
      <c r="D382" s="8"/>
      <c r="E382" s="9"/>
      <c r="F382" s="14" t="s">
        <v>12</v>
      </c>
      <c r="G382" s="9" t="s">
        <v>12</v>
      </c>
      <c r="H382" s="9" t="s">
        <v>12</v>
      </c>
      <c r="I382" s="9" t="s">
        <v>12</v>
      </c>
      <c r="J382" s="9" t="s">
        <v>12</v>
      </c>
      <c r="K382" s="9"/>
      <c r="L382" s="9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6"/>
      <c r="B383" s="6"/>
      <c r="C383" s="13"/>
      <c r="D383" s="8"/>
      <c r="E383" s="9"/>
      <c r="F383" s="14" t="s">
        <v>12</v>
      </c>
      <c r="G383" s="9" t="s">
        <v>12</v>
      </c>
      <c r="H383" s="9" t="s">
        <v>12</v>
      </c>
      <c r="I383" s="9" t="s">
        <v>12</v>
      </c>
      <c r="J383" s="9" t="s">
        <v>12</v>
      </c>
      <c r="K383" s="9"/>
      <c r="L383" s="9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6"/>
      <c r="B384" s="6"/>
      <c r="C384" s="13"/>
      <c r="D384" s="8"/>
      <c r="E384" s="9"/>
      <c r="F384" s="14" t="s">
        <v>12</v>
      </c>
      <c r="G384" s="9" t="s">
        <v>12</v>
      </c>
      <c r="H384" s="9" t="s">
        <v>12</v>
      </c>
      <c r="I384" s="9" t="s">
        <v>12</v>
      </c>
      <c r="J384" s="9" t="s">
        <v>12</v>
      </c>
      <c r="K384" s="9"/>
      <c r="L384" s="9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6"/>
      <c r="B385" s="6"/>
      <c r="C385" s="13"/>
      <c r="D385" s="8"/>
      <c r="E385" s="9"/>
      <c r="F385" s="14" t="s">
        <v>12</v>
      </c>
      <c r="G385" s="9" t="s">
        <v>12</v>
      </c>
      <c r="H385" s="9" t="s">
        <v>12</v>
      </c>
      <c r="I385" s="9" t="s">
        <v>12</v>
      </c>
      <c r="J385" s="9" t="s">
        <v>12</v>
      </c>
      <c r="K385" s="9"/>
      <c r="L385" s="9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6"/>
      <c r="B386" s="6"/>
      <c r="C386" s="13"/>
      <c r="D386" s="8"/>
      <c r="E386" s="9"/>
      <c r="F386" s="14" t="s">
        <v>12</v>
      </c>
      <c r="G386" s="9" t="s">
        <v>12</v>
      </c>
      <c r="H386" s="9" t="s">
        <v>12</v>
      </c>
      <c r="I386" s="9" t="s">
        <v>12</v>
      </c>
      <c r="J386" s="9" t="s">
        <v>12</v>
      </c>
      <c r="K386" s="9"/>
      <c r="L386" s="9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6"/>
      <c r="B387" s="6"/>
      <c r="C387" s="13"/>
      <c r="D387" s="8"/>
      <c r="E387" s="9"/>
      <c r="F387" s="14" t="s">
        <v>12</v>
      </c>
      <c r="G387" s="9" t="s">
        <v>12</v>
      </c>
      <c r="H387" s="9" t="s">
        <v>12</v>
      </c>
      <c r="I387" s="9" t="s">
        <v>12</v>
      </c>
      <c r="J387" s="9" t="s">
        <v>12</v>
      </c>
      <c r="K387" s="9"/>
      <c r="L387" s="9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6"/>
      <c r="B388" s="6"/>
      <c r="C388" s="13"/>
      <c r="D388" s="8"/>
      <c r="E388" s="9"/>
      <c r="F388" s="14" t="s">
        <v>12</v>
      </c>
      <c r="G388" s="9" t="s">
        <v>12</v>
      </c>
      <c r="H388" s="9" t="s">
        <v>12</v>
      </c>
      <c r="I388" s="9" t="s">
        <v>12</v>
      </c>
      <c r="J388" s="9" t="s">
        <v>12</v>
      </c>
      <c r="K388" s="9"/>
      <c r="L388" s="9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6"/>
      <c r="B389" s="6"/>
      <c r="C389" s="13"/>
      <c r="D389" s="8"/>
      <c r="E389" s="9"/>
      <c r="F389" s="14" t="s">
        <v>12</v>
      </c>
      <c r="G389" s="9" t="s">
        <v>12</v>
      </c>
      <c r="H389" s="9" t="s">
        <v>12</v>
      </c>
      <c r="I389" s="9" t="s">
        <v>12</v>
      </c>
      <c r="J389" s="9" t="s">
        <v>12</v>
      </c>
      <c r="K389" s="9"/>
      <c r="L389" s="9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6"/>
      <c r="B390" s="6"/>
      <c r="C390" s="13"/>
      <c r="D390" s="8"/>
      <c r="E390" s="9"/>
      <c r="F390" s="14" t="s">
        <v>12</v>
      </c>
      <c r="G390" s="9" t="s">
        <v>12</v>
      </c>
      <c r="H390" s="9" t="s">
        <v>12</v>
      </c>
      <c r="I390" s="9" t="s">
        <v>12</v>
      </c>
      <c r="J390" s="9" t="s">
        <v>12</v>
      </c>
      <c r="K390" s="9"/>
      <c r="L390" s="9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6"/>
      <c r="B391" s="6"/>
      <c r="C391" s="13"/>
      <c r="D391" s="8"/>
      <c r="E391" s="9"/>
      <c r="F391" s="14" t="s">
        <v>12</v>
      </c>
      <c r="G391" s="9" t="s">
        <v>12</v>
      </c>
      <c r="H391" s="9" t="s">
        <v>12</v>
      </c>
      <c r="I391" s="9" t="s">
        <v>12</v>
      </c>
      <c r="J391" s="9" t="s">
        <v>12</v>
      </c>
      <c r="K391" s="9"/>
      <c r="L391" s="9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6"/>
      <c r="B392" s="6"/>
      <c r="C392" s="13"/>
      <c r="D392" s="8"/>
      <c r="E392" s="9"/>
      <c r="F392" s="14" t="s">
        <v>12</v>
      </c>
      <c r="G392" s="9" t="s">
        <v>12</v>
      </c>
      <c r="H392" s="9" t="s">
        <v>12</v>
      </c>
      <c r="I392" s="9" t="s">
        <v>12</v>
      </c>
      <c r="J392" s="9" t="s">
        <v>12</v>
      </c>
      <c r="K392" s="9"/>
      <c r="L392" s="9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6"/>
      <c r="B393" s="6"/>
      <c r="C393" s="13"/>
      <c r="D393" s="8"/>
      <c r="E393" s="9"/>
      <c r="F393" s="14" t="s">
        <v>12</v>
      </c>
      <c r="G393" s="9" t="s">
        <v>12</v>
      </c>
      <c r="H393" s="9" t="s">
        <v>12</v>
      </c>
      <c r="I393" s="9" t="s">
        <v>12</v>
      </c>
      <c r="J393" s="9" t="s">
        <v>12</v>
      </c>
      <c r="K393" s="9"/>
      <c r="L393" s="9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6"/>
      <c r="B394" s="6"/>
      <c r="C394" s="13"/>
      <c r="D394" s="8"/>
      <c r="E394" s="9"/>
      <c r="F394" s="14" t="s">
        <v>12</v>
      </c>
      <c r="G394" s="9" t="s">
        <v>12</v>
      </c>
      <c r="H394" s="9" t="s">
        <v>12</v>
      </c>
      <c r="I394" s="9" t="s">
        <v>12</v>
      </c>
      <c r="J394" s="9" t="s">
        <v>12</v>
      </c>
      <c r="K394" s="9"/>
      <c r="L394" s="9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6"/>
      <c r="B395" s="6"/>
      <c r="C395" s="13"/>
      <c r="D395" s="8"/>
      <c r="E395" s="9"/>
      <c r="F395" s="14" t="s">
        <v>12</v>
      </c>
      <c r="G395" s="9" t="s">
        <v>12</v>
      </c>
      <c r="H395" s="9" t="s">
        <v>12</v>
      </c>
      <c r="I395" s="9" t="s">
        <v>12</v>
      </c>
      <c r="J395" s="9" t="s">
        <v>12</v>
      </c>
      <c r="K395" s="9"/>
      <c r="L395" s="9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6"/>
      <c r="B396" s="6"/>
      <c r="C396" s="13"/>
      <c r="D396" s="8"/>
      <c r="E396" s="9"/>
      <c r="F396" s="14" t="s">
        <v>12</v>
      </c>
      <c r="G396" s="9" t="s">
        <v>12</v>
      </c>
      <c r="H396" s="9" t="s">
        <v>12</v>
      </c>
      <c r="I396" s="9" t="s">
        <v>12</v>
      </c>
      <c r="J396" s="9" t="s">
        <v>12</v>
      </c>
      <c r="K396" s="9"/>
      <c r="L396" s="9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6"/>
      <c r="B397" s="6"/>
      <c r="C397" s="13"/>
      <c r="D397" s="8"/>
      <c r="E397" s="9"/>
      <c r="F397" s="14" t="s">
        <v>12</v>
      </c>
      <c r="G397" s="9" t="s">
        <v>12</v>
      </c>
      <c r="H397" s="9" t="s">
        <v>12</v>
      </c>
      <c r="I397" s="9" t="s">
        <v>12</v>
      </c>
      <c r="J397" s="9" t="s">
        <v>12</v>
      </c>
      <c r="K397" s="9"/>
      <c r="L397" s="9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6"/>
      <c r="B398" s="6"/>
      <c r="C398" s="13"/>
      <c r="D398" s="8"/>
      <c r="E398" s="9"/>
      <c r="F398" s="14" t="s">
        <v>12</v>
      </c>
      <c r="G398" s="9" t="s">
        <v>12</v>
      </c>
      <c r="H398" s="9" t="s">
        <v>12</v>
      </c>
      <c r="I398" s="9" t="s">
        <v>12</v>
      </c>
      <c r="J398" s="9" t="s">
        <v>12</v>
      </c>
      <c r="K398" s="9"/>
      <c r="L398" s="9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6"/>
      <c r="B399" s="6"/>
      <c r="C399" s="13"/>
      <c r="D399" s="8"/>
      <c r="E399" s="9"/>
      <c r="F399" s="14" t="s">
        <v>12</v>
      </c>
      <c r="G399" s="9" t="s">
        <v>12</v>
      </c>
      <c r="H399" s="9" t="s">
        <v>12</v>
      </c>
      <c r="I399" s="9" t="s">
        <v>12</v>
      </c>
      <c r="J399" s="9" t="s">
        <v>12</v>
      </c>
      <c r="K399" s="9"/>
      <c r="L399" s="9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6"/>
      <c r="B400" s="6"/>
      <c r="C400" s="13"/>
      <c r="D400" s="8"/>
      <c r="E400" s="9"/>
      <c r="F400" s="14" t="s">
        <v>12</v>
      </c>
      <c r="G400" s="9" t="s">
        <v>12</v>
      </c>
      <c r="H400" s="9" t="s">
        <v>12</v>
      </c>
      <c r="I400" s="9" t="s">
        <v>12</v>
      </c>
      <c r="J400" s="9" t="s">
        <v>12</v>
      </c>
      <c r="K400" s="9"/>
      <c r="L400" s="9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6"/>
      <c r="B401" s="6"/>
      <c r="C401" s="13"/>
      <c r="D401" s="8"/>
      <c r="E401" s="9"/>
      <c r="F401" s="14" t="s">
        <v>12</v>
      </c>
      <c r="G401" s="9" t="s">
        <v>12</v>
      </c>
      <c r="H401" s="9" t="s">
        <v>12</v>
      </c>
      <c r="I401" s="9" t="s">
        <v>12</v>
      </c>
      <c r="J401" s="9" t="s">
        <v>12</v>
      </c>
      <c r="K401" s="9"/>
      <c r="L401" s="9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6"/>
      <c r="B402" s="6"/>
      <c r="C402" s="13"/>
      <c r="D402" s="8"/>
      <c r="E402" s="9"/>
      <c r="F402" s="14" t="s">
        <v>12</v>
      </c>
      <c r="G402" s="9" t="s">
        <v>12</v>
      </c>
      <c r="H402" s="9" t="s">
        <v>12</v>
      </c>
      <c r="I402" s="9" t="s">
        <v>12</v>
      </c>
      <c r="J402" s="9" t="s">
        <v>12</v>
      </c>
      <c r="K402" s="9"/>
      <c r="L402" s="9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6"/>
      <c r="B403" s="6"/>
      <c r="C403" s="13"/>
      <c r="D403" s="8"/>
      <c r="E403" s="9"/>
      <c r="F403" s="14" t="s">
        <v>12</v>
      </c>
      <c r="G403" s="9" t="s">
        <v>12</v>
      </c>
      <c r="H403" s="9" t="s">
        <v>12</v>
      </c>
      <c r="I403" s="9" t="s">
        <v>12</v>
      </c>
      <c r="J403" s="9" t="s">
        <v>12</v>
      </c>
      <c r="K403" s="9"/>
      <c r="L403" s="9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6"/>
      <c r="B404" s="6"/>
      <c r="C404" s="13"/>
      <c r="D404" s="8"/>
      <c r="E404" s="9"/>
      <c r="F404" s="14" t="s">
        <v>12</v>
      </c>
      <c r="G404" s="9" t="s">
        <v>12</v>
      </c>
      <c r="H404" s="9" t="s">
        <v>12</v>
      </c>
      <c r="I404" s="9" t="s">
        <v>12</v>
      </c>
      <c r="J404" s="9" t="s">
        <v>12</v>
      </c>
      <c r="K404" s="9"/>
      <c r="L404" s="9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6"/>
      <c r="B405" s="6"/>
      <c r="C405" s="13"/>
      <c r="D405" s="8"/>
      <c r="E405" s="9"/>
      <c r="F405" s="14" t="s">
        <v>12</v>
      </c>
      <c r="G405" s="9" t="s">
        <v>12</v>
      </c>
      <c r="H405" s="9" t="s">
        <v>12</v>
      </c>
      <c r="I405" s="9" t="s">
        <v>12</v>
      </c>
      <c r="J405" s="9" t="s">
        <v>12</v>
      </c>
      <c r="K405" s="9"/>
      <c r="L405" s="9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6"/>
      <c r="B406" s="6"/>
      <c r="C406" s="13"/>
      <c r="D406" s="8"/>
      <c r="E406" s="9"/>
      <c r="F406" s="14" t="s">
        <v>12</v>
      </c>
      <c r="G406" s="9" t="s">
        <v>12</v>
      </c>
      <c r="H406" s="9" t="s">
        <v>12</v>
      </c>
      <c r="I406" s="9" t="s">
        <v>12</v>
      </c>
      <c r="J406" s="9" t="s">
        <v>12</v>
      </c>
      <c r="K406" s="9"/>
      <c r="L406" s="9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6"/>
      <c r="B407" s="6"/>
      <c r="C407" s="13"/>
      <c r="D407" s="8"/>
      <c r="E407" s="9"/>
      <c r="F407" s="14" t="s">
        <v>12</v>
      </c>
      <c r="G407" s="9" t="s">
        <v>12</v>
      </c>
      <c r="H407" s="9" t="s">
        <v>12</v>
      </c>
      <c r="I407" s="9" t="s">
        <v>12</v>
      </c>
      <c r="J407" s="9" t="s">
        <v>12</v>
      </c>
      <c r="K407" s="9"/>
      <c r="L407" s="9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6"/>
      <c r="B408" s="6"/>
      <c r="C408" s="13"/>
      <c r="D408" s="8"/>
      <c r="E408" s="9"/>
      <c r="F408" s="14" t="s">
        <v>12</v>
      </c>
      <c r="G408" s="9" t="s">
        <v>12</v>
      </c>
      <c r="H408" s="9" t="s">
        <v>12</v>
      </c>
      <c r="I408" s="9" t="s">
        <v>12</v>
      </c>
      <c r="J408" s="9" t="s">
        <v>12</v>
      </c>
      <c r="K408" s="9"/>
      <c r="L408" s="9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6"/>
      <c r="B409" s="6"/>
      <c r="C409" s="13"/>
      <c r="D409" s="8"/>
      <c r="E409" s="9"/>
      <c r="F409" s="14" t="s">
        <v>12</v>
      </c>
      <c r="G409" s="9" t="s">
        <v>12</v>
      </c>
      <c r="H409" s="9" t="s">
        <v>12</v>
      </c>
      <c r="I409" s="9" t="s">
        <v>12</v>
      </c>
      <c r="J409" s="9" t="s">
        <v>12</v>
      </c>
      <c r="K409" s="9"/>
      <c r="L409" s="9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6"/>
      <c r="B410" s="6"/>
      <c r="C410" s="13"/>
      <c r="D410" s="8"/>
      <c r="E410" s="9"/>
      <c r="F410" s="14" t="s">
        <v>12</v>
      </c>
      <c r="G410" s="9" t="s">
        <v>12</v>
      </c>
      <c r="H410" s="9" t="s">
        <v>12</v>
      </c>
      <c r="I410" s="9" t="s">
        <v>12</v>
      </c>
      <c r="J410" s="9" t="s">
        <v>12</v>
      </c>
      <c r="K410" s="9"/>
      <c r="L410" s="9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6"/>
      <c r="B411" s="6"/>
      <c r="C411" s="13"/>
      <c r="D411" s="8"/>
      <c r="E411" s="9"/>
      <c r="F411" s="14" t="s">
        <v>12</v>
      </c>
      <c r="G411" s="9" t="s">
        <v>12</v>
      </c>
      <c r="H411" s="9" t="s">
        <v>12</v>
      </c>
      <c r="I411" s="9" t="s">
        <v>12</v>
      </c>
      <c r="J411" s="9" t="s">
        <v>12</v>
      </c>
      <c r="K411" s="9"/>
      <c r="L411" s="9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6"/>
      <c r="B412" s="6"/>
      <c r="C412" s="13"/>
      <c r="D412" s="8"/>
      <c r="E412" s="9"/>
      <c r="F412" s="14" t="s">
        <v>12</v>
      </c>
      <c r="G412" s="9" t="s">
        <v>12</v>
      </c>
      <c r="H412" s="9" t="s">
        <v>12</v>
      </c>
      <c r="I412" s="9" t="s">
        <v>12</v>
      </c>
      <c r="J412" s="9" t="s">
        <v>12</v>
      </c>
      <c r="K412" s="9"/>
      <c r="L412" s="9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6"/>
      <c r="B413" s="6"/>
      <c r="C413" s="13"/>
      <c r="D413" s="8"/>
      <c r="E413" s="9"/>
      <c r="F413" s="14" t="s">
        <v>12</v>
      </c>
      <c r="G413" s="9" t="s">
        <v>12</v>
      </c>
      <c r="H413" s="9" t="s">
        <v>12</v>
      </c>
      <c r="I413" s="9" t="s">
        <v>12</v>
      </c>
      <c r="J413" s="9" t="s">
        <v>12</v>
      </c>
      <c r="K413" s="9"/>
      <c r="L413" s="9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6"/>
      <c r="B414" s="6"/>
      <c r="C414" s="13"/>
      <c r="D414" s="8"/>
      <c r="E414" s="9"/>
      <c r="F414" s="14" t="s">
        <v>12</v>
      </c>
      <c r="G414" s="9" t="s">
        <v>12</v>
      </c>
      <c r="H414" s="9" t="s">
        <v>12</v>
      </c>
      <c r="I414" s="9" t="s">
        <v>12</v>
      </c>
      <c r="J414" s="9" t="s">
        <v>12</v>
      </c>
      <c r="K414" s="9"/>
      <c r="L414" s="9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6"/>
      <c r="B415" s="6"/>
      <c r="C415" s="13"/>
      <c r="D415" s="8"/>
      <c r="E415" s="9"/>
      <c r="F415" s="14" t="s">
        <v>12</v>
      </c>
      <c r="G415" s="9" t="s">
        <v>12</v>
      </c>
      <c r="H415" s="9" t="s">
        <v>12</v>
      </c>
      <c r="I415" s="9" t="s">
        <v>12</v>
      </c>
      <c r="J415" s="9" t="s">
        <v>12</v>
      </c>
      <c r="K415" s="9"/>
      <c r="L415" s="9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6"/>
      <c r="B416" s="6"/>
      <c r="C416" s="13"/>
      <c r="D416" s="8"/>
      <c r="E416" s="9"/>
      <c r="F416" s="14" t="s">
        <v>12</v>
      </c>
      <c r="G416" s="9" t="s">
        <v>12</v>
      </c>
      <c r="H416" s="9" t="s">
        <v>12</v>
      </c>
      <c r="I416" s="9" t="s">
        <v>12</v>
      </c>
      <c r="J416" s="9" t="s">
        <v>12</v>
      </c>
      <c r="K416" s="9"/>
      <c r="L416" s="9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6"/>
      <c r="B417" s="6"/>
      <c r="C417" s="13"/>
      <c r="D417" s="8"/>
      <c r="E417" s="9"/>
      <c r="F417" s="14" t="s">
        <v>12</v>
      </c>
      <c r="G417" s="9" t="s">
        <v>12</v>
      </c>
      <c r="H417" s="9" t="s">
        <v>12</v>
      </c>
      <c r="I417" s="9" t="s">
        <v>12</v>
      </c>
      <c r="J417" s="9" t="s">
        <v>12</v>
      </c>
      <c r="K417" s="9"/>
      <c r="L417" s="9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6"/>
      <c r="B418" s="6"/>
      <c r="C418" s="13"/>
      <c r="D418" s="8"/>
      <c r="E418" s="9"/>
      <c r="F418" s="14" t="s">
        <v>12</v>
      </c>
      <c r="G418" s="9" t="s">
        <v>12</v>
      </c>
      <c r="H418" s="9" t="s">
        <v>12</v>
      </c>
      <c r="I418" s="9" t="s">
        <v>12</v>
      </c>
      <c r="J418" s="9" t="s">
        <v>12</v>
      </c>
      <c r="K418" s="9"/>
      <c r="L418" s="9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6"/>
      <c r="B419" s="6"/>
      <c r="C419" s="13"/>
      <c r="D419" s="8"/>
      <c r="E419" s="9"/>
      <c r="F419" s="14" t="s">
        <v>12</v>
      </c>
      <c r="G419" s="9" t="s">
        <v>12</v>
      </c>
      <c r="H419" s="9" t="s">
        <v>12</v>
      </c>
      <c r="I419" s="9" t="s">
        <v>12</v>
      </c>
      <c r="J419" s="9" t="s">
        <v>12</v>
      </c>
      <c r="K419" s="9"/>
      <c r="L419" s="9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6"/>
      <c r="B420" s="6"/>
      <c r="C420" s="13"/>
      <c r="D420" s="8"/>
      <c r="E420" s="9"/>
      <c r="F420" s="14" t="s">
        <v>12</v>
      </c>
      <c r="G420" s="9" t="s">
        <v>12</v>
      </c>
      <c r="H420" s="9" t="s">
        <v>12</v>
      </c>
      <c r="I420" s="9" t="s">
        <v>12</v>
      </c>
      <c r="J420" s="9" t="s">
        <v>12</v>
      </c>
      <c r="K420" s="9"/>
      <c r="L420" s="9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6"/>
      <c r="B421" s="6"/>
      <c r="C421" s="13"/>
      <c r="D421" s="8"/>
      <c r="E421" s="9"/>
      <c r="F421" s="14" t="s">
        <v>12</v>
      </c>
      <c r="G421" s="9" t="s">
        <v>12</v>
      </c>
      <c r="H421" s="9" t="s">
        <v>12</v>
      </c>
      <c r="I421" s="9" t="s">
        <v>12</v>
      </c>
      <c r="J421" s="9" t="s">
        <v>12</v>
      </c>
      <c r="K421" s="9"/>
      <c r="L421" s="9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6"/>
      <c r="B422" s="6"/>
      <c r="C422" s="13"/>
      <c r="D422" s="8"/>
      <c r="E422" s="9"/>
      <c r="F422" s="14" t="s">
        <v>12</v>
      </c>
      <c r="G422" s="9" t="s">
        <v>12</v>
      </c>
      <c r="H422" s="9" t="s">
        <v>12</v>
      </c>
      <c r="I422" s="9" t="s">
        <v>12</v>
      </c>
      <c r="J422" s="9" t="s">
        <v>12</v>
      </c>
      <c r="K422" s="9"/>
      <c r="L422" s="9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6"/>
      <c r="B423" s="6"/>
      <c r="C423" s="13"/>
      <c r="D423" s="8"/>
      <c r="E423" s="9"/>
      <c r="F423" s="14" t="s">
        <v>12</v>
      </c>
      <c r="G423" s="9" t="s">
        <v>12</v>
      </c>
      <c r="H423" s="9" t="s">
        <v>12</v>
      </c>
      <c r="I423" s="9" t="s">
        <v>12</v>
      </c>
      <c r="J423" s="9" t="s">
        <v>12</v>
      </c>
      <c r="K423" s="9"/>
      <c r="L423" s="9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6"/>
      <c r="B424" s="6"/>
      <c r="C424" s="13"/>
      <c r="D424" s="8"/>
      <c r="E424" s="9"/>
      <c r="F424" s="14" t="s">
        <v>12</v>
      </c>
      <c r="G424" s="9" t="s">
        <v>12</v>
      </c>
      <c r="H424" s="9" t="s">
        <v>12</v>
      </c>
      <c r="I424" s="9" t="s">
        <v>12</v>
      </c>
      <c r="J424" s="9" t="s">
        <v>12</v>
      </c>
      <c r="K424" s="9"/>
      <c r="L424" s="9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6"/>
      <c r="B425" s="6"/>
      <c r="C425" s="13"/>
      <c r="D425" s="8"/>
      <c r="E425" s="9"/>
      <c r="F425" s="14" t="s">
        <v>12</v>
      </c>
      <c r="G425" s="9" t="s">
        <v>12</v>
      </c>
      <c r="H425" s="9" t="s">
        <v>12</v>
      </c>
      <c r="I425" s="9" t="s">
        <v>12</v>
      </c>
      <c r="J425" s="9" t="s">
        <v>12</v>
      </c>
      <c r="K425" s="9"/>
      <c r="L425" s="9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6"/>
      <c r="B426" s="6"/>
      <c r="C426" s="13"/>
      <c r="D426" s="8"/>
      <c r="E426" s="9"/>
      <c r="F426" s="14" t="s">
        <v>12</v>
      </c>
      <c r="G426" s="9" t="s">
        <v>12</v>
      </c>
      <c r="H426" s="9" t="s">
        <v>12</v>
      </c>
      <c r="I426" s="9" t="s">
        <v>12</v>
      </c>
      <c r="J426" s="9" t="s">
        <v>12</v>
      </c>
      <c r="K426" s="9"/>
      <c r="L426" s="9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6"/>
      <c r="B427" s="6"/>
      <c r="C427" s="13"/>
      <c r="D427" s="8"/>
      <c r="E427" s="9"/>
      <c r="F427" s="14" t="s">
        <v>12</v>
      </c>
      <c r="G427" s="9" t="s">
        <v>12</v>
      </c>
      <c r="H427" s="9" t="s">
        <v>12</v>
      </c>
      <c r="I427" s="9" t="s">
        <v>12</v>
      </c>
      <c r="J427" s="9" t="s">
        <v>12</v>
      </c>
      <c r="K427" s="9"/>
      <c r="L427" s="9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6"/>
      <c r="B428" s="6"/>
      <c r="C428" s="13"/>
      <c r="D428" s="8"/>
      <c r="E428" s="9"/>
      <c r="F428" s="14" t="s">
        <v>12</v>
      </c>
      <c r="G428" s="9" t="s">
        <v>12</v>
      </c>
      <c r="H428" s="9" t="s">
        <v>12</v>
      </c>
      <c r="I428" s="9" t="s">
        <v>12</v>
      </c>
      <c r="J428" s="9" t="s">
        <v>12</v>
      </c>
      <c r="K428" s="9"/>
      <c r="L428" s="9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6"/>
      <c r="B429" s="6"/>
      <c r="C429" s="13"/>
      <c r="D429" s="8"/>
      <c r="E429" s="9"/>
      <c r="F429" s="14" t="s">
        <v>12</v>
      </c>
      <c r="G429" s="9" t="s">
        <v>12</v>
      </c>
      <c r="H429" s="9" t="s">
        <v>12</v>
      </c>
      <c r="I429" s="9" t="s">
        <v>12</v>
      </c>
      <c r="J429" s="9" t="s">
        <v>12</v>
      </c>
      <c r="K429" s="9"/>
      <c r="L429" s="9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6"/>
      <c r="B430" s="6"/>
      <c r="C430" s="13"/>
      <c r="D430" s="8"/>
      <c r="E430" s="9"/>
      <c r="F430" s="14" t="s">
        <v>12</v>
      </c>
      <c r="G430" s="9" t="s">
        <v>12</v>
      </c>
      <c r="H430" s="9" t="s">
        <v>12</v>
      </c>
      <c r="I430" s="9" t="s">
        <v>12</v>
      </c>
      <c r="J430" s="9" t="s">
        <v>12</v>
      </c>
      <c r="K430" s="9"/>
      <c r="L430" s="9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6"/>
      <c r="B431" s="6"/>
      <c r="C431" s="13"/>
      <c r="D431" s="8"/>
      <c r="E431" s="9"/>
      <c r="F431" s="14" t="s">
        <v>12</v>
      </c>
      <c r="G431" s="9" t="s">
        <v>12</v>
      </c>
      <c r="H431" s="9" t="s">
        <v>12</v>
      </c>
      <c r="I431" s="9" t="s">
        <v>12</v>
      </c>
      <c r="J431" s="9" t="s">
        <v>12</v>
      </c>
      <c r="K431" s="9"/>
      <c r="L431" s="9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6"/>
      <c r="B432" s="6"/>
      <c r="C432" s="13"/>
      <c r="D432" s="8"/>
      <c r="E432" s="9"/>
      <c r="F432" s="14" t="s">
        <v>12</v>
      </c>
      <c r="G432" s="9" t="s">
        <v>12</v>
      </c>
      <c r="H432" s="9" t="s">
        <v>12</v>
      </c>
      <c r="I432" s="9" t="s">
        <v>12</v>
      </c>
      <c r="J432" s="9" t="s">
        <v>12</v>
      </c>
      <c r="K432" s="9"/>
      <c r="L432" s="9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6"/>
      <c r="B433" s="6"/>
      <c r="C433" s="13"/>
      <c r="D433" s="8"/>
      <c r="E433" s="9"/>
      <c r="F433" s="14" t="s">
        <v>12</v>
      </c>
      <c r="G433" s="9" t="s">
        <v>12</v>
      </c>
      <c r="H433" s="9" t="s">
        <v>12</v>
      </c>
      <c r="I433" s="9" t="s">
        <v>12</v>
      </c>
      <c r="J433" s="9" t="s">
        <v>12</v>
      </c>
      <c r="K433" s="9"/>
      <c r="L433" s="9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6"/>
      <c r="B434" s="6"/>
      <c r="C434" s="13"/>
      <c r="D434" s="8"/>
      <c r="E434" s="9"/>
      <c r="F434" s="14" t="s">
        <v>12</v>
      </c>
      <c r="G434" s="9" t="s">
        <v>12</v>
      </c>
      <c r="H434" s="9" t="s">
        <v>12</v>
      </c>
      <c r="I434" s="9" t="s">
        <v>12</v>
      </c>
      <c r="J434" s="9" t="s">
        <v>12</v>
      </c>
      <c r="K434" s="9"/>
      <c r="L434" s="9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6"/>
      <c r="B435" s="6"/>
      <c r="C435" s="13"/>
      <c r="D435" s="8"/>
      <c r="E435" s="9"/>
      <c r="F435" s="14" t="s">
        <v>12</v>
      </c>
      <c r="G435" s="9" t="s">
        <v>12</v>
      </c>
      <c r="H435" s="9" t="s">
        <v>12</v>
      </c>
      <c r="I435" s="9" t="s">
        <v>12</v>
      </c>
      <c r="J435" s="9" t="s">
        <v>12</v>
      </c>
      <c r="K435" s="9"/>
      <c r="L435" s="9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6"/>
      <c r="B436" s="6"/>
      <c r="C436" s="13"/>
      <c r="D436" s="8"/>
      <c r="E436" s="9"/>
      <c r="F436" s="14" t="s">
        <v>12</v>
      </c>
      <c r="G436" s="9" t="s">
        <v>12</v>
      </c>
      <c r="H436" s="9" t="s">
        <v>12</v>
      </c>
      <c r="I436" s="9" t="s">
        <v>12</v>
      </c>
      <c r="J436" s="9" t="s">
        <v>12</v>
      </c>
      <c r="K436" s="9"/>
      <c r="L436" s="9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6"/>
      <c r="B437" s="6"/>
      <c r="C437" s="13"/>
      <c r="D437" s="8"/>
      <c r="E437" s="9"/>
      <c r="F437" s="14" t="s">
        <v>12</v>
      </c>
      <c r="G437" s="9" t="s">
        <v>12</v>
      </c>
      <c r="H437" s="9" t="s">
        <v>12</v>
      </c>
      <c r="I437" s="9" t="s">
        <v>12</v>
      </c>
      <c r="J437" s="9" t="s">
        <v>12</v>
      </c>
      <c r="K437" s="9"/>
      <c r="L437" s="9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6"/>
      <c r="B438" s="6"/>
      <c r="C438" s="13"/>
      <c r="D438" s="8"/>
      <c r="E438" s="9"/>
      <c r="F438" s="14" t="s">
        <v>12</v>
      </c>
      <c r="G438" s="9" t="s">
        <v>12</v>
      </c>
      <c r="H438" s="9" t="s">
        <v>12</v>
      </c>
      <c r="I438" s="9" t="s">
        <v>12</v>
      </c>
      <c r="J438" s="9" t="s">
        <v>12</v>
      </c>
      <c r="K438" s="9"/>
      <c r="L438" s="9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6"/>
      <c r="B439" s="6"/>
      <c r="C439" s="13"/>
      <c r="D439" s="8"/>
      <c r="E439" s="9"/>
      <c r="F439" s="14" t="s">
        <v>12</v>
      </c>
      <c r="G439" s="9" t="s">
        <v>12</v>
      </c>
      <c r="H439" s="9" t="s">
        <v>12</v>
      </c>
      <c r="I439" s="9" t="s">
        <v>12</v>
      </c>
      <c r="J439" s="9" t="s">
        <v>12</v>
      </c>
      <c r="K439" s="9"/>
      <c r="L439" s="9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6"/>
      <c r="B440" s="6"/>
      <c r="C440" s="13"/>
      <c r="D440" s="8"/>
      <c r="E440" s="9"/>
      <c r="F440" s="14" t="s">
        <v>12</v>
      </c>
      <c r="G440" s="9" t="s">
        <v>12</v>
      </c>
      <c r="H440" s="9" t="s">
        <v>12</v>
      </c>
      <c r="I440" s="9" t="s">
        <v>12</v>
      </c>
      <c r="J440" s="9" t="s">
        <v>12</v>
      </c>
      <c r="K440" s="9"/>
      <c r="L440" s="9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6"/>
      <c r="B441" s="6"/>
      <c r="C441" s="13"/>
      <c r="D441" s="8"/>
      <c r="E441" s="9"/>
      <c r="F441" s="14" t="s">
        <v>12</v>
      </c>
      <c r="G441" s="9" t="s">
        <v>12</v>
      </c>
      <c r="H441" s="9" t="s">
        <v>12</v>
      </c>
      <c r="I441" s="9" t="s">
        <v>12</v>
      </c>
      <c r="J441" s="9" t="s">
        <v>12</v>
      </c>
      <c r="K441" s="9"/>
      <c r="L441" s="9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6"/>
      <c r="B442" s="6"/>
      <c r="C442" s="13"/>
      <c r="D442" s="8"/>
      <c r="E442" s="9"/>
      <c r="F442" s="14" t="s">
        <v>12</v>
      </c>
      <c r="G442" s="9" t="s">
        <v>12</v>
      </c>
      <c r="H442" s="9" t="s">
        <v>12</v>
      </c>
      <c r="I442" s="9" t="s">
        <v>12</v>
      </c>
      <c r="J442" s="9" t="s">
        <v>12</v>
      </c>
      <c r="K442" s="9"/>
      <c r="L442" s="9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6"/>
      <c r="B443" s="6"/>
      <c r="C443" s="13"/>
      <c r="D443" s="8"/>
      <c r="E443" s="9"/>
      <c r="F443" s="14" t="s">
        <v>12</v>
      </c>
      <c r="G443" s="9" t="s">
        <v>12</v>
      </c>
      <c r="H443" s="9" t="s">
        <v>12</v>
      </c>
      <c r="I443" s="9" t="s">
        <v>12</v>
      </c>
      <c r="J443" s="9" t="s">
        <v>12</v>
      </c>
      <c r="K443" s="9"/>
      <c r="L443" s="9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6"/>
      <c r="B444" s="6"/>
      <c r="C444" s="13"/>
      <c r="D444" s="8"/>
      <c r="E444" s="9"/>
      <c r="F444" s="14" t="s">
        <v>12</v>
      </c>
      <c r="G444" s="9" t="s">
        <v>12</v>
      </c>
      <c r="H444" s="9" t="s">
        <v>12</v>
      </c>
      <c r="I444" s="9" t="s">
        <v>12</v>
      </c>
      <c r="J444" s="9" t="s">
        <v>12</v>
      </c>
      <c r="K444" s="9"/>
      <c r="L444" s="9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6"/>
      <c r="B445" s="6"/>
      <c r="C445" s="13"/>
      <c r="D445" s="8"/>
      <c r="E445" s="9"/>
      <c r="F445" s="14" t="s">
        <v>12</v>
      </c>
      <c r="G445" s="9" t="s">
        <v>12</v>
      </c>
      <c r="H445" s="9" t="s">
        <v>12</v>
      </c>
      <c r="I445" s="9" t="s">
        <v>12</v>
      </c>
      <c r="J445" s="9" t="s">
        <v>12</v>
      </c>
      <c r="K445" s="9"/>
      <c r="L445" s="9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6"/>
      <c r="B446" s="6"/>
      <c r="C446" s="13"/>
      <c r="D446" s="8"/>
      <c r="E446" s="9"/>
      <c r="F446" s="14" t="s">
        <v>12</v>
      </c>
      <c r="G446" s="9" t="s">
        <v>12</v>
      </c>
      <c r="H446" s="9" t="s">
        <v>12</v>
      </c>
      <c r="I446" s="9" t="s">
        <v>12</v>
      </c>
      <c r="J446" s="9" t="s">
        <v>12</v>
      </c>
      <c r="K446" s="9"/>
      <c r="L446" s="9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6"/>
      <c r="B447" s="6"/>
      <c r="C447" s="13"/>
      <c r="D447" s="8"/>
      <c r="E447" s="9"/>
      <c r="F447" s="14" t="s">
        <v>12</v>
      </c>
      <c r="G447" s="9" t="s">
        <v>12</v>
      </c>
      <c r="H447" s="9" t="s">
        <v>12</v>
      </c>
      <c r="I447" s="9" t="s">
        <v>12</v>
      </c>
      <c r="J447" s="9" t="s">
        <v>12</v>
      </c>
      <c r="K447" s="9"/>
      <c r="L447" s="9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6"/>
      <c r="B448" s="6"/>
      <c r="C448" s="13"/>
      <c r="D448" s="8"/>
      <c r="E448" s="9"/>
      <c r="F448" s="14" t="s">
        <v>12</v>
      </c>
      <c r="G448" s="9" t="s">
        <v>12</v>
      </c>
      <c r="H448" s="9" t="s">
        <v>12</v>
      </c>
      <c r="I448" s="9" t="s">
        <v>12</v>
      </c>
      <c r="J448" s="9" t="s">
        <v>12</v>
      </c>
      <c r="K448" s="9"/>
      <c r="L448" s="9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6"/>
      <c r="B449" s="6"/>
      <c r="C449" s="13"/>
      <c r="D449" s="8"/>
      <c r="E449" s="9"/>
      <c r="F449" s="14" t="s">
        <v>12</v>
      </c>
      <c r="G449" s="9" t="s">
        <v>12</v>
      </c>
      <c r="H449" s="9" t="s">
        <v>12</v>
      </c>
      <c r="I449" s="9" t="s">
        <v>12</v>
      </c>
      <c r="J449" s="9" t="s">
        <v>12</v>
      </c>
      <c r="K449" s="9"/>
      <c r="L449" s="9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6"/>
      <c r="B450" s="6"/>
      <c r="C450" s="13"/>
      <c r="D450" s="8"/>
      <c r="E450" s="9"/>
      <c r="F450" s="14" t="s">
        <v>12</v>
      </c>
      <c r="G450" s="9" t="s">
        <v>12</v>
      </c>
      <c r="H450" s="9" t="s">
        <v>12</v>
      </c>
      <c r="I450" s="9" t="s">
        <v>12</v>
      </c>
      <c r="J450" s="9" t="s">
        <v>12</v>
      </c>
      <c r="K450" s="9"/>
      <c r="L450" s="9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6"/>
      <c r="B451" s="6"/>
      <c r="C451" s="13"/>
      <c r="D451" s="8"/>
      <c r="E451" s="9"/>
      <c r="F451" s="14" t="s">
        <v>12</v>
      </c>
      <c r="G451" s="9" t="s">
        <v>12</v>
      </c>
      <c r="H451" s="9" t="s">
        <v>12</v>
      </c>
      <c r="I451" s="9" t="s">
        <v>12</v>
      </c>
      <c r="J451" s="9" t="s">
        <v>12</v>
      </c>
      <c r="K451" s="9"/>
      <c r="L451" s="9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6"/>
      <c r="B452" s="6"/>
      <c r="C452" s="13"/>
      <c r="D452" s="8"/>
      <c r="E452" s="9"/>
      <c r="F452" s="14" t="s">
        <v>12</v>
      </c>
      <c r="G452" s="9" t="s">
        <v>12</v>
      </c>
      <c r="H452" s="9" t="s">
        <v>12</v>
      </c>
      <c r="I452" s="9" t="s">
        <v>12</v>
      </c>
      <c r="J452" s="9" t="s">
        <v>12</v>
      </c>
      <c r="K452" s="9"/>
      <c r="L452" s="9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6"/>
      <c r="B453" s="6"/>
      <c r="C453" s="13"/>
      <c r="D453" s="8"/>
      <c r="E453" s="9"/>
      <c r="F453" s="14" t="s">
        <v>12</v>
      </c>
      <c r="G453" s="9" t="s">
        <v>12</v>
      </c>
      <c r="H453" s="9" t="s">
        <v>12</v>
      </c>
      <c r="I453" s="9" t="s">
        <v>12</v>
      </c>
      <c r="J453" s="9" t="s">
        <v>12</v>
      </c>
      <c r="K453" s="9"/>
      <c r="L453" s="9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6"/>
      <c r="B454" s="6"/>
      <c r="C454" s="13"/>
      <c r="D454" s="8"/>
      <c r="E454" s="9"/>
      <c r="F454" s="14" t="s">
        <v>12</v>
      </c>
      <c r="G454" s="9" t="s">
        <v>12</v>
      </c>
      <c r="H454" s="9" t="s">
        <v>12</v>
      </c>
      <c r="I454" s="9" t="s">
        <v>12</v>
      </c>
      <c r="J454" s="9" t="s">
        <v>12</v>
      </c>
      <c r="K454" s="9"/>
      <c r="L454" s="9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6"/>
      <c r="B455" s="6"/>
      <c r="C455" s="13"/>
      <c r="D455" s="8"/>
      <c r="E455" s="9"/>
      <c r="F455" s="14" t="s">
        <v>12</v>
      </c>
      <c r="G455" s="9" t="s">
        <v>12</v>
      </c>
      <c r="H455" s="9" t="s">
        <v>12</v>
      </c>
      <c r="I455" s="9" t="s">
        <v>12</v>
      </c>
      <c r="J455" s="9" t="s">
        <v>12</v>
      </c>
      <c r="K455" s="9"/>
      <c r="L455" s="9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6"/>
      <c r="B456" s="6"/>
      <c r="C456" s="13"/>
      <c r="D456" s="8"/>
      <c r="E456" s="9"/>
      <c r="F456" s="14" t="s">
        <v>12</v>
      </c>
      <c r="G456" s="9" t="s">
        <v>12</v>
      </c>
      <c r="H456" s="9" t="s">
        <v>12</v>
      </c>
      <c r="I456" s="9" t="s">
        <v>12</v>
      </c>
      <c r="J456" s="9" t="s">
        <v>12</v>
      </c>
      <c r="K456" s="9"/>
      <c r="L456" s="9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6"/>
      <c r="B457" s="6"/>
      <c r="C457" s="13"/>
      <c r="D457" s="8"/>
      <c r="E457" s="9"/>
      <c r="F457" s="14" t="s">
        <v>12</v>
      </c>
      <c r="G457" s="9" t="s">
        <v>12</v>
      </c>
      <c r="H457" s="9" t="s">
        <v>12</v>
      </c>
      <c r="I457" s="9" t="s">
        <v>12</v>
      </c>
      <c r="J457" s="9" t="s">
        <v>12</v>
      </c>
      <c r="K457" s="9"/>
      <c r="L457" s="9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6"/>
      <c r="B458" s="6"/>
      <c r="C458" s="13"/>
      <c r="D458" s="8"/>
      <c r="E458" s="9"/>
      <c r="F458" s="14" t="s">
        <v>12</v>
      </c>
      <c r="G458" s="9" t="s">
        <v>12</v>
      </c>
      <c r="H458" s="9" t="s">
        <v>12</v>
      </c>
      <c r="I458" s="9" t="s">
        <v>12</v>
      </c>
      <c r="J458" s="9" t="s">
        <v>12</v>
      </c>
      <c r="K458" s="9"/>
      <c r="L458" s="9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6"/>
      <c r="B459" s="6"/>
      <c r="C459" s="13"/>
      <c r="D459" s="8"/>
      <c r="E459" s="9"/>
      <c r="F459" s="14" t="s">
        <v>12</v>
      </c>
      <c r="G459" s="9" t="s">
        <v>12</v>
      </c>
      <c r="H459" s="9" t="s">
        <v>12</v>
      </c>
      <c r="I459" s="9" t="s">
        <v>12</v>
      </c>
      <c r="J459" s="9" t="s">
        <v>12</v>
      </c>
      <c r="K459" s="9"/>
      <c r="L459" s="9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6"/>
      <c r="B460" s="6"/>
      <c r="C460" s="13"/>
      <c r="D460" s="8"/>
      <c r="E460" s="9"/>
      <c r="F460" s="14" t="s">
        <v>12</v>
      </c>
      <c r="G460" s="9" t="s">
        <v>12</v>
      </c>
      <c r="H460" s="9" t="s">
        <v>12</v>
      </c>
      <c r="I460" s="9" t="s">
        <v>12</v>
      </c>
      <c r="J460" s="9" t="s">
        <v>12</v>
      </c>
      <c r="K460" s="9"/>
      <c r="L460" s="9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6"/>
      <c r="B461" s="6"/>
      <c r="C461" s="13"/>
      <c r="D461" s="8"/>
      <c r="E461" s="9"/>
      <c r="F461" s="14" t="s">
        <v>12</v>
      </c>
      <c r="G461" s="9" t="s">
        <v>12</v>
      </c>
      <c r="H461" s="9" t="s">
        <v>12</v>
      </c>
      <c r="I461" s="9" t="s">
        <v>12</v>
      </c>
      <c r="J461" s="9" t="s">
        <v>12</v>
      </c>
      <c r="K461" s="9"/>
      <c r="L461" s="9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6"/>
      <c r="B462" s="6"/>
      <c r="C462" s="13"/>
      <c r="D462" s="8"/>
      <c r="E462" s="9"/>
      <c r="F462" s="14" t="s">
        <v>12</v>
      </c>
      <c r="G462" s="9" t="s">
        <v>12</v>
      </c>
      <c r="H462" s="9" t="s">
        <v>12</v>
      </c>
      <c r="I462" s="9" t="s">
        <v>12</v>
      </c>
      <c r="J462" s="9" t="s">
        <v>12</v>
      </c>
      <c r="K462" s="9"/>
      <c r="L462" s="9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6"/>
      <c r="B463" s="6"/>
      <c r="C463" s="13"/>
      <c r="D463" s="8"/>
      <c r="E463" s="9"/>
      <c r="F463" s="14" t="s">
        <v>12</v>
      </c>
      <c r="G463" s="9" t="s">
        <v>12</v>
      </c>
      <c r="H463" s="9" t="s">
        <v>12</v>
      </c>
      <c r="I463" s="9" t="s">
        <v>12</v>
      </c>
      <c r="J463" s="9" t="s">
        <v>12</v>
      </c>
      <c r="K463" s="9"/>
      <c r="L463" s="9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6"/>
      <c r="B464" s="6"/>
      <c r="C464" s="13"/>
      <c r="D464" s="8"/>
      <c r="E464" s="9"/>
      <c r="F464" s="14" t="s">
        <v>12</v>
      </c>
      <c r="G464" s="9" t="s">
        <v>12</v>
      </c>
      <c r="H464" s="9" t="s">
        <v>12</v>
      </c>
      <c r="I464" s="9" t="s">
        <v>12</v>
      </c>
      <c r="J464" s="9" t="s">
        <v>12</v>
      </c>
      <c r="K464" s="9"/>
      <c r="L464" s="9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6"/>
      <c r="B465" s="6"/>
      <c r="C465" s="13"/>
      <c r="D465" s="8"/>
      <c r="E465" s="9"/>
      <c r="F465" s="14" t="s">
        <v>12</v>
      </c>
      <c r="G465" s="9" t="s">
        <v>12</v>
      </c>
      <c r="H465" s="9" t="s">
        <v>12</v>
      </c>
      <c r="I465" s="9" t="s">
        <v>12</v>
      </c>
      <c r="J465" s="9" t="s">
        <v>12</v>
      </c>
      <c r="K465" s="9"/>
      <c r="L465" s="9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6"/>
      <c r="B466" s="6"/>
      <c r="C466" s="13"/>
      <c r="D466" s="8"/>
      <c r="E466" s="9"/>
      <c r="F466" s="14" t="s">
        <v>12</v>
      </c>
      <c r="G466" s="9" t="s">
        <v>12</v>
      </c>
      <c r="H466" s="9" t="s">
        <v>12</v>
      </c>
      <c r="I466" s="9" t="s">
        <v>12</v>
      </c>
      <c r="J466" s="9" t="s">
        <v>12</v>
      </c>
      <c r="K466" s="9"/>
      <c r="L466" s="9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6"/>
      <c r="B467" s="6"/>
      <c r="C467" s="13"/>
      <c r="D467" s="8"/>
      <c r="E467" s="9"/>
      <c r="F467" s="14" t="s">
        <v>12</v>
      </c>
      <c r="G467" s="9" t="s">
        <v>12</v>
      </c>
      <c r="H467" s="9" t="s">
        <v>12</v>
      </c>
      <c r="I467" s="9" t="s">
        <v>12</v>
      </c>
      <c r="J467" s="9" t="s">
        <v>12</v>
      </c>
      <c r="K467" s="9"/>
      <c r="L467" s="9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6"/>
      <c r="B468" s="6"/>
      <c r="C468" s="13"/>
      <c r="D468" s="8"/>
      <c r="E468" s="9"/>
      <c r="F468" s="14" t="s">
        <v>12</v>
      </c>
      <c r="G468" s="9" t="s">
        <v>12</v>
      </c>
      <c r="H468" s="9" t="s">
        <v>12</v>
      </c>
      <c r="I468" s="9" t="s">
        <v>12</v>
      </c>
      <c r="J468" s="9" t="s">
        <v>12</v>
      </c>
      <c r="K468" s="9"/>
      <c r="L468" s="9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6"/>
      <c r="B469" s="6"/>
      <c r="C469" s="13"/>
      <c r="D469" s="8"/>
      <c r="E469" s="9"/>
      <c r="F469" s="14" t="s">
        <v>12</v>
      </c>
      <c r="G469" s="9" t="s">
        <v>12</v>
      </c>
      <c r="H469" s="9" t="s">
        <v>12</v>
      </c>
      <c r="I469" s="9" t="s">
        <v>12</v>
      </c>
      <c r="J469" s="9" t="s">
        <v>12</v>
      </c>
      <c r="K469" s="9"/>
      <c r="L469" s="9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6"/>
      <c r="B470" s="6"/>
      <c r="C470" s="13"/>
      <c r="D470" s="8"/>
      <c r="E470" s="9"/>
      <c r="F470" s="14" t="s">
        <v>12</v>
      </c>
      <c r="G470" s="9" t="s">
        <v>12</v>
      </c>
      <c r="H470" s="9" t="s">
        <v>12</v>
      </c>
      <c r="I470" s="9" t="s">
        <v>12</v>
      </c>
      <c r="J470" s="9" t="s">
        <v>12</v>
      </c>
      <c r="K470" s="9"/>
      <c r="L470" s="9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6"/>
      <c r="B471" s="6"/>
      <c r="C471" s="13"/>
      <c r="D471" s="8"/>
      <c r="E471" s="9"/>
      <c r="F471" s="14" t="s">
        <v>12</v>
      </c>
      <c r="G471" s="9" t="s">
        <v>12</v>
      </c>
      <c r="H471" s="9" t="s">
        <v>12</v>
      </c>
      <c r="I471" s="9" t="s">
        <v>12</v>
      </c>
      <c r="J471" s="9" t="s">
        <v>12</v>
      </c>
      <c r="K471" s="9"/>
      <c r="L471" s="9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6"/>
      <c r="B472" s="6"/>
      <c r="C472" s="13"/>
      <c r="D472" s="8"/>
      <c r="E472" s="9"/>
      <c r="F472" s="14" t="s">
        <v>12</v>
      </c>
      <c r="G472" s="9" t="s">
        <v>12</v>
      </c>
      <c r="H472" s="9" t="s">
        <v>12</v>
      </c>
      <c r="I472" s="9" t="s">
        <v>12</v>
      </c>
      <c r="J472" s="9" t="s">
        <v>12</v>
      </c>
      <c r="K472" s="9"/>
      <c r="L472" s="9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6"/>
      <c r="B473" s="6"/>
      <c r="C473" s="13"/>
      <c r="D473" s="8"/>
      <c r="E473" s="9"/>
      <c r="F473" s="14" t="s">
        <v>12</v>
      </c>
      <c r="G473" s="9" t="s">
        <v>12</v>
      </c>
      <c r="H473" s="9" t="s">
        <v>12</v>
      </c>
      <c r="I473" s="9" t="s">
        <v>12</v>
      </c>
      <c r="J473" s="9" t="s">
        <v>12</v>
      </c>
      <c r="K473" s="9"/>
      <c r="L473" s="9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6"/>
      <c r="B474" s="6"/>
      <c r="C474" s="13"/>
      <c r="D474" s="8"/>
      <c r="E474" s="9"/>
      <c r="F474" s="14" t="s">
        <v>12</v>
      </c>
      <c r="G474" s="9" t="s">
        <v>12</v>
      </c>
      <c r="H474" s="9" t="s">
        <v>12</v>
      </c>
      <c r="I474" s="9" t="s">
        <v>12</v>
      </c>
      <c r="J474" s="9" t="s">
        <v>12</v>
      </c>
      <c r="K474" s="9"/>
      <c r="L474" s="9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6"/>
      <c r="B475" s="6"/>
      <c r="C475" s="13"/>
      <c r="D475" s="8"/>
      <c r="E475" s="9"/>
      <c r="F475" s="14" t="s">
        <v>12</v>
      </c>
      <c r="G475" s="9" t="s">
        <v>12</v>
      </c>
      <c r="H475" s="9" t="s">
        <v>12</v>
      </c>
      <c r="I475" s="9" t="s">
        <v>12</v>
      </c>
      <c r="J475" s="9" t="s">
        <v>12</v>
      </c>
      <c r="K475" s="9"/>
      <c r="L475" s="9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6"/>
      <c r="B476" s="6"/>
      <c r="C476" s="13"/>
      <c r="D476" s="8"/>
      <c r="E476" s="9"/>
      <c r="F476" s="14" t="s">
        <v>12</v>
      </c>
      <c r="G476" s="9" t="s">
        <v>12</v>
      </c>
      <c r="H476" s="9" t="s">
        <v>12</v>
      </c>
      <c r="I476" s="9" t="s">
        <v>12</v>
      </c>
      <c r="J476" s="9" t="s">
        <v>12</v>
      </c>
      <c r="K476" s="9"/>
      <c r="L476" s="9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6"/>
      <c r="B477" s="6"/>
      <c r="C477" s="13"/>
      <c r="D477" s="8"/>
      <c r="E477" s="9"/>
      <c r="F477" s="14" t="s">
        <v>12</v>
      </c>
      <c r="G477" s="9" t="s">
        <v>12</v>
      </c>
      <c r="H477" s="9" t="s">
        <v>12</v>
      </c>
      <c r="I477" s="9" t="s">
        <v>12</v>
      </c>
      <c r="J477" s="9" t="s">
        <v>12</v>
      </c>
      <c r="K477" s="9"/>
      <c r="L477" s="9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6"/>
      <c r="B478" s="6"/>
      <c r="C478" s="13"/>
      <c r="D478" s="8"/>
      <c r="E478" s="9"/>
      <c r="F478" s="14" t="s">
        <v>12</v>
      </c>
      <c r="G478" s="9" t="s">
        <v>12</v>
      </c>
      <c r="H478" s="9" t="s">
        <v>12</v>
      </c>
      <c r="I478" s="9" t="s">
        <v>12</v>
      </c>
      <c r="J478" s="9" t="s">
        <v>12</v>
      </c>
      <c r="K478" s="9"/>
      <c r="L478" s="9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6"/>
      <c r="B479" s="6"/>
      <c r="C479" s="13"/>
      <c r="D479" s="8"/>
      <c r="E479" s="9"/>
      <c r="F479" s="14" t="s">
        <v>12</v>
      </c>
      <c r="G479" s="9" t="s">
        <v>12</v>
      </c>
      <c r="H479" s="9" t="s">
        <v>12</v>
      </c>
      <c r="I479" s="9" t="s">
        <v>12</v>
      </c>
      <c r="J479" s="9" t="s">
        <v>12</v>
      </c>
      <c r="K479" s="9"/>
      <c r="L479" s="9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6"/>
      <c r="B480" s="6"/>
      <c r="C480" s="13"/>
      <c r="D480" s="8"/>
      <c r="E480" s="9"/>
      <c r="F480" s="14" t="s">
        <v>12</v>
      </c>
      <c r="G480" s="9" t="s">
        <v>12</v>
      </c>
      <c r="H480" s="9" t="s">
        <v>12</v>
      </c>
      <c r="I480" s="9" t="s">
        <v>12</v>
      </c>
      <c r="J480" s="9" t="s">
        <v>12</v>
      </c>
      <c r="K480" s="9"/>
      <c r="L480" s="9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6"/>
      <c r="B481" s="6"/>
      <c r="C481" s="13"/>
      <c r="D481" s="8"/>
      <c r="E481" s="9"/>
      <c r="F481" s="14" t="s">
        <v>12</v>
      </c>
      <c r="G481" s="9" t="s">
        <v>12</v>
      </c>
      <c r="H481" s="9" t="s">
        <v>12</v>
      </c>
      <c r="I481" s="9" t="s">
        <v>12</v>
      </c>
      <c r="J481" s="9" t="s">
        <v>12</v>
      </c>
      <c r="K481" s="9"/>
      <c r="L481" s="9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6"/>
      <c r="B482" s="6"/>
      <c r="C482" s="13"/>
      <c r="D482" s="8"/>
      <c r="E482" s="9"/>
      <c r="F482" s="14" t="s">
        <v>12</v>
      </c>
      <c r="G482" s="9" t="s">
        <v>12</v>
      </c>
      <c r="H482" s="9" t="s">
        <v>12</v>
      </c>
      <c r="I482" s="9" t="s">
        <v>12</v>
      </c>
      <c r="J482" s="9" t="s">
        <v>12</v>
      </c>
      <c r="K482" s="9"/>
      <c r="L482" s="9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6"/>
      <c r="B483" s="6"/>
      <c r="C483" s="13"/>
      <c r="D483" s="8"/>
      <c r="E483" s="9"/>
      <c r="F483" s="14" t="s">
        <v>12</v>
      </c>
      <c r="G483" s="9" t="s">
        <v>12</v>
      </c>
      <c r="H483" s="9" t="s">
        <v>12</v>
      </c>
      <c r="I483" s="9" t="s">
        <v>12</v>
      </c>
      <c r="J483" s="9" t="s">
        <v>12</v>
      </c>
      <c r="K483" s="9"/>
      <c r="L483" s="9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6"/>
      <c r="B484" s="6"/>
      <c r="C484" s="13"/>
      <c r="D484" s="8"/>
      <c r="E484" s="9"/>
      <c r="F484" s="14" t="s">
        <v>12</v>
      </c>
      <c r="G484" s="9" t="s">
        <v>12</v>
      </c>
      <c r="H484" s="9" t="s">
        <v>12</v>
      </c>
      <c r="I484" s="9" t="s">
        <v>12</v>
      </c>
      <c r="J484" s="9" t="s">
        <v>12</v>
      </c>
      <c r="K484" s="9"/>
      <c r="L484" s="9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6"/>
      <c r="B485" s="6"/>
      <c r="C485" s="13"/>
      <c r="D485" s="8"/>
      <c r="E485" s="9"/>
      <c r="F485" s="14" t="s">
        <v>12</v>
      </c>
      <c r="G485" s="9" t="s">
        <v>12</v>
      </c>
      <c r="H485" s="9" t="s">
        <v>12</v>
      </c>
      <c r="I485" s="9" t="s">
        <v>12</v>
      </c>
      <c r="J485" s="9" t="s">
        <v>12</v>
      </c>
      <c r="K485" s="9"/>
      <c r="L485" s="9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6"/>
      <c r="B486" s="6"/>
      <c r="C486" s="13"/>
      <c r="D486" s="8"/>
      <c r="E486" s="9"/>
      <c r="F486" s="14" t="s">
        <v>12</v>
      </c>
      <c r="G486" s="9" t="s">
        <v>12</v>
      </c>
      <c r="H486" s="9" t="s">
        <v>12</v>
      </c>
      <c r="I486" s="9" t="s">
        <v>12</v>
      </c>
      <c r="J486" s="9" t="s">
        <v>12</v>
      </c>
      <c r="K486" s="9"/>
      <c r="L486" s="9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6"/>
      <c r="B487" s="6"/>
      <c r="C487" s="13"/>
      <c r="D487" s="8"/>
      <c r="E487" s="9"/>
      <c r="F487" s="14" t="s">
        <v>12</v>
      </c>
      <c r="G487" s="9" t="s">
        <v>12</v>
      </c>
      <c r="H487" s="9" t="s">
        <v>12</v>
      </c>
      <c r="I487" s="9" t="s">
        <v>12</v>
      </c>
      <c r="J487" s="9" t="s">
        <v>12</v>
      </c>
      <c r="K487" s="9"/>
      <c r="L487" s="9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6"/>
      <c r="B488" s="6"/>
      <c r="C488" s="13"/>
      <c r="D488" s="8"/>
      <c r="E488" s="9"/>
      <c r="F488" s="14" t="s">
        <v>12</v>
      </c>
      <c r="G488" s="9" t="s">
        <v>12</v>
      </c>
      <c r="H488" s="9" t="s">
        <v>12</v>
      </c>
      <c r="I488" s="9" t="s">
        <v>12</v>
      </c>
      <c r="J488" s="9" t="s">
        <v>12</v>
      </c>
      <c r="K488" s="9"/>
      <c r="L488" s="9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6"/>
      <c r="B489" s="6"/>
      <c r="C489" s="13"/>
      <c r="D489" s="8"/>
      <c r="E489" s="9"/>
      <c r="F489" s="14" t="s">
        <v>12</v>
      </c>
      <c r="G489" s="9" t="s">
        <v>12</v>
      </c>
      <c r="H489" s="9" t="s">
        <v>12</v>
      </c>
      <c r="I489" s="9" t="s">
        <v>12</v>
      </c>
      <c r="J489" s="9" t="s">
        <v>12</v>
      </c>
      <c r="K489" s="9"/>
      <c r="L489" s="9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6"/>
      <c r="B490" s="6"/>
      <c r="C490" s="13"/>
      <c r="D490" s="8"/>
      <c r="E490" s="9"/>
      <c r="F490" s="14" t="s">
        <v>12</v>
      </c>
      <c r="G490" s="9" t="s">
        <v>12</v>
      </c>
      <c r="H490" s="9" t="s">
        <v>12</v>
      </c>
      <c r="I490" s="9" t="s">
        <v>12</v>
      </c>
      <c r="J490" s="9" t="s">
        <v>12</v>
      </c>
      <c r="K490" s="9"/>
      <c r="L490" s="9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6"/>
      <c r="B491" s="6"/>
      <c r="C491" s="13"/>
      <c r="D491" s="8"/>
      <c r="E491" s="9"/>
      <c r="F491" s="14" t="s">
        <v>12</v>
      </c>
      <c r="G491" s="9" t="s">
        <v>12</v>
      </c>
      <c r="H491" s="9" t="s">
        <v>12</v>
      </c>
      <c r="I491" s="9" t="s">
        <v>12</v>
      </c>
      <c r="J491" s="9" t="s">
        <v>12</v>
      </c>
      <c r="K491" s="9"/>
      <c r="L491" s="9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6"/>
      <c r="B492" s="6"/>
      <c r="C492" s="13"/>
      <c r="D492" s="8"/>
      <c r="E492" s="9"/>
      <c r="F492" s="14" t="s">
        <v>12</v>
      </c>
      <c r="G492" s="9" t="s">
        <v>12</v>
      </c>
      <c r="H492" s="9" t="s">
        <v>12</v>
      </c>
      <c r="I492" s="9" t="s">
        <v>12</v>
      </c>
      <c r="J492" s="9" t="s">
        <v>12</v>
      </c>
      <c r="K492" s="9"/>
      <c r="L492" s="9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6"/>
      <c r="B493" s="6"/>
      <c r="C493" s="13"/>
      <c r="D493" s="8"/>
      <c r="E493" s="9"/>
      <c r="F493" s="14" t="s">
        <v>12</v>
      </c>
      <c r="G493" s="9" t="s">
        <v>12</v>
      </c>
      <c r="H493" s="9" t="s">
        <v>12</v>
      </c>
      <c r="I493" s="9" t="s">
        <v>12</v>
      </c>
      <c r="J493" s="9" t="s">
        <v>12</v>
      </c>
      <c r="K493" s="9"/>
      <c r="L493" s="9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6"/>
      <c r="B494" s="6"/>
      <c r="C494" s="13"/>
      <c r="D494" s="8"/>
      <c r="E494" s="9"/>
      <c r="F494" s="14" t="s">
        <v>12</v>
      </c>
      <c r="G494" s="9" t="s">
        <v>12</v>
      </c>
      <c r="H494" s="9" t="s">
        <v>12</v>
      </c>
      <c r="I494" s="9" t="s">
        <v>12</v>
      </c>
      <c r="J494" s="9" t="s">
        <v>12</v>
      </c>
      <c r="K494" s="9"/>
      <c r="L494" s="9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6"/>
      <c r="B495" s="6"/>
      <c r="C495" s="13"/>
      <c r="D495" s="8"/>
      <c r="E495" s="9"/>
      <c r="F495" s="14" t="s">
        <v>12</v>
      </c>
      <c r="G495" s="9" t="s">
        <v>12</v>
      </c>
      <c r="H495" s="9" t="s">
        <v>12</v>
      </c>
      <c r="I495" s="9" t="s">
        <v>12</v>
      </c>
      <c r="J495" s="9" t="s">
        <v>12</v>
      </c>
      <c r="K495" s="9"/>
      <c r="L495" s="9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6"/>
      <c r="B496" s="6"/>
      <c r="C496" s="13"/>
      <c r="D496" s="8"/>
      <c r="E496" s="9"/>
      <c r="F496" s="14" t="s">
        <v>12</v>
      </c>
      <c r="G496" s="9" t="s">
        <v>12</v>
      </c>
      <c r="H496" s="9" t="s">
        <v>12</v>
      </c>
      <c r="I496" s="9" t="s">
        <v>12</v>
      </c>
      <c r="J496" s="9" t="s">
        <v>12</v>
      </c>
      <c r="K496" s="9"/>
      <c r="L496" s="9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6"/>
      <c r="B497" s="6"/>
      <c r="C497" s="13"/>
      <c r="D497" s="8"/>
      <c r="E497" s="9"/>
      <c r="F497" s="14" t="s">
        <v>12</v>
      </c>
      <c r="G497" s="9" t="s">
        <v>12</v>
      </c>
      <c r="H497" s="9" t="s">
        <v>12</v>
      </c>
      <c r="I497" s="9" t="s">
        <v>12</v>
      </c>
      <c r="J497" s="9" t="s">
        <v>12</v>
      </c>
      <c r="K497" s="9"/>
      <c r="L497" s="9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6"/>
      <c r="B498" s="6"/>
      <c r="C498" s="13"/>
      <c r="D498" s="8"/>
      <c r="E498" s="9"/>
      <c r="F498" s="14" t="s">
        <v>12</v>
      </c>
      <c r="G498" s="9" t="s">
        <v>12</v>
      </c>
      <c r="H498" s="9" t="s">
        <v>12</v>
      </c>
      <c r="I498" s="9" t="s">
        <v>12</v>
      </c>
      <c r="J498" s="9" t="s">
        <v>12</v>
      </c>
      <c r="K498" s="9"/>
      <c r="L498" s="9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6"/>
      <c r="B499" s="6"/>
      <c r="C499" s="13"/>
      <c r="D499" s="8"/>
      <c r="E499" s="9"/>
      <c r="F499" s="14" t="s">
        <v>12</v>
      </c>
      <c r="G499" s="9" t="s">
        <v>12</v>
      </c>
      <c r="H499" s="9" t="s">
        <v>12</v>
      </c>
      <c r="I499" s="9" t="s">
        <v>12</v>
      </c>
      <c r="J499" s="9" t="s">
        <v>12</v>
      </c>
      <c r="K499" s="9"/>
      <c r="L499" s="9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6"/>
      <c r="B500" s="6"/>
      <c r="C500" s="13"/>
      <c r="D500" s="8"/>
      <c r="E500" s="9"/>
      <c r="F500" s="14" t="s">
        <v>12</v>
      </c>
      <c r="G500" s="9" t="s">
        <v>12</v>
      </c>
      <c r="H500" s="9" t="s">
        <v>12</v>
      </c>
      <c r="I500" s="9" t="s">
        <v>12</v>
      </c>
      <c r="J500" s="9" t="s">
        <v>12</v>
      </c>
      <c r="K500" s="9"/>
      <c r="L500" s="9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6"/>
      <c r="B501" s="6"/>
      <c r="C501" s="13"/>
      <c r="D501" s="8"/>
      <c r="E501" s="9"/>
      <c r="F501" s="14" t="s">
        <v>12</v>
      </c>
      <c r="G501" s="9" t="s">
        <v>12</v>
      </c>
      <c r="H501" s="9" t="s">
        <v>12</v>
      </c>
      <c r="I501" s="9" t="s">
        <v>12</v>
      </c>
      <c r="J501" s="9" t="s">
        <v>12</v>
      </c>
      <c r="K501" s="9"/>
      <c r="L501" s="9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6"/>
      <c r="B502" s="6"/>
      <c r="C502" s="13"/>
      <c r="D502" s="8"/>
      <c r="E502" s="9"/>
      <c r="F502" s="14" t="s">
        <v>12</v>
      </c>
      <c r="G502" s="9" t="s">
        <v>12</v>
      </c>
      <c r="H502" s="9" t="s">
        <v>12</v>
      </c>
      <c r="I502" s="9" t="s">
        <v>12</v>
      </c>
      <c r="J502" s="9" t="s">
        <v>12</v>
      </c>
      <c r="K502" s="9"/>
      <c r="L502" s="9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6"/>
      <c r="B503" s="6"/>
      <c r="C503" s="13"/>
      <c r="D503" s="8"/>
      <c r="E503" s="9"/>
      <c r="F503" s="14" t="s">
        <v>12</v>
      </c>
      <c r="G503" s="9" t="s">
        <v>12</v>
      </c>
      <c r="H503" s="9" t="s">
        <v>12</v>
      </c>
      <c r="I503" s="9" t="s">
        <v>12</v>
      </c>
      <c r="J503" s="9" t="s">
        <v>12</v>
      </c>
      <c r="K503" s="9"/>
      <c r="L503" s="9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6"/>
      <c r="B504" s="6"/>
      <c r="C504" s="13"/>
      <c r="D504" s="8"/>
      <c r="E504" s="9"/>
      <c r="F504" s="14" t="s">
        <v>12</v>
      </c>
      <c r="G504" s="9" t="s">
        <v>12</v>
      </c>
      <c r="H504" s="9" t="s">
        <v>12</v>
      </c>
      <c r="I504" s="9" t="s">
        <v>12</v>
      </c>
      <c r="J504" s="9" t="s">
        <v>12</v>
      </c>
      <c r="K504" s="9"/>
      <c r="L504" s="9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6"/>
      <c r="B505" s="6"/>
      <c r="C505" s="13"/>
      <c r="D505" s="8"/>
      <c r="E505" s="9"/>
      <c r="F505" s="14" t="s">
        <v>12</v>
      </c>
      <c r="G505" s="9" t="s">
        <v>12</v>
      </c>
      <c r="H505" s="9" t="s">
        <v>12</v>
      </c>
      <c r="I505" s="9" t="s">
        <v>12</v>
      </c>
      <c r="J505" s="9" t="s">
        <v>12</v>
      </c>
      <c r="K505" s="9"/>
      <c r="L505" s="9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6"/>
      <c r="B506" s="6"/>
      <c r="C506" s="13"/>
      <c r="D506" s="8"/>
      <c r="E506" s="9"/>
      <c r="F506" s="14" t="s">
        <v>12</v>
      </c>
      <c r="G506" s="9" t="s">
        <v>12</v>
      </c>
      <c r="H506" s="9" t="s">
        <v>12</v>
      </c>
      <c r="I506" s="9" t="s">
        <v>12</v>
      </c>
      <c r="J506" s="9" t="s">
        <v>12</v>
      </c>
      <c r="K506" s="9"/>
      <c r="L506" s="9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6"/>
      <c r="B507" s="6"/>
      <c r="C507" s="13"/>
      <c r="D507" s="8"/>
      <c r="E507" s="9"/>
      <c r="F507" s="14" t="s">
        <v>12</v>
      </c>
      <c r="G507" s="9" t="s">
        <v>12</v>
      </c>
      <c r="H507" s="9" t="s">
        <v>12</v>
      </c>
      <c r="I507" s="9" t="s">
        <v>12</v>
      </c>
      <c r="J507" s="9" t="s">
        <v>12</v>
      </c>
      <c r="K507" s="9"/>
      <c r="L507" s="9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6"/>
      <c r="B508" s="6"/>
      <c r="C508" s="13"/>
      <c r="D508" s="8"/>
      <c r="E508" s="9"/>
      <c r="F508" s="14" t="s">
        <v>12</v>
      </c>
      <c r="G508" s="9" t="s">
        <v>12</v>
      </c>
      <c r="H508" s="9" t="s">
        <v>12</v>
      </c>
      <c r="I508" s="9" t="s">
        <v>12</v>
      </c>
      <c r="J508" s="9" t="s">
        <v>12</v>
      </c>
      <c r="K508" s="9"/>
      <c r="L508" s="9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6"/>
      <c r="B509" s="6"/>
      <c r="C509" s="13"/>
      <c r="D509" s="8"/>
      <c r="E509" s="9"/>
      <c r="F509" s="14" t="s">
        <v>12</v>
      </c>
      <c r="G509" s="9" t="s">
        <v>12</v>
      </c>
      <c r="H509" s="9" t="s">
        <v>12</v>
      </c>
      <c r="I509" s="9" t="s">
        <v>12</v>
      </c>
      <c r="J509" s="9" t="s">
        <v>12</v>
      </c>
      <c r="K509" s="9"/>
      <c r="L509" s="9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6"/>
      <c r="B510" s="6"/>
      <c r="C510" s="13"/>
      <c r="D510" s="8"/>
      <c r="E510" s="9"/>
      <c r="F510" s="14" t="s">
        <v>12</v>
      </c>
      <c r="G510" s="9" t="s">
        <v>12</v>
      </c>
      <c r="H510" s="9" t="s">
        <v>12</v>
      </c>
      <c r="I510" s="9" t="s">
        <v>12</v>
      </c>
      <c r="J510" s="9" t="s">
        <v>12</v>
      </c>
      <c r="K510" s="9"/>
      <c r="L510" s="9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6"/>
      <c r="B511" s="6"/>
      <c r="C511" s="13"/>
      <c r="D511" s="8"/>
      <c r="E511" s="9"/>
      <c r="F511" s="14" t="s">
        <v>12</v>
      </c>
      <c r="G511" s="9" t="s">
        <v>12</v>
      </c>
      <c r="H511" s="9" t="s">
        <v>12</v>
      </c>
      <c r="I511" s="9" t="s">
        <v>12</v>
      </c>
      <c r="J511" s="9" t="s">
        <v>12</v>
      </c>
      <c r="K511" s="9"/>
      <c r="L511" s="9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6"/>
      <c r="B512" s="6"/>
      <c r="C512" s="13"/>
      <c r="D512" s="8"/>
      <c r="E512" s="9"/>
      <c r="F512" s="14" t="s">
        <v>12</v>
      </c>
      <c r="G512" s="9" t="s">
        <v>12</v>
      </c>
      <c r="H512" s="9" t="s">
        <v>12</v>
      </c>
      <c r="I512" s="9" t="s">
        <v>12</v>
      </c>
      <c r="J512" s="9" t="s">
        <v>12</v>
      </c>
      <c r="K512" s="9"/>
      <c r="L512" s="9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6"/>
      <c r="B513" s="6"/>
      <c r="C513" s="13"/>
      <c r="D513" s="8"/>
      <c r="E513" s="9"/>
      <c r="F513" s="14" t="s">
        <v>12</v>
      </c>
      <c r="G513" s="9" t="s">
        <v>12</v>
      </c>
      <c r="H513" s="9" t="s">
        <v>12</v>
      </c>
      <c r="I513" s="9" t="s">
        <v>12</v>
      </c>
      <c r="J513" s="9" t="s">
        <v>12</v>
      </c>
      <c r="K513" s="9"/>
      <c r="L513" s="9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6"/>
      <c r="B514" s="6"/>
      <c r="C514" s="13"/>
      <c r="D514" s="8"/>
      <c r="E514" s="9"/>
      <c r="F514" s="14" t="s">
        <v>12</v>
      </c>
      <c r="G514" s="9" t="s">
        <v>12</v>
      </c>
      <c r="H514" s="9" t="s">
        <v>12</v>
      </c>
      <c r="I514" s="9" t="s">
        <v>12</v>
      </c>
      <c r="J514" s="9" t="s">
        <v>12</v>
      </c>
      <c r="K514" s="9"/>
      <c r="L514" s="9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6"/>
      <c r="B515" s="6"/>
      <c r="C515" s="13"/>
      <c r="D515" s="8"/>
      <c r="E515" s="9"/>
      <c r="F515" s="14" t="s">
        <v>12</v>
      </c>
      <c r="G515" s="9" t="s">
        <v>12</v>
      </c>
      <c r="H515" s="9" t="s">
        <v>12</v>
      </c>
      <c r="I515" s="9" t="s">
        <v>12</v>
      </c>
      <c r="J515" s="9" t="s">
        <v>12</v>
      </c>
      <c r="K515" s="9"/>
      <c r="L515" s="9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6"/>
      <c r="B516" s="6"/>
      <c r="C516" s="13"/>
      <c r="D516" s="8"/>
      <c r="E516" s="9"/>
      <c r="F516" s="14" t="s">
        <v>12</v>
      </c>
      <c r="G516" s="9" t="s">
        <v>12</v>
      </c>
      <c r="H516" s="9" t="s">
        <v>12</v>
      </c>
      <c r="I516" s="9" t="s">
        <v>12</v>
      </c>
      <c r="J516" s="9" t="s">
        <v>12</v>
      </c>
      <c r="K516" s="9"/>
      <c r="L516" s="9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6"/>
      <c r="B517" s="6"/>
      <c r="C517" s="13"/>
      <c r="D517" s="8"/>
      <c r="E517" s="9"/>
      <c r="F517" s="14" t="s">
        <v>12</v>
      </c>
      <c r="G517" s="9" t="s">
        <v>12</v>
      </c>
      <c r="H517" s="9" t="s">
        <v>12</v>
      </c>
      <c r="I517" s="9" t="s">
        <v>12</v>
      </c>
      <c r="J517" s="9" t="s">
        <v>12</v>
      </c>
      <c r="K517" s="9"/>
      <c r="L517" s="9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6"/>
      <c r="B518" s="6"/>
      <c r="C518" s="13"/>
      <c r="D518" s="8"/>
      <c r="E518" s="9"/>
      <c r="F518" s="14" t="s">
        <v>12</v>
      </c>
      <c r="G518" s="9" t="s">
        <v>12</v>
      </c>
      <c r="H518" s="9" t="s">
        <v>12</v>
      </c>
      <c r="I518" s="9" t="s">
        <v>12</v>
      </c>
      <c r="J518" s="9" t="s">
        <v>12</v>
      </c>
      <c r="K518" s="9"/>
      <c r="L518" s="9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6"/>
      <c r="B519" s="6"/>
      <c r="C519" s="13"/>
      <c r="D519" s="8"/>
      <c r="E519" s="9"/>
      <c r="F519" s="14" t="s">
        <v>12</v>
      </c>
      <c r="G519" s="9" t="s">
        <v>12</v>
      </c>
      <c r="H519" s="9" t="s">
        <v>12</v>
      </c>
      <c r="I519" s="9" t="s">
        <v>12</v>
      </c>
      <c r="J519" s="9" t="s">
        <v>12</v>
      </c>
      <c r="K519" s="9"/>
      <c r="L519" s="9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6"/>
      <c r="B520" s="6"/>
      <c r="C520" s="13"/>
      <c r="D520" s="8"/>
      <c r="E520" s="9"/>
      <c r="F520" s="14" t="s">
        <v>12</v>
      </c>
      <c r="G520" s="9" t="s">
        <v>12</v>
      </c>
      <c r="H520" s="9" t="s">
        <v>12</v>
      </c>
      <c r="I520" s="9" t="s">
        <v>12</v>
      </c>
      <c r="J520" s="9" t="s">
        <v>12</v>
      </c>
      <c r="K520" s="9"/>
      <c r="L520" s="9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6"/>
      <c r="B521" s="6"/>
      <c r="C521" s="13"/>
      <c r="D521" s="8"/>
      <c r="E521" s="9"/>
      <c r="F521" s="14" t="s">
        <v>12</v>
      </c>
      <c r="G521" s="9" t="s">
        <v>12</v>
      </c>
      <c r="H521" s="9" t="s">
        <v>12</v>
      </c>
      <c r="I521" s="9" t="s">
        <v>12</v>
      </c>
      <c r="J521" s="9" t="s">
        <v>12</v>
      </c>
      <c r="K521" s="9"/>
      <c r="L521" s="9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6"/>
      <c r="B522" s="6"/>
      <c r="C522" s="13"/>
      <c r="D522" s="8"/>
      <c r="E522" s="9"/>
      <c r="F522" s="14" t="s">
        <v>12</v>
      </c>
      <c r="G522" s="9" t="s">
        <v>12</v>
      </c>
      <c r="H522" s="9" t="s">
        <v>12</v>
      </c>
      <c r="I522" s="9" t="s">
        <v>12</v>
      </c>
      <c r="J522" s="9" t="s">
        <v>12</v>
      </c>
      <c r="K522" s="9"/>
      <c r="L522" s="9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6"/>
      <c r="B523" s="6"/>
      <c r="C523" s="13"/>
      <c r="D523" s="8"/>
      <c r="E523" s="9"/>
      <c r="F523" s="14" t="s">
        <v>12</v>
      </c>
      <c r="G523" s="9" t="s">
        <v>12</v>
      </c>
      <c r="H523" s="9" t="s">
        <v>12</v>
      </c>
      <c r="I523" s="9" t="s">
        <v>12</v>
      </c>
      <c r="J523" s="9" t="s">
        <v>12</v>
      </c>
      <c r="K523" s="9"/>
      <c r="L523" s="9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6"/>
      <c r="B524" s="6"/>
      <c r="C524" s="13"/>
      <c r="D524" s="8"/>
      <c r="E524" s="9"/>
      <c r="F524" s="14" t="s">
        <v>12</v>
      </c>
      <c r="G524" s="9" t="s">
        <v>12</v>
      </c>
      <c r="H524" s="9" t="s">
        <v>12</v>
      </c>
      <c r="I524" s="9" t="s">
        <v>12</v>
      </c>
      <c r="J524" s="9" t="s">
        <v>12</v>
      </c>
      <c r="K524" s="9"/>
      <c r="L524" s="9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6"/>
      <c r="B525" s="6"/>
      <c r="C525" s="13"/>
      <c r="D525" s="8"/>
      <c r="E525" s="9"/>
      <c r="F525" s="14" t="s">
        <v>12</v>
      </c>
      <c r="G525" s="9" t="s">
        <v>12</v>
      </c>
      <c r="H525" s="9" t="s">
        <v>12</v>
      </c>
      <c r="I525" s="9" t="s">
        <v>12</v>
      </c>
      <c r="J525" s="9" t="s">
        <v>12</v>
      </c>
      <c r="K525" s="9"/>
      <c r="L525" s="9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6"/>
      <c r="B526" s="6"/>
      <c r="C526" s="13"/>
      <c r="D526" s="8"/>
      <c r="E526" s="9"/>
      <c r="F526" s="14" t="s">
        <v>12</v>
      </c>
      <c r="G526" s="9" t="s">
        <v>12</v>
      </c>
      <c r="H526" s="9" t="s">
        <v>12</v>
      </c>
      <c r="I526" s="9" t="s">
        <v>12</v>
      </c>
      <c r="J526" s="9" t="s">
        <v>12</v>
      </c>
      <c r="K526" s="9"/>
      <c r="L526" s="9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6"/>
      <c r="B527" s="6"/>
      <c r="C527" s="13"/>
      <c r="D527" s="8"/>
      <c r="E527" s="9"/>
      <c r="F527" s="14" t="s">
        <v>12</v>
      </c>
      <c r="G527" s="9" t="s">
        <v>12</v>
      </c>
      <c r="H527" s="9" t="s">
        <v>12</v>
      </c>
      <c r="I527" s="9" t="s">
        <v>12</v>
      </c>
      <c r="J527" s="9" t="s">
        <v>12</v>
      </c>
      <c r="K527" s="9"/>
      <c r="L527" s="9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6"/>
      <c r="B528" s="6"/>
      <c r="C528" s="13"/>
      <c r="D528" s="8"/>
      <c r="E528" s="9"/>
      <c r="F528" s="14" t="s">
        <v>12</v>
      </c>
      <c r="G528" s="9" t="s">
        <v>12</v>
      </c>
      <c r="H528" s="9" t="s">
        <v>12</v>
      </c>
      <c r="I528" s="9" t="s">
        <v>12</v>
      </c>
      <c r="J528" s="9" t="s">
        <v>12</v>
      </c>
      <c r="K528" s="9"/>
      <c r="L528" s="9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6"/>
      <c r="B529" s="6"/>
      <c r="C529" s="13"/>
      <c r="D529" s="8"/>
      <c r="E529" s="9"/>
      <c r="F529" s="14" t="s">
        <v>12</v>
      </c>
      <c r="G529" s="9" t="s">
        <v>12</v>
      </c>
      <c r="H529" s="9" t="s">
        <v>12</v>
      </c>
      <c r="I529" s="9" t="s">
        <v>12</v>
      </c>
      <c r="J529" s="9" t="s">
        <v>12</v>
      </c>
      <c r="K529" s="9"/>
      <c r="L529" s="9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6"/>
      <c r="B530" s="6"/>
      <c r="C530" s="13"/>
      <c r="D530" s="8"/>
      <c r="E530" s="9"/>
      <c r="F530" s="14" t="s">
        <v>12</v>
      </c>
      <c r="G530" s="9" t="s">
        <v>12</v>
      </c>
      <c r="H530" s="9" t="s">
        <v>12</v>
      </c>
      <c r="I530" s="9" t="s">
        <v>12</v>
      </c>
      <c r="J530" s="9" t="s">
        <v>12</v>
      </c>
      <c r="K530" s="9"/>
      <c r="L530" s="9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6"/>
      <c r="B531" s="6"/>
      <c r="C531" s="13"/>
      <c r="D531" s="8"/>
      <c r="E531" s="9"/>
      <c r="F531" s="14" t="s">
        <v>12</v>
      </c>
      <c r="G531" s="9" t="s">
        <v>12</v>
      </c>
      <c r="H531" s="9" t="s">
        <v>12</v>
      </c>
      <c r="I531" s="9" t="s">
        <v>12</v>
      </c>
      <c r="J531" s="9" t="s">
        <v>12</v>
      </c>
      <c r="K531" s="9"/>
      <c r="L531" s="9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6"/>
      <c r="B532" s="6"/>
      <c r="C532" s="13"/>
      <c r="D532" s="8"/>
      <c r="E532" s="9"/>
      <c r="F532" s="14" t="s">
        <v>12</v>
      </c>
      <c r="G532" s="9" t="s">
        <v>12</v>
      </c>
      <c r="H532" s="9" t="s">
        <v>12</v>
      </c>
      <c r="I532" s="9" t="s">
        <v>12</v>
      </c>
      <c r="J532" s="9" t="s">
        <v>12</v>
      </c>
      <c r="K532" s="9"/>
      <c r="L532" s="9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6"/>
      <c r="B533" s="6"/>
      <c r="C533" s="13"/>
      <c r="D533" s="8"/>
      <c r="E533" s="9"/>
      <c r="F533" s="14" t="s">
        <v>12</v>
      </c>
      <c r="G533" s="9" t="s">
        <v>12</v>
      </c>
      <c r="H533" s="9" t="s">
        <v>12</v>
      </c>
      <c r="I533" s="9" t="s">
        <v>12</v>
      </c>
      <c r="J533" s="9" t="s">
        <v>12</v>
      </c>
      <c r="K533" s="9"/>
      <c r="L533" s="9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6"/>
      <c r="B534" s="6"/>
      <c r="C534" s="13"/>
      <c r="D534" s="8"/>
      <c r="E534" s="9"/>
      <c r="F534" s="14" t="s">
        <v>12</v>
      </c>
      <c r="G534" s="9" t="s">
        <v>12</v>
      </c>
      <c r="H534" s="9" t="s">
        <v>12</v>
      </c>
      <c r="I534" s="9" t="s">
        <v>12</v>
      </c>
      <c r="J534" s="9" t="s">
        <v>12</v>
      </c>
      <c r="K534" s="9"/>
      <c r="L534" s="9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6"/>
      <c r="B535" s="6"/>
      <c r="C535" s="13"/>
      <c r="D535" s="8"/>
      <c r="E535" s="9"/>
      <c r="F535" s="14" t="s">
        <v>12</v>
      </c>
      <c r="G535" s="9" t="s">
        <v>12</v>
      </c>
      <c r="H535" s="9" t="s">
        <v>12</v>
      </c>
      <c r="I535" s="9" t="s">
        <v>12</v>
      </c>
      <c r="J535" s="9" t="s">
        <v>12</v>
      </c>
      <c r="K535" s="9"/>
      <c r="L535" s="9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6"/>
      <c r="B536" s="6"/>
      <c r="C536" s="13"/>
      <c r="D536" s="8"/>
      <c r="E536" s="9"/>
      <c r="F536" s="14" t="s">
        <v>12</v>
      </c>
      <c r="G536" s="9" t="s">
        <v>12</v>
      </c>
      <c r="H536" s="9" t="s">
        <v>12</v>
      </c>
      <c r="I536" s="9" t="s">
        <v>12</v>
      </c>
      <c r="J536" s="9" t="s">
        <v>12</v>
      </c>
      <c r="K536" s="9"/>
      <c r="L536" s="9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6"/>
      <c r="B537" s="6"/>
      <c r="C537" s="13"/>
      <c r="D537" s="8"/>
      <c r="E537" s="9"/>
      <c r="F537" s="14" t="s">
        <v>12</v>
      </c>
      <c r="G537" s="9" t="s">
        <v>12</v>
      </c>
      <c r="H537" s="9" t="s">
        <v>12</v>
      </c>
      <c r="I537" s="9" t="s">
        <v>12</v>
      </c>
      <c r="J537" s="9" t="s">
        <v>12</v>
      </c>
      <c r="K537" s="9"/>
      <c r="L537" s="9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6"/>
      <c r="B538" s="6"/>
      <c r="C538" s="13"/>
      <c r="D538" s="8"/>
      <c r="E538" s="9"/>
      <c r="F538" s="14" t="s">
        <v>12</v>
      </c>
      <c r="G538" s="9" t="s">
        <v>12</v>
      </c>
      <c r="H538" s="9" t="s">
        <v>12</v>
      </c>
      <c r="I538" s="9" t="s">
        <v>12</v>
      </c>
      <c r="J538" s="9" t="s">
        <v>12</v>
      </c>
      <c r="K538" s="9"/>
      <c r="L538" s="9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6"/>
      <c r="B539" s="6"/>
      <c r="C539" s="13"/>
      <c r="D539" s="8"/>
      <c r="E539" s="9"/>
      <c r="F539" s="14" t="s">
        <v>12</v>
      </c>
      <c r="G539" s="9" t="s">
        <v>12</v>
      </c>
      <c r="H539" s="9" t="s">
        <v>12</v>
      </c>
      <c r="I539" s="9" t="s">
        <v>12</v>
      </c>
      <c r="J539" s="9" t="s">
        <v>12</v>
      </c>
      <c r="K539" s="9"/>
      <c r="L539" s="9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6"/>
      <c r="B540" s="6"/>
      <c r="C540" s="13"/>
      <c r="D540" s="8"/>
      <c r="E540" s="9"/>
      <c r="F540" s="14" t="s">
        <v>12</v>
      </c>
      <c r="G540" s="9" t="s">
        <v>12</v>
      </c>
      <c r="H540" s="9" t="s">
        <v>12</v>
      </c>
      <c r="I540" s="9" t="s">
        <v>12</v>
      </c>
      <c r="J540" s="9" t="s">
        <v>12</v>
      </c>
      <c r="K540" s="9"/>
      <c r="L540" s="9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6"/>
      <c r="B541" s="6"/>
      <c r="C541" s="13"/>
      <c r="D541" s="8"/>
      <c r="E541" s="9"/>
      <c r="F541" s="14" t="s">
        <v>12</v>
      </c>
      <c r="G541" s="9" t="s">
        <v>12</v>
      </c>
      <c r="H541" s="9" t="s">
        <v>12</v>
      </c>
      <c r="I541" s="9" t="s">
        <v>12</v>
      </c>
      <c r="J541" s="9" t="s">
        <v>12</v>
      </c>
      <c r="K541" s="9"/>
      <c r="L541" s="9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6"/>
      <c r="B542" s="6"/>
      <c r="C542" s="13"/>
      <c r="D542" s="8"/>
      <c r="E542" s="9"/>
      <c r="F542" s="14" t="s">
        <v>12</v>
      </c>
      <c r="G542" s="9" t="s">
        <v>12</v>
      </c>
      <c r="H542" s="9" t="s">
        <v>12</v>
      </c>
      <c r="I542" s="9" t="s">
        <v>12</v>
      </c>
      <c r="J542" s="9" t="s">
        <v>12</v>
      </c>
      <c r="K542" s="9"/>
      <c r="L542" s="9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6"/>
      <c r="B543" s="6"/>
      <c r="C543" s="13"/>
      <c r="D543" s="8"/>
      <c r="E543" s="9"/>
      <c r="F543" s="14" t="s">
        <v>12</v>
      </c>
      <c r="G543" s="9" t="s">
        <v>12</v>
      </c>
      <c r="H543" s="9" t="s">
        <v>12</v>
      </c>
      <c r="I543" s="9" t="s">
        <v>12</v>
      </c>
      <c r="J543" s="9" t="s">
        <v>12</v>
      </c>
      <c r="K543" s="9"/>
      <c r="L543" s="9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6"/>
      <c r="B544" s="6"/>
      <c r="C544" s="13"/>
      <c r="D544" s="8"/>
      <c r="E544" s="9"/>
      <c r="F544" s="14" t="s">
        <v>12</v>
      </c>
      <c r="G544" s="9" t="s">
        <v>12</v>
      </c>
      <c r="H544" s="9" t="s">
        <v>12</v>
      </c>
      <c r="I544" s="9" t="s">
        <v>12</v>
      </c>
      <c r="J544" s="9" t="s">
        <v>12</v>
      </c>
      <c r="K544" s="9"/>
      <c r="L544" s="9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6"/>
      <c r="B545" s="6"/>
      <c r="C545" s="13"/>
      <c r="D545" s="8"/>
      <c r="E545" s="9"/>
      <c r="F545" s="14" t="s">
        <v>12</v>
      </c>
      <c r="G545" s="9" t="s">
        <v>12</v>
      </c>
      <c r="H545" s="9" t="s">
        <v>12</v>
      </c>
      <c r="I545" s="9" t="s">
        <v>12</v>
      </c>
      <c r="J545" s="9" t="s">
        <v>12</v>
      </c>
      <c r="K545" s="9"/>
      <c r="L545" s="9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6"/>
      <c r="B546" s="6"/>
      <c r="C546" s="13"/>
      <c r="D546" s="8"/>
      <c r="E546" s="9"/>
      <c r="F546" s="14" t="s">
        <v>12</v>
      </c>
      <c r="G546" s="9" t="s">
        <v>12</v>
      </c>
      <c r="H546" s="9" t="s">
        <v>12</v>
      </c>
      <c r="I546" s="9" t="s">
        <v>12</v>
      </c>
      <c r="J546" s="9" t="s">
        <v>12</v>
      </c>
      <c r="K546" s="9"/>
      <c r="L546" s="9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6"/>
      <c r="B547" s="6"/>
      <c r="C547" s="13"/>
      <c r="D547" s="8"/>
      <c r="E547" s="9"/>
      <c r="F547" s="14" t="s">
        <v>12</v>
      </c>
      <c r="G547" s="9" t="s">
        <v>12</v>
      </c>
      <c r="H547" s="9" t="s">
        <v>12</v>
      </c>
      <c r="I547" s="9" t="s">
        <v>12</v>
      </c>
      <c r="J547" s="9" t="s">
        <v>12</v>
      </c>
      <c r="K547" s="9"/>
      <c r="L547" s="9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6"/>
      <c r="B548" s="6"/>
      <c r="C548" s="13"/>
      <c r="D548" s="8"/>
      <c r="E548" s="9"/>
      <c r="F548" s="14" t="s">
        <v>12</v>
      </c>
      <c r="G548" s="9" t="s">
        <v>12</v>
      </c>
      <c r="H548" s="9" t="s">
        <v>12</v>
      </c>
      <c r="I548" s="9" t="s">
        <v>12</v>
      </c>
      <c r="J548" s="9" t="s">
        <v>12</v>
      </c>
      <c r="K548" s="9"/>
      <c r="L548" s="9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6"/>
      <c r="B549" s="6"/>
      <c r="C549" s="13"/>
      <c r="D549" s="8"/>
      <c r="E549" s="9"/>
      <c r="F549" s="14" t="s">
        <v>12</v>
      </c>
      <c r="G549" s="9" t="s">
        <v>12</v>
      </c>
      <c r="H549" s="9" t="s">
        <v>12</v>
      </c>
      <c r="I549" s="9" t="s">
        <v>12</v>
      </c>
      <c r="J549" s="9" t="s">
        <v>12</v>
      </c>
      <c r="K549" s="9"/>
      <c r="L549" s="9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6"/>
      <c r="B550" s="6"/>
      <c r="C550" s="13"/>
      <c r="D550" s="8"/>
      <c r="E550" s="9"/>
      <c r="F550" s="14" t="s">
        <v>12</v>
      </c>
      <c r="G550" s="9" t="s">
        <v>12</v>
      </c>
      <c r="H550" s="9" t="s">
        <v>12</v>
      </c>
      <c r="I550" s="9" t="s">
        <v>12</v>
      </c>
      <c r="J550" s="9" t="s">
        <v>12</v>
      </c>
      <c r="K550" s="9"/>
      <c r="L550" s="9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6"/>
      <c r="B551" s="6"/>
      <c r="C551" s="13"/>
      <c r="D551" s="8"/>
      <c r="E551" s="9"/>
      <c r="F551" s="14" t="s">
        <v>12</v>
      </c>
      <c r="G551" s="9" t="s">
        <v>12</v>
      </c>
      <c r="H551" s="9" t="s">
        <v>12</v>
      </c>
      <c r="I551" s="9" t="s">
        <v>12</v>
      </c>
      <c r="J551" s="9" t="s">
        <v>12</v>
      </c>
      <c r="K551" s="9"/>
      <c r="L551" s="9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6"/>
      <c r="B552" s="6"/>
      <c r="C552" s="13"/>
      <c r="D552" s="8"/>
      <c r="E552" s="9"/>
      <c r="F552" s="14" t="s">
        <v>12</v>
      </c>
      <c r="G552" s="9" t="s">
        <v>12</v>
      </c>
      <c r="H552" s="9" t="s">
        <v>12</v>
      </c>
      <c r="I552" s="9" t="s">
        <v>12</v>
      </c>
      <c r="J552" s="9" t="s">
        <v>12</v>
      </c>
      <c r="K552" s="9"/>
      <c r="L552" s="9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6"/>
      <c r="B553" s="6"/>
      <c r="C553" s="13"/>
      <c r="D553" s="8"/>
      <c r="E553" s="9"/>
      <c r="F553" s="14" t="s">
        <v>12</v>
      </c>
      <c r="G553" s="9" t="s">
        <v>12</v>
      </c>
      <c r="H553" s="9" t="s">
        <v>12</v>
      </c>
      <c r="I553" s="9" t="s">
        <v>12</v>
      </c>
      <c r="J553" s="9" t="s">
        <v>12</v>
      </c>
      <c r="K553" s="9"/>
      <c r="L553" s="9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6"/>
      <c r="B554" s="6"/>
      <c r="C554" s="13"/>
      <c r="D554" s="8"/>
      <c r="E554" s="9"/>
      <c r="F554" s="14" t="s">
        <v>12</v>
      </c>
      <c r="G554" s="9" t="s">
        <v>12</v>
      </c>
      <c r="H554" s="9" t="s">
        <v>12</v>
      </c>
      <c r="I554" s="9" t="s">
        <v>12</v>
      </c>
      <c r="J554" s="9" t="s">
        <v>12</v>
      </c>
      <c r="K554" s="9"/>
      <c r="L554" s="9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6"/>
      <c r="B555" s="6"/>
      <c r="C555" s="13"/>
      <c r="D555" s="8"/>
      <c r="E555" s="9"/>
      <c r="F555" s="14" t="s">
        <v>12</v>
      </c>
      <c r="G555" s="9" t="s">
        <v>12</v>
      </c>
      <c r="H555" s="9" t="s">
        <v>12</v>
      </c>
      <c r="I555" s="9" t="s">
        <v>12</v>
      </c>
      <c r="J555" s="9" t="s">
        <v>12</v>
      </c>
      <c r="K555" s="9"/>
      <c r="L555" s="9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6"/>
      <c r="B556" s="6"/>
      <c r="C556" s="13"/>
      <c r="D556" s="8"/>
      <c r="E556" s="9"/>
      <c r="F556" s="14" t="s">
        <v>12</v>
      </c>
      <c r="G556" s="9" t="s">
        <v>12</v>
      </c>
      <c r="H556" s="9" t="s">
        <v>12</v>
      </c>
      <c r="I556" s="9" t="s">
        <v>12</v>
      </c>
      <c r="J556" s="9" t="s">
        <v>12</v>
      </c>
      <c r="K556" s="9"/>
      <c r="L556" s="9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6"/>
      <c r="B557" s="6"/>
      <c r="C557" s="13"/>
      <c r="D557" s="8"/>
      <c r="E557" s="9"/>
      <c r="F557" s="14" t="s">
        <v>12</v>
      </c>
      <c r="G557" s="9" t="s">
        <v>12</v>
      </c>
      <c r="H557" s="9" t="s">
        <v>12</v>
      </c>
      <c r="I557" s="9" t="s">
        <v>12</v>
      </c>
      <c r="J557" s="9" t="s">
        <v>12</v>
      </c>
      <c r="K557" s="9"/>
      <c r="L557" s="9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6"/>
      <c r="B558" s="6"/>
      <c r="C558" s="13"/>
      <c r="D558" s="8"/>
      <c r="E558" s="9"/>
      <c r="F558" s="14" t="s">
        <v>12</v>
      </c>
      <c r="G558" s="9" t="s">
        <v>12</v>
      </c>
      <c r="H558" s="9" t="s">
        <v>12</v>
      </c>
      <c r="I558" s="9" t="s">
        <v>12</v>
      </c>
      <c r="J558" s="9" t="s">
        <v>12</v>
      </c>
      <c r="K558" s="9"/>
      <c r="L558" s="9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6"/>
      <c r="B559" s="6"/>
      <c r="C559" s="13"/>
      <c r="D559" s="8"/>
      <c r="E559" s="9"/>
      <c r="F559" s="14" t="s">
        <v>12</v>
      </c>
      <c r="G559" s="9" t="s">
        <v>12</v>
      </c>
      <c r="H559" s="9" t="s">
        <v>12</v>
      </c>
      <c r="I559" s="9" t="s">
        <v>12</v>
      </c>
      <c r="J559" s="9" t="s">
        <v>12</v>
      </c>
      <c r="K559" s="9"/>
      <c r="L559" s="9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6"/>
      <c r="B560" s="6"/>
      <c r="C560" s="13"/>
      <c r="D560" s="8"/>
      <c r="E560" s="9"/>
      <c r="F560" s="14" t="s">
        <v>12</v>
      </c>
      <c r="G560" s="9" t="s">
        <v>12</v>
      </c>
      <c r="H560" s="9" t="s">
        <v>12</v>
      </c>
      <c r="I560" s="9" t="s">
        <v>12</v>
      </c>
      <c r="J560" s="9" t="s">
        <v>12</v>
      </c>
      <c r="K560" s="9"/>
      <c r="L560" s="9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6"/>
      <c r="B561" s="6"/>
      <c r="C561" s="13"/>
      <c r="D561" s="8"/>
      <c r="E561" s="9"/>
      <c r="F561" s="14" t="s">
        <v>12</v>
      </c>
      <c r="G561" s="9" t="s">
        <v>12</v>
      </c>
      <c r="H561" s="9" t="s">
        <v>12</v>
      </c>
      <c r="I561" s="9" t="s">
        <v>12</v>
      </c>
      <c r="J561" s="9" t="s">
        <v>12</v>
      </c>
      <c r="K561" s="9"/>
      <c r="L561" s="9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6"/>
      <c r="B562" s="6"/>
      <c r="C562" s="13"/>
      <c r="D562" s="8"/>
      <c r="E562" s="9"/>
      <c r="F562" s="14" t="s">
        <v>12</v>
      </c>
      <c r="G562" s="9" t="s">
        <v>12</v>
      </c>
      <c r="H562" s="9" t="s">
        <v>12</v>
      </c>
      <c r="I562" s="9" t="s">
        <v>12</v>
      </c>
      <c r="J562" s="9" t="s">
        <v>12</v>
      </c>
      <c r="K562" s="9"/>
      <c r="L562" s="9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6"/>
      <c r="B563" s="6"/>
      <c r="C563" s="13"/>
      <c r="D563" s="8"/>
      <c r="E563" s="9"/>
      <c r="F563" s="14" t="s">
        <v>12</v>
      </c>
      <c r="G563" s="9" t="s">
        <v>12</v>
      </c>
      <c r="H563" s="9" t="s">
        <v>12</v>
      </c>
      <c r="I563" s="9" t="s">
        <v>12</v>
      </c>
      <c r="J563" s="9" t="s">
        <v>12</v>
      </c>
      <c r="K563" s="9"/>
      <c r="L563" s="9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6"/>
      <c r="B564" s="6"/>
      <c r="C564" s="13"/>
      <c r="D564" s="8"/>
      <c r="E564" s="9"/>
      <c r="F564" s="14" t="s">
        <v>12</v>
      </c>
      <c r="G564" s="9" t="s">
        <v>12</v>
      </c>
      <c r="H564" s="9" t="s">
        <v>12</v>
      </c>
      <c r="I564" s="9" t="s">
        <v>12</v>
      </c>
      <c r="J564" s="9" t="s">
        <v>12</v>
      </c>
      <c r="K564" s="9"/>
      <c r="L564" s="9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6"/>
      <c r="B565" s="6"/>
      <c r="C565" s="13"/>
      <c r="D565" s="8"/>
      <c r="E565" s="9"/>
      <c r="F565" s="14" t="s">
        <v>12</v>
      </c>
      <c r="G565" s="9" t="s">
        <v>12</v>
      </c>
      <c r="H565" s="9" t="s">
        <v>12</v>
      </c>
      <c r="I565" s="9" t="s">
        <v>12</v>
      </c>
      <c r="J565" s="9" t="s">
        <v>12</v>
      </c>
      <c r="K565" s="9"/>
      <c r="L565" s="9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6"/>
      <c r="B566" s="6"/>
      <c r="C566" s="13"/>
      <c r="D566" s="8"/>
      <c r="E566" s="9"/>
      <c r="F566" s="14" t="s">
        <v>12</v>
      </c>
      <c r="G566" s="9" t="s">
        <v>12</v>
      </c>
      <c r="H566" s="9" t="s">
        <v>12</v>
      </c>
      <c r="I566" s="9" t="s">
        <v>12</v>
      </c>
      <c r="J566" s="9" t="s">
        <v>12</v>
      </c>
      <c r="K566" s="9"/>
      <c r="L566" s="9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6"/>
      <c r="B567" s="6"/>
      <c r="C567" s="13"/>
      <c r="D567" s="8"/>
      <c r="E567" s="9"/>
      <c r="F567" s="14" t="s">
        <v>12</v>
      </c>
      <c r="G567" s="9" t="s">
        <v>12</v>
      </c>
      <c r="H567" s="9" t="s">
        <v>12</v>
      </c>
      <c r="I567" s="9" t="s">
        <v>12</v>
      </c>
      <c r="J567" s="9" t="s">
        <v>12</v>
      </c>
      <c r="K567" s="9"/>
      <c r="L567" s="9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6"/>
      <c r="B568" s="6"/>
      <c r="C568" s="13"/>
      <c r="D568" s="8"/>
      <c r="E568" s="9"/>
      <c r="F568" s="14" t="s">
        <v>12</v>
      </c>
      <c r="G568" s="9" t="s">
        <v>12</v>
      </c>
      <c r="H568" s="9" t="s">
        <v>12</v>
      </c>
      <c r="I568" s="9" t="s">
        <v>12</v>
      </c>
      <c r="J568" s="9" t="s">
        <v>12</v>
      </c>
      <c r="K568" s="9"/>
      <c r="L568" s="9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6"/>
      <c r="B569" s="6"/>
      <c r="C569" s="13"/>
      <c r="D569" s="8"/>
      <c r="E569" s="9"/>
      <c r="F569" s="14" t="s">
        <v>12</v>
      </c>
      <c r="G569" s="9" t="s">
        <v>12</v>
      </c>
      <c r="H569" s="9" t="s">
        <v>12</v>
      </c>
      <c r="I569" s="9" t="s">
        <v>12</v>
      </c>
      <c r="J569" s="9" t="s">
        <v>12</v>
      </c>
      <c r="K569" s="9"/>
      <c r="L569" s="9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6"/>
      <c r="B570" s="6"/>
      <c r="C570" s="13"/>
      <c r="D570" s="8"/>
      <c r="E570" s="9"/>
      <c r="F570" s="14" t="s">
        <v>12</v>
      </c>
      <c r="G570" s="9" t="s">
        <v>12</v>
      </c>
      <c r="H570" s="9" t="s">
        <v>12</v>
      </c>
      <c r="I570" s="9" t="s">
        <v>12</v>
      </c>
      <c r="J570" s="9" t="s">
        <v>12</v>
      </c>
      <c r="K570" s="9"/>
      <c r="L570" s="9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6"/>
      <c r="B571" s="6"/>
      <c r="C571" s="13"/>
      <c r="D571" s="8"/>
      <c r="E571" s="9"/>
      <c r="F571" s="14" t="s">
        <v>12</v>
      </c>
      <c r="G571" s="9" t="s">
        <v>12</v>
      </c>
      <c r="H571" s="9" t="s">
        <v>12</v>
      </c>
      <c r="I571" s="9" t="s">
        <v>12</v>
      </c>
      <c r="J571" s="9" t="s">
        <v>12</v>
      </c>
      <c r="K571" s="9"/>
      <c r="L571" s="9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6"/>
      <c r="B572" s="6"/>
      <c r="C572" s="13"/>
      <c r="D572" s="8"/>
      <c r="E572" s="9"/>
      <c r="F572" s="14" t="s">
        <v>12</v>
      </c>
      <c r="G572" s="9" t="s">
        <v>12</v>
      </c>
      <c r="H572" s="9" t="s">
        <v>12</v>
      </c>
      <c r="I572" s="9" t="s">
        <v>12</v>
      </c>
      <c r="J572" s="9" t="s">
        <v>12</v>
      </c>
      <c r="K572" s="9"/>
      <c r="L572" s="9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6"/>
      <c r="B573" s="6"/>
      <c r="C573" s="13"/>
      <c r="D573" s="8"/>
      <c r="E573" s="9"/>
      <c r="F573" s="14" t="s">
        <v>12</v>
      </c>
      <c r="G573" s="9" t="s">
        <v>12</v>
      </c>
      <c r="H573" s="9" t="s">
        <v>12</v>
      </c>
      <c r="I573" s="9" t="s">
        <v>12</v>
      </c>
      <c r="J573" s="9" t="s">
        <v>12</v>
      </c>
      <c r="K573" s="9"/>
      <c r="L573" s="9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6"/>
      <c r="B574" s="6"/>
      <c r="C574" s="13"/>
      <c r="D574" s="8"/>
      <c r="E574" s="9"/>
      <c r="F574" s="14" t="s">
        <v>12</v>
      </c>
      <c r="G574" s="9" t="s">
        <v>12</v>
      </c>
      <c r="H574" s="9" t="s">
        <v>12</v>
      </c>
      <c r="I574" s="9" t="s">
        <v>12</v>
      </c>
      <c r="J574" s="9" t="s">
        <v>12</v>
      </c>
      <c r="K574" s="9"/>
      <c r="L574" s="9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6"/>
      <c r="B575" s="6"/>
      <c r="C575" s="13"/>
      <c r="D575" s="8"/>
      <c r="E575" s="9"/>
      <c r="F575" s="14" t="s">
        <v>12</v>
      </c>
      <c r="G575" s="9" t="s">
        <v>12</v>
      </c>
      <c r="H575" s="9" t="s">
        <v>12</v>
      </c>
      <c r="I575" s="9" t="s">
        <v>12</v>
      </c>
      <c r="J575" s="9" t="s">
        <v>12</v>
      </c>
      <c r="K575" s="9"/>
      <c r="L575" s="9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6"/>
      <c r="B576" s="6"/>
      <c r="C576" s="13"/>
      <c r="D576" s="8"/>
      <c r="E576" s="9"/>
      <c r="F576" s="14" t="s">
        <v>12</v>
      </c>
      <c r="G576" s="9" t="s">
        <v>12</v>
      </c>
      <c r="H576" s="9" t="s">
        <v>12</v>
      </c>
      <c r="I576" s="9" t="s">
        <v>12</v>
      </c>
      <c r="J576" s="9" t="s">
        <v>12</v>
      </c>
      <c r="K576" s="9"/>
      <c r="L576" s="9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6"/>
      <c r="B577" s="6"/>
      <c r="C577" s="13"/>
      <c r="D577" s="8"/>
      <c r="E577" s="9"/>
      <c r="F577" s="14" t="s">
        <v>12</v>
      </c>
      <c r="G577" s="9" t="s">
        <v>12</v>
      </c>
      <c r="H577" s="9" t="s">
        <v>12</v>
      </c>
      <c r="I577" s="9" t="s">
        <v>12</v>
      </c>
      <c r="J577" s="9" t="s">
        <v>12</v>
      </c>
      <c r="K577" s="9"/>
      <c r="L577" s="9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6"/>
      <c r="B578" s="6"/>
      <c r="C578" s="13"/>
      <c r="D578" s="8"/>
      <c r="E578" s="9"/>
      <c r="F578" s="14" t="s">
        <v>12</v>
      </c>
      <c r="G578" s="9" t="s">
        <v>12</v>
      </c>
      <c r="H578" s="9" t="s">
        <v>12</v>
      </c>
      <c r="I578" s="9" t="s">
        <v>12</v>
      </c>
      <c r="J578" s="9" t="s">
        <v>12</v>
      </c>
      <c r="K578" s="9"/>
      <c r="L578" s="9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6"/>
      <c r="B579" s="6"/>
      <c r="C579" s="13"/>
      <c r="D579" s="8"/>
      <c r="E579" s="9"/>
      <c r="F579" s="14" t="s">
        <v>12</v>
      </c>
      <c r="G579" s="9" t="s">
        <v>12</v>
      </c>
      <c r="H579" s="9" t="s">
        <v>12</v>
      </c>
      <c r="I579" s="9" t="s">
        <v>12</v>
      </c>
      <c r="J579" s="9" t="s">
        <v>12</v>
      </c>
      <c r="K579" s="9"/>
      <c r="L579" s="9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6"/>
      <c r="B580" s="6"/>
      <c r="C580" s="13"/>
      <c r="D580" s="8"/>
      <c r="E580" s="9"/>
      <c r="F580" s="14" t="s">
        <v>12</v>
      </c>
      <c r="G580" s="9" t="s">
        <v>12</v>
      </c>
      <c r="H580" s="9" t="s">
        <v>12</v>
      </c>
      <c r="I580" s="9" t="s">
        <v>12</v>
      </c>
      <c r="J580" s="9" t="s">
        <v>12</v>
      </c>
      <c r="K580" s="9"/>
      <c r="L580" s="9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6"/>
      <c r="B581" s="6"/>
      <c r="C581" s="13"/>
      <c r="D581" s="8"/>
      <c r="E581" s="9"/>
      <c r="F581" s="14" t="s">
        <v>12</v>
      </c>
      <c r="G581" s="9" t="s">
        <v>12</v>
      </c>
      <c r="H581" s="9" t="s">
        <v>12</v>
      </c>
      <c r="I581" s="9" t="s">
        <v>12</v>
      </c>
      <c r="J581" s="9" t="s">
        <v>12</v>
      </c>
      <c r="K581" s="9"/>
      <c r="L581" s="9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6"/>
      <c r="B582" s="6"/>
      <c r="C582" s="13"/>
      <c r="D582" s="8"/>
      <c r="E582" s="9"/>
      <c r="F582" s="14" t="s">
        <v>12</v>
      </c>
      <c r="G582" s="9" t="s">
        <v>12</v>
      </c>
      <c r="H582" s="9" t="s">
        <v>12</v>
      </c>
      <c r="I582" s="9" t="s">
        <v>12</v>
      </c>
      <c r="J582" s="9" t="s">
        <v>12</v>
      </c>
      <c r="K582" s="9"/>
      <c r="L582" s="9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6"/>
      <c r="B583" s="6"/>
      <c r="C583" s="13"/>
      <c r="D583" s="8"/>
      <c r="E583" s="9"/>
      <c r="F583" s="14" t="s">
        <v>12</v>
      </c>
      <c r="G583" s="9" t="s">
        <v>12</v>
      </c>
      <c r="H583" s="9" t="s">
        <v>12</v>
      </c>
      <c r="I583" s="9" t="s">
        <v>12</v>
      </c>
      <c r="J583" s="9" t="s">
        <v>12</v>
      </c>
      <c r="K583" s="9"/>
      <c r="L583" s="9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6"/>
      <c r="B584" s="6"/>
      <c r="C584" s="13"/>
      <c r="D584" s="8"/>
      <c r="E584" s="9"/>
      <c r="F584" s="14" t="s">
        <v>12</v>
      </c>
      <c r="G584" s="9" t="s">
        <v>12</v>
      </c>
      <c r="H584" s="9" t="s">
        <v>12</v>
      </c>
      <c r="I584" s="9" t="s">
        <v>12</v>
      </c>
      <c r="J584" s="9" t="s">
        <v>12</v>
      </c>
      <c r="K584" s="9"/>
      <c r="L584" s="9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6"/>
      <c r="B585" s="6"/>
      <c r="C585" s="13"/>
      <c r="D585" s="8"/>
      <c r="E585" s="9"/>
      <c r="F585" s="14" t="s">
        <v>12</v>
      </c>
      <c r="G585" s="9" t="s">
        <v>12</v>
      </c>
      <c r="H585" s="9" t="s">
        <v>12</v>
      </c>
      <c r="I585" s="9" t="s">
        <v>12</v>
      </c>
      <c r="J585" s="9" t="s">
        <v>12</v>
      </c>
      <c r="K585" s="9"/>
      <c r="L585" s="9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6"/>
      <c r="B586" s="6"/>
      <c r="C586" s="13"/>
      <c r="D586" s="8"/>
      <c r="E586" s="9"/>
      <c r="F586" s="14" t="s">
        <v>12</v>
      </c>
      <c r="G586" s="9" t="s">
        <v>12</v>
      </c>
      <c r="H586" s="9" t="s">
        <v>12</v>
      </c>
      <c r="I586" s="9" t="s">
        <v>12</v>
      </c>
      <c r="J586" s="9" t="s">
        <v>12</v>
      </c>
      <c r="K586" s="9"/>
      <c r="L586" s="9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6"/>
      <c r="B587" s="6"/>
      <c r="C587" s="13"/>
      <c r="D587" s="8"/>
      <c r="E587" s="9"/>
      <c r="F587" s="14" t="s">
        <v>12</v>
      </c>
      <c r="G587" s="9" t="s">
        <v>12</v>
      </c>
      <c r="H587" s="9" t="s">
        <v>12</v>
      </c>
      <c r="I587" s="9" t="s">
        <v>12</v>
      </c>
      <c r="J587" s="9" t="s">
        <v>12</v>
      </c>
      <c r="K587" s="9"/>
      <c r="L587" s="9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6"/>
      <c r="B588" s="6"/>
      <c r="C588" s="13"/>
      <c r="D588" s="8"/>
      <c r="E588" s="9"/>
      <c r="F588" s="14" t="s">
        <v>12</v>
      </c>
      <c r="G588" s="9" t="s">
        <v>12</v>
      </c>
      <c r="H588" s="9" t="s">
        <v>12</v>
      </c>
      <c r="I588" s="9" t="s">
        <v>12</v>
      </c>
      <c r="J588" s="9" t="s">
        <v>12</v>
      </c>
      <c r="K588" s="9"/>
      <c r="L588" s="9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6"/>
      <c r="B589" s="6"/>
      <c r="C589" s="13"/>
      <c r="D589" s="8"/>
      <c r="E589" s="9"/>
      <c r="F589" s="14" t="s">
        <v>12</v>
      </c>
      <c r="G589" s="9" t="s">
        <v>12</v>
      </c>
      <c r="H589" s="9" t="s">
        <v>12</v>
      </c>
      <c r="I589" s="9" t="s">
        <v>12</v>
      </c>
      <c r="J589" s="9" t="s">
        <v>12</v>
      </c>
      <c r="K589" s="9"/>
      <c r="L589" s="9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6"/>
      <c r="B590" s="6"/>
      <c r="C590" s="13"/>
      <c r="D590" s="8"/>
      <c r="E590" s="9"/>
      <c r="F590" s="14" t="s">
        <v>12</v>
      </c>
      <c r="G590" s="9" t="s">
        <v>12</v>
      </c>
      <c r="H590" s="9" t="s">
        <v>12</v>
      </c>
      <c r="I590" s="9" t="s">
        <v>12</v>
      </c>
      <c r="J590" s="9" t="s">
        <v>12</v>
      </c>
      <c r="K590" s="9"/>
      <c r="L590" s="9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6"/>
      <c r="B591" s="6"/>
      <c r="C591" s="13"/>
      <c r="D591" s="8"/>
      <c r="E591" s="9"/>
      <c r="F591" s="14" t="s">
        <v>12</v>
      </c>
      <c r="G591" s="9" t="s">
        <v>12</v>
      </c>
      <c r="H591" s="9" t="s">
        <v>12</v>
      </c>
      <c r="I591" s="9" t="s">
        <v>12</v>
      </c>
      <c r="J591" s="9" t="s">
        <v>12</v>
      </c>
      <c r="K591" s="9"/>
      <c r="L591" s="9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6"/>
      <c r="B592" s="6"/>
      <c r="C592" s="13"/>
      <c r="D592" s="8"/>
      <c r="E592" s="9"/>
      <c r="F592" s="14" t="s">
        <v>12</v>
      </c>
      <c r="G592" s="9" t="s">
        <v>12</v>
      </c>
      <c r="H592" s="9" t="s">
        <v>12</v>
      </c>
      <c r="I592" s="9" t="s">
        <v>12</v>
      </c>
      <c r="J592" s="9" t="s">
        <v>12</v>
      </c>
      <c r="K592" s="9"/>
      <c r="L592" s="9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6"/>
      <c r="B593" s="6"/>
      <c r="C593" s="13"/>
      <c r="D593" s="8"/>
      <c r="E593" s="9"/>
      <c r="F593" s="14" t="s">
        <v>12</v>
      </c>
      <c r="G593" s="9" t="s">
        <v>12</v>
      </c>
      <c r="H593" s="9" t="s">
        <v>12</v>
      </c>
      <c r="I593" s="9" t="s">
        <v>12</v>
      </c>
      <c r="J593" s="9" t="s">
        <v>12</v>
      </c>
      <c r="K593" s="9"/>
      <c r="L593" s="9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6"/>
      <c r="B594" s="6"/>
      <c r="C594" s="13"/>
      <c r="D594" s="8"/>
      <c r="E594" s="9"/>
      <c r="F594" s="14" t="s">
        <v>12</v>
      </c>
      <c r="G594" s="9" t="s">
        <v>12</v>
      </c>
      <c r="H594" s="9" t="s">
        <v>12</v>
      </c>
      <c r="I594" s="9" t="s">
        <v>12</v>
      </c>
      <c r="J594" s="9" t="s">
        <v>12</v>
      </c>
      <c r="K594" s="9"/>
      <c r="L594" s="9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6"/>
      <c r="B595" s="6"/>
      <c r="C595" s="13"/>
      <c r="D595" s="8"/>
      <c r="E595" s="9"/>
      <c r="F595" s="14" t="s">
        <v>12</v>
      </c>
      <c r="G595" s="9" t="s">
        <v>12</v>
      </c>
      <c r="H595" s="9" t="s">
        <v>12</v>
      </c>
      <c r="I595" s="9" t="s">
        <v>12</v>
      </c>
      <c r="J595" s="9" t="s">
        <v>12</v>
      </c>
      <c r="K595" s="9"/>
      <c r="L595" s="9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6"/>
      <c r="B596" s="6"/>
      <c r="C596" s="13"/>
      <c r="D596" s="8"/>
      <c r="E596" s="9"/>
      <c r="F596" s="14" t="s">
        <v>12</v>
      </c>
      <c r="G596" s="9" t="s">
        <v>12</v>
      </c>
      <c r="H596" s="9" t="s">
        <v>12</v>
      </c>
      <c r="I596" s="9" t="s">
        <v>12</v>
      </c>
      <c r="J596" s="9" t="s">
        <v>12</v>
      </c>
      <c r="K596" s="9"/>
      <c r="L596" s="9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6"/>
      <c r="B597" s="6"/>
      <c r="C597" s="13"/>
      <c r="D597" s="8"/>
      <c r="E597" s="9"/>
      <c r="F597" s="14" t="s">
        <v>12</v>
      </c>
      <c r="G597" s="9" t="s">
        <v>12</v>
      </c>
      <c r="H597" s="9" t="s">
        <v>12</v>
      </c>
      <c r="I597" s="9" t="s">
        <v>12</v>
      </c>
      <c r="J597" s="9" t="s">
        <v>12</v>
      </c>
      <c r="K597" s="9"/>
      <c r="L597" s="9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6"/>
      <c r="B598" s="6"/>
      <c r="C598" s="13"/>
      <c r="D598" s="8"/>
      <c r="E598" s="9"/>
      <c r="F598" s="14" t="s">
        <v>12</v>
      </c>
      <c r="G598" s="9" t="s">
        <v>12</v>
      </c>
      <c r="H598" s="9" t="s">
        <v>12</v>
      </c>
      <c r="I598" s="9" t="s">
        <v>12</v>
      </c>
      <c r="J598" s="9" t="s">
        <v>12</v>
      </c>
      <c r="K598" s="9"/>
      <c r="L598" s="9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6"/>
      <c r="B599" s="6"/>
      <c r="C599" s="13"/>
      <c r="D599" s="8"/>
      <c r="E599" s="9"/>
      <c r="F599" s="14" t="s">
        <v>12</v>
      </c>
      <c r="G599" s="9" t="s">
        <v>12</v>
      </c>
      <c r="H599" s="9" t="s">
        <v>12</v>
      </c>
      <c r="I599" s="9" t="s">
        <v>12</v>
      </c>
      <c r="J599" s="9" t="s">
        <v>12</v>
      </c>
      <c r="K599" s="9"/>
      <c r="L599" s="9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6"/>
      <c r="B600" s="6"/>
      <c r="C600" s="13"/>
      <c r="D600" s="8"/>
      <c r="E600" s="9"/>
      <c r="F600" s="14" t="s">
        <v>12</v>
      </c>
      <c r="G600" s="9" t="s">
        <v>12</v>
      </c>
      <c r="H600" s="9" t="s">
        <v>12</v>
      </c>
      <c r="I600" s="9" t="s">
        <v>12</v>
      </c>
      <c r="J600" s="9" t="s">
        <v>12</v>
      </c>
      <c r="K600" s="9"/>
      <c r="L600" s="9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6"/>
      <c r="B601" s="6"/>
      <c r="C601" s="13"/>
      <c r="D601" s="8"/>
      <c r="E601" s="9"/>
      <c r="F601" s="14" t="s">
        <v>12</v>
      </c>
      <c r="G601" s="9" t="s">
        <v>12</v>
      </c>
      <c r="H601" s="9" t="s">
        <v>12</v>
      </c>
      <c r="I601" s="9" t="s">
        <v>12</v>
      </c>
      <c r="J601" s="9" t="s">
        <v>12</v>
      </c>
      <c r="K601" s="9"/>
      <c r="L601" s="9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6"/>
      <c r="B602" s="6"/>
      <c r="C602" s="13"/>
      <c r="D602" s="8"/>
      <c r="E602" s="9"/>
      <c r="F602" s="14" t="s">
        <v>12</v>
      </c>
      <c r="G602" s="9" t="s">
        <v>12</v>
      </c>
      <c r="H602" s="9" t="s">
        <v>12</v>
      </c>
      <c r="I602" s="9" t="s">
        <v>12</v>
      </c>
      <c r="J602" s="9" t="s">
        <v>12</v>
      </c>
      <c r="K602" s="9"/>
      <c r="L602" s="9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6"/>
      <c r="B603" s="6"/>
      <c r="C603" s="13"/>
      <c r="D603" s="8"/>
      <c r="E603" s="9"/>
      <c r="F603" s="14" t="s">
        <v>12</v>
      </c>
      <c r="G603" s="9" t="s">
        <v>12</v>
      </c>
      <c r="H603" s="9" t="s">
        <v>12</v>
      </c>
      <c r="I603" s="9" t="s">
        <v>12</v>
      </c>
      <c r="J603" s="9" t="s">
        <v>12</v>
      </c>
      <c r="K603" s="9"/>
      <c r="L603" s="9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6"/>
      <c r="B604" s="6"/>
      <c r="C604" s="13"/>
      <c r="D604" s="8"/>
      <c r="E604" s="9"/>
      <c r="F604" s="14" t="s">
        <v>12</v>
      </c>
      <c r="G604" s="9" t="s">
        <v>12</v>
      </c>
      <c r="H604" s="9" t="s">
        <v>12</v>
      </c>
      <c r="I604" s="9" t="s">
        <v>12</v>
      </c>
      <c r="J604" s="9" t="s">
        <v>12</v>
      </c>
      <c r="K604" s="9"/>
      <c r="L604" s="9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6"/>
      <c r="B605" s="6"/>
      <c r="C605" s="13"/>
      <c r="D605" s="8"/>
      <c r="E605" s="9"/>
      <c r="F605" s="14" t="s">
        <v>12</v>
      </c>
      <c r="G605" s="9" t="s">
        <v>12</v>
      </c>
      <c r="H605" s="9" t="s">
        <v>12</v>
      </c>
      <c r="I605" s="9" t="s">
        <v>12</v>
      </c>
      <c r="J605" s="9" t="s">
        <v>12</v>
      </c>
      <c r="K605" s="9"/>
      <c r="L605" s="9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6"/>
      <c r="B606" s="6"/>
      <c r="C606" s="13"/>
      <c r="D606" s="8"/>
      <c r="E606" s="9"/>
      <c r="F606" s="14" t="s">
        <v>12</v>
      </c>
      <c r="G606" s="9" t="s">
        <v>12</v>
      </c>
      <c r="H606" s="9" t="s">
        <v>12</v>
      </c>
      <c r="I606" s="9" t="s">
        <v>12</v>
      </c>
      <c r="J606" s="9" t="s">
        <v>12</v>
      </c>
      <c r="K606" s="9"/>
      <c r="L606" s="9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6"/>
      <c r="B607" s="6"/>
      <c r="C607" s="13"/>
      <c r="D607" s="8"/>
      <c r="E607" s="9"/>
      <c r="F607" s="14" t="s">
        <v>12</v>
      </c>
      <c r="G607" s="9" t="s">
        <v>12</v>
      </c>
      <c r="H607" s="9" t="s">
        <v>12</v>
      </c>
      <c r="I607" s="9" t="s">
        <v>12</v>
      </c>
      <c r="J607" s="9" t="s">
        <v>12</v>
      </c>
      <c r="K607" s="9"/>
      <c r="L607" s="9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6"/>
      <c r="B608" s="6"/>
      <c r="C608" s="13"/>
      <c r="D608" s="8"/>
      <c r="E608" s="9"/>
      <c r="F608" s="14" t="s">
        <v>12</v>
      </c>
      <c r="G608" s="9" t="s">
        <v>12</v>
      </c>
      <c r="H608" s="9" t="s">
        <v>12</v>
      </c>
      <c r="I608" s="9" t="s">
        <v>12</v>
      </c>
      <c r="J608" s="9" t="s">
        <v>12</v>
      </c>
      <c r="K608" s="9"/>
      <c r="L608" s="9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6"/>
      <c r="B609" s="6"/>
      <c r="C609" s="13"/>
      <c r="D609" s="8"/>
      <c r="E609" s="9"/>
      <c r="F609" s="14" t="s">
        <v>12</v>
      </c>
      <c r="G609" s="9" t="s">
        <v>12</v>
      </c>
      <c r="H609" s="9" t="s">
        <v>12</v>
      </c>
      <c r="I609" s="9" t="s">
        <v>12</v>
      </c>
      <c r="J609" s="9" t="s">
        <v>12</v>
      </c>
      <c r="K609" s="9"/>
      <c r="L609" s="9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6"/>
      <c r="B610" s="6"/>
      <c r="C610" s="13"/>
      <c r="D610" s="8"/>
      <c r="E610" s="9"/>
      <c r="F610" s="14" t="s">
        <v>12</v>
      </c>
      <c r="G610" s="9" t="s">
        <v>12</v>
      </c>
      <c r="H610" s="9" t="s">
        <v>12</v>
      </c>
      <c r="I610" s="9" t="s">
        <v>12</v>
      </c>
      <c r="J610" s="9" t="s">
        <v>12</v>
      </c>
      <c r="K610" s="9"/>
      <c r="L610" s="9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6"/>
      <c r="B611" s="6"/>
      <c r="C611" s="13"/>
      <c r="D611" s="8"/>
      <c r="E611" s="9"/>
      <c r="F611" s="14" t="s">
        <v>12</v>
      </c>
      <c r="G611" s="9" t="s">
        <v>12</v>
      </c>
      <c r="H611" s="9" t="s">
        <v>12</v>
      </c>
      <c r="I611" s="9" t="s">
        <v>12</v>
      </c>
      <c r="J611" s="9" t="s">
        <v>12</v>
      </c>
      <c r="K611" s="9"/>
      <c r="L611" s="9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6"/>
      <c r="B612" s="6"/>
      <c r="C612" s="13"/>
      <c r="D612" s="8"/>
      <c r="E612" s="9"/>
      <c r="F612" s="14" t="s">
        <v>12</v>
      </c>
      <c r="G612" s="9" t="s">
        <v>12</v>
      </c>
      <c r="H612" s="9" t="s">
        <v>12</v>
      </c>
      <c r="I612" s="9" t="s">
        <v>12</v>
      </c>
      <c r="J612" s="9" t="s">
        <v>12</v>
      </c>
      <c r="K612" s="9"/>
      <c r="L612" s="9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6"/>
      <c r="B613" s="6"/>
      <c r="C613" s="13"/>
      <c r="D613" s="8"/>
      <c r="E613" s="9"/>
      <c r="F613" s="14" t="s">
        <v>12</v>
      </c>
      <c r="G613" s="9" t="s">
        <v>12</v>
      </c>
      <c r="H613" s="9" t="s">
        <v>12</v>
      </c>
      <c r="I613" s="9" t="s">
        <v>12</v>
      </c>
      <c r="J613" s="9" t="s">
        <v>12</v>
      </c>
      <c r="K613" s="9"/>
      <c r="L613" s="9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6"/>
      <c r="B614" s="6"/>
      <c r="C614" s="13"/>
      <c r="D614" s="8"/>
      <c r="E614" s="9"/>
      <c r="F614" s="14" t="s">
        <v>12</v>
      </c>
      <c r="G614" s="9" t="s">
        <v>12</v>
      </c>
      <c r="H614" s="9" t="s">
        <v>12</v>
      </c>
      <c r="I614" s="9" t="s">
        <v>12</v>
      </c>
      <c r="J614" s="9" t="s">
        <v>12</v>
      </c>
      <c r="K614" s="9"/>
      <c r="L614" s="9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6"/>
      <c r="B615" s="6"/>
      <c r="C615" s="13"/>
      <c r="D615" s="8"/>
      <c r="E615" s="9"/>
      <c r="F615" s="14" t="s">
        <v>12</v>
      </c>
      <c r="G615" s="9" t="s">
        <v>12</v>
      </c>
      <c r="H615" s="9" t="s">
        <v>12</v>
      </c>
      <c r="I615" s="9" t="s">
        <v>12</v>
      </c>
      <c r="J615" s="9" t="s">
        <v>12</v>
      </c>
      <c r="K615" s="9"/>
      <c r="L615" s="9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6"/>
      <c r="B616" s="6"/>
      <c r="C616" s="13"/>
      <c r="D616" s="8"/>
      <c r="E616" s="9"/>
      <c r="F616" s="14" t="s">
        <v>12</v>
      </c>
      <c r="G616" s="9" t="s">
        <v>12</v>
      </c>
      <c r="H616" s="9" t="s">
        <v>12</v>
      </c>
      <c r="I616" s="9" t="s">
        <v>12</v>
      </c>
      <c r="J616" s="9" t="s">
        <v>12</v>
      </c>
      <c r="K616" s="9"/>
      <c r="L616" s="9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6"/>
      <c r="B617" s="6"/>
      <c r="C617" s="13"/>
      <c r="D617" s="8"/>
      <c r="E617" s="9"/>
      <c r="F617" s="14" t="s">
        <v>12</v>
      </c>
      <c r="G617" s="9" t="s">
        <v>12</v>
      </c>
      <c r="H617" s="9" t="s">
        <v>12</v>
      </c>
      <c r="I617" s="9" t="s">
        <v>12</v>
      </c>
      <c r="J617" s="9" t="s">
        <v>12</v>
      </c>
      <c r="K617" s="9"/>
      <c r="L617" s="9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6"/>
      <c r="B618" s="6"/>
      <c r="C618" s="13"/>
      <c r="D618" s="8"/>
      <c r="E618" s="9"/>
      <c r="F618" s="14" t="s">
        <v>12</v>
      </c>
      <c r="G618" s="9" t="s">
        <v>12</v>
      </c>
      <c r="H618" s="9" t="s">
        <v>12</v>
      </c>
      <c r="I618" s="9" t="s">
        <v>12</v>
      </c>
      <c r="J618" s="9" t="s">
        <v>12</v>
      </c>
      <c r="K618" s="9"/>
      <c r="L618" s="9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6"/>
      <c r="B619" s="6"/>
      <c r="C619" s="13"/>
      <c r="D619" s="8"/>
      <c r="E619" s="9"/>
      <c r="F619" s="14" t="s">
        <v>12</v>
      </c>
      <c r="G619" s="9" t="s">
        <v>12</v>
      </c>
      <c r="H619" s="9" t="s">
        <v>12</v>
      </c>
      <c r="I619" s="9" t="s">
        <v>12</v>
      </c>
      <c r="J619" s="9" t="s">
        <v>12</v>
      </c>
      <c r="K619" s="9"/>
      <c r="L619" s="9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6"/>
      <c r="B620" s="6"/>
      <c r="C620" s="13"/>
      <c r="D620" s="8"/>
      <c r="E620" s="9"/>
      <c r="F620" s="14" t="s">
        <v>12</v>
      </c>
      <c r="G620" s="9" t="s">
        <v>12</v>
      </c>
      <c r="H620" s="9" t="s">
        <v>12</v>
      </c>
      <c r="I620" s="9" t="s">
        <v>12</v>
      </c>
      <c r="J620" s="9" t="s">
        <v>12</v>
      </c>
      <c r="K620" s="9"/>
      <c r="L620" s="9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6"/>
      <c r="B621" s="6"/>
      <c r="C621" s="13"/>
      <c r="D621" s="8"/>
      <c r="E621" s="9"/>
      <c r="F621" s="14" t="s">
        <v>12</v>
      </c>
      <c r="G621" s="9" t="s">
        <v>12</v>
      </c>
      <c r="H621" s="9" t="s">
        <v>12</v>
      </c>
      <c r="I621" s="9" t="s">
        <v>12</v>
      </c>
      <c r="J621" s="9" t="s">
        <v>12</v>
      </c>
      <c r="K621" s="9"/>
      <c r="L621" s="9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6"/>
      <c r="B622" s="6"/>
      <c r="C622" s="13"/>
      <c r="D622" s="8"/>
      <c r="E622" s="9"/>
      <c r="F622" s="14" t="s">
        <v>12</v>
      </c>
      <c r="G622" s="9" t="s">
        <v>12</v>
      </c>
      <c r="H622" s="9" t="s">
        <v>12</v>
      </c>
      <c r="I622" s="9" t="s">
        <v>12</v>
      </c>
      <c r="J622" s="9" t="s">
        <v>12</v>
      </c>
      <c r="K622" s="9"/>
      <c r="L622" s="9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6"/>
      <c r="B623" s="6"/>
      <c r="C623" s="13"/>
      <c r="D623" s="8"/>
      <c r="E623" s="9"/>
      <c r="F623" s="14" t="s">
        <v>12</v>
      </c>
      <c r="G623" s="9" t="s">
        <v>12</v>
      </c>
      <c r="H623" s="9" t="s">
        <v>12</v>
      </c>
      <c r="I623" s="9" t="s">
        <v>12</v>
      </c>
      <c r="J623" s="9" t="s">
        <v>12</v>
      </c>
      <c r="K623" s="9"/>
      <c r="L623" s="9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6"/>
      <c r="B624" s="6"/>
      <c r="C624" s="13"/>
      <c r="D624" s="8"/>
      <c r="E624" s="9"/>
      <c r="F624" s="14" t="s">
        <v>12</v>
      </c>
      <c r="G624" s="9" t="s">
        <v>12</v>
      </c>
      <c r="H624" s="9" t="s">
        <v>12</v>
      </c>
      <c r="I624" s="9" t="s">
        <v>12</v>
      </c>
      <c r="J624" s="9" t="s">
        <v>12</v>
      </c>
      <c r="K624" s="9"/>
      <c r="L624" s="9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6"/>
      <c r="B625" s="6"/>
      <c r="C625" s="13"/>
      <c r="D625" s="8"/>
      <c r="E625" s="9"/>
      <c r="F625" s="14" t="s">
        <v>12</v>
      </c>
      <c r="G625" s="9" t="s">
        <v>12</v>
      </c>
      <c r="H625" s="9" t="s">
        <v>12</v>
      </c>
      <c r="I625" s="9" t="s">
        <v>12</v>
      </c>
      <c r="J625" s="9" t="s">
        <v>12</v>
      </c>
      <c r="K625" s="9"/>
      <c r="L625" s="9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6"/>
      <c r="B626" s="6"/>
      <c r="C626" s="13"/>
      <c r="D626" s="8"/>
      <c r="E626" s="9"/>
      <c r="F626" s="14" t="s">
        <v>12</v>
      </c>
      <c r="G626" s="9" t="s">
        <v>12</v>
      </c>
      <c r="H626" s="9" t="s">
        <v>12</v>
      </c>
      <c r="I626" s="9" t="s">
        <v>12</v>
      </c>
      <c r="J626" s="9" t="s">
        <v>12</v>
      </c>
      <c r="K626" s="9"/>
      <c r="L626" s="9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6"/>
      <c r="B627" s="6"/>
      <c r="C627" s="13"/>
      <c r="D627" s="8"/>
      <c r="E627" s="9"/>
      <c r="F627" s="14" t="s">
        <v>12</v>
      </c>
      <c r="G627" s="9" t="s">
        <v>12</v>
      </c>
      <c r="H627" s="9" t="s">
        <v>12</v>
      </c>
      <c r="I627" s="9" t="s">
        <v>12</v>
      </c>
      <c r="J627" s="9" t="s">
        <v>12</v>
      </c>
      <c r="K627" s="9"/>
      <c r="L627" s="9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6"/>
      <c r="B628" s="6"/>
      <c r="C628" s="13"/>
      <c r="D628" s="8"/>
      <c r="E628" s="9"/>
      <c r="F628" s="14" t="s">
        <v>12</v>
      </c>
      <c r="G628" s="9" t="s">
        <v>12</v>
      </c>
      <c r="H628" s="9" t="s">
        <v>12</v>
      </c>
      <c r="I628" s="9" t="s">
        <v>12</v>
      </c>
      <c r="J628" s="9" t="s">
        <v>12</v>
      </c>
      <c r="K628" s="9"/>
      <c r="L628" s="9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6"/>
      <c r="B629" s="6"/>
      <c r="C629" s="13"/>
      <c r="D629" s="8"/>
      <c r="E629" s="9"/>
      <c r="F629" s="14" t="s">
        <v>12</v>
      </c>
      <c r="G629" s="9" t="s">
        <v>12</v>
      </c>
      <c r="H629" s="9" t="s">
        <v>12</v>
      </c>
      <c r="I629" s="9" t="s">
        <v>12</v>
      </c>
      <c r="J629" s="9" t="s">
        <v>12</v>
      </c>
      <c r="K629" s="9"/>
      <c r="L629" s="9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6"/>
      <c r="B630" s="6"/>
      <c r="C630" s="13"/>
      <c r="D630" s="8"/>
      <c r="E630" s="9"/>
      <c r="F630" s="14" t="s">
        <v>12</v>
      </c>
      <c r="G630" s="9" t="s">
        <v>12</v>
      </c>
      <c r="H630" s="9" t="s">
        <v>12</v>
      </c>
      <c r="I630" s="9" t="s">
        <v>12</v>
      </c>
      <c r="J630" s="9" t="s">
        <v>12</v>
      </c>
      <c r="K630" s="9"/>
      <c r="L630" s="9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6"/>
      <c r="B631" s="6"/>
      <c r="C631" s="13"/>
      <c r="D631" s="8"/>
      <c r="E631" s="9"/>
      <c r="F631" s="14" t="s">
        <v>12</v>
      </c>
      <c r="G631" s="9" t="s">
        <v>12</v>
      </c>
      <c r="H631" s="9" t="s">
        <v>12</v>
      </c>
      <c r="I631" s="9" t="s">
        <v>12</v>
      </c>
      <c r="J631" s="9" t="s">
        <v>12</v>
      </c>
      <c r="K631" s="9"/>
      <c r="L631" s="9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6"/>
      <c r="B632" s="6"/>
      <c r="C632" s="13"/>
      <c r="D632" s="8"/>
      <c r="E632" s="9"/>
      <c r="F632" s="14" t="s">
        <v>12</v>
      </c>
      <c r="G632" s="9" t="s">
        <v>12</v>
      </c>
      <c r="H632" s="9" t="s">
        <v>12</v>
      </c>
      <c r="I632" s="9" t="s">
        <v>12</v>
      </c>
      <c r="J632" s="9" t="s">
        <v>12</v>
      </c>
      <c r="K632" s="9"/>
      <c r="L632" s="9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6"/>
      <c r="B633" s="6"/>
      <c r="C633" s="13"/>
      <c r="D633" s="8"/>
      <c r="E633" s="9"/>
      <c r="F633" s="14" t="s">
        <v>12</v>
      </c>
      <c r="G633" s="9" t="s">
        <v>12</v>
      </c>
      <c r="H633" s="9" t="s">
        <v>12</v>
      </c>
      <c r="I633" s="9" t="s">
        <v>12</v>
      </c>
      <c r="J633" s="9" t="s">
        <v>12</v>
      </c>
      <c r="K633" s="9"/>
      <c r="L633" s="9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6"/>
      <c r="B634" s="6"/>
      <c r="C634" s="13"/>
      <c r="D634" s="8"/>
      <c r="E634" s="9"/>
      <c r="F634" s="14" t="s">
        <v>12</v>
      </c>
      <c r="G634" s="9" t="s">
        <v>12</v>
      </c>
      <c r="H634" s="9" t="s">
        <v>12</v>
      </c>
      <c r="I634" s="9" t="s">
        <v>12</v>
      </c>
      <c r="J634" s="9" t="s">
        <v>12</v>
      </c>
      <c r="K634" s="9"/>
      <c r="L634" s="9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6"/>
      <c r="B635" s="6"/>
      <c r="C635" s="13"/>
      <c r="D635" s="8"/>
      <c r="E635" s="9"/>
      <c r="F635" s="14" t="s">
        <v>12</v>
      </c>
      <c r="G635" s="9" t="s">
        <v>12</v>
      </c>
      <c r="H635" s="9" t="s">
        <v>12</v>
      </c>
      <c r="I635" s="9" t="s">
        <v>12</v>
      </c>
      <c r="J635" s="9" t="s">
        <v>12</v>
      </c>
      <c r="K635" s="9"/>
      <c r="L635" s="9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6"/>
      <c r="B636" s="6"/>
      <c r="C636" s="13"/>
      <c r="D636" s="8"/>
      <c r="E636" s="9"/>
      <c r="F636" s="14" t="s">
        <v>12</v>
      </c>
      <c r="G636" s="9" t="s">
        <v>12</v>
      </c>
      <c r="H636" s="9" t="s">
        <v>12</v>
      </c>
      <c r="I636" s="9" t="s">
        <v>12</v>
      </c>
      <c r="J636" s="9" t="s">
        <v>12</v>
      </c>
      <c r="K636" s="9"/>
      <c r="L636" s="9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6"/>
      <c r="B637" s="6"/>
      <c r="C637" s="13"/>
      <c r="D637" s="8"/>
      <c r="E637" s="9"/>
      <c r="F637" s="14" t="s">
        <v>12</v>
      </c>
      <c r="G637" s="9" t="s">
        <v>12</v>
      </c>
      <c r="H637" s="9" t="s">
        <v>12</v>
      </c>
      <c r="I637" s="9" t="s">
        <v>12</v>
      </c>
      <c r="J637" s="9" t="s">
        <v>12</v>
      </c>
      <c r="K637" s="9"/>
      <c r="L637" s="9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6"/>
      <c r="B638" s="6"/>
      <c r="C638" s="13"/>
      <c r="D638" s="8"/>
      <c r="E638" s="9"/>
      <c r="F638" s="14" t="s">
        <v>12</v>
      </c>
      <c r="G638" s="9" t="s">
        <v>12</v>
      </c>
      <c r="H638" s="9" t="s">
        <v>12</v>
      </c>
      <c r="I638" s="9" t="s">
        <v>12</v>
      </c>
      <c r="J638" s="9" t="s">
        <v>12</v>
      </c>
      <c r="K638" s="9"/>
      <c r="L638" s="9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6"/>
      <c r="B639" s="6"/>
      <c r="C639" s="13"/>
      <c r="D639" s="8"/>
      <c r="E639" s="9"/>
      <c r="F639" s="14" t="s">
        <v>12</v>
      </c>
      <c r="G639" s="9" t="s">
        <v>12</v>
      </c>
      <c r="H639" s="9" t="s">
        <v>12</v>
      </c>
      <c r="I639" s="9" t="s">
        <v>12</v>
      </c>
      <c r="J639" s="9" t="s">
        <v>12</v>
      </c>
      <c r="K639" s="9"/>
      <c r="L639" s="9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6"/>
      <c r="B640" s="6"/>
      <c r="C640" s="13"/>
      <c r="D640" s="8"/>
      <c r="E640" s="9"/>
      <c r="F640" s="14" t="s">
        <v>12</v>
      </c>
      <c r="G640" s="9" t="s">
        <v>12</v>
      </c>
      <c r="H640" s="9" t="s">
        <v>12</v>
      </c>
      <c r="I640" s="9" t="s">
        <v>12</v>
      </c>
      <c r="J640" s="9" t="s">
        <v>12</v>
      </c>
      <c r="K640" s="9"/>
      <c r="L640" s="9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6"/>
      <c r="B641" s="6"/>
      <c r="C641" s="13"/>
      <c r="D641" s="8"/>
      <c r="E641" s="9"/>
      <c r="F641" s="14" t="s">
        <v>12</v>
      </c>
      <c r="G641" s="9" t="s">
        <v>12</v>
      </c>
      <c r="H641" s="9" t="s">
        <v>12</v>
      </c>
      <c r="I641" s="9" t="s">
        <v>12</v>
      </c>
      <c r="J641" s="9" t="s">
        <v>12</v>
      </c>
      <c r="K641" s="9"/>
      <c r="L641" s="9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6"/>
      <c r="B642" s="6"/>
      <c r="C642" s="13"/>
      <c r="D642" s="8"/>
      <c r="E642" s="9"/>
      <c r="F642" s="14" t="s">
        <v>12</v>
      </c>
      <c r="G642" s="9" t="s">
        <v>12</v>
      </c>
      <c r="H642" s="9" t="s">
        <v>12</v>
      </c>
      <c r="I642" s="9" t="s">
        <v>12</v>
      </c>
      <c r="J642" s="9" t="s">
        <v>12</v>
      </c>
      <c r="K642" s="9"/>
      <c r="L642" s="9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6"/>
      <c r="B643" s="6"/>
      <c r="C643" s="13"/>
      <c r="D643" s="8"/>
      <c r="E643" s="9"/>
      <c r="F643" s="14" t="s">
        <v>12</v>
      </c>
      <c r="G643" s="9" t="s">
        <v>12</v>
      </c>
      <c r="H643" s="9" t="s">
        <v>12</v>
      </c>
      <c r="I643" s="9" t="s">
        <v>12</v>
      </c>
      <c r="J643" s="9" t="s">
        <v>12</v>
      </c>
      <c r="K643" s="9"/>
      <c r="L643" s="9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6"/>
      <c r="B644" s="6"/>
      <c r="C644" s="13"/>
      <c r="D644" s="8"/>
      <c r="E644" s="9"/>
      <c r="F644" s="14" t="s">
        <v>12</v>
      </c>
      <c r="G644" s="9" t="s">
        <v>12</v>
      </c>
      <c r="H644" s="9" t="s">
        <v>12</v>
      </c>
      <c r="I644" s="9" t="s">
        <v>12</v>
      </c>
      <c r="J644" s="9" t="s">
        <v>12</v>
      </c>
      <c r="K644" s="9"/>
      <c r="L644" s="9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6"/>
      <c r="B645" s="6"/>
      <c r="C645" s="13"/>
      <c r="D645" s="8"/>
      <c r="E645" s="9"/>
      <c r="F645" s="14" t="s">
        <v>12</v>
      </c>
      <c r="G645" s="9" t="s">
        <v>12</v>
      </c>
      <c r="H645" s="9" t="s">
        <v>12</v>
      </c>
      <c r="I645" s="9" t="s">
        <v>12</v>
      </c>
      <c r="J645" s="9" t="s">
        <v>12</v>
      </c>
      <c r="K645" s="9"/>
      <c r="L645" s="9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6"/>
      <c r="B646" s="6"/>
      <c r="C646" s="13"/>
      <c r="D646" s="8"/>
      <c r="E646" s="9"/>
      <c r="F646" s="14" t="s">
        <v>12</v>
      </c>
      <c r="G646" s="9" t="s">
        <v>12</v>
      </c>
      <c r="H646" s="9" t="s">
        <v>12</v>
      </c>
      <c r="I646" s="9" t="s">
        <v>12</v>
      </c>
      <c r="J646" s="9" t="s">
        <v>12</v>
      </c>
      <c r="K646" s="9"/>
      <c r="L646" s="9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6"/>
      <c r="B647" s="6"/>
      <c r="C647" s="13"/>
      <c r="D647" s="8"/>
      <c r="E647" s="9"/>
      <c r="F647" s="14" t="s">
        <v>12</v>
      </c>
      <c r="G647" s="9" t="s">
        <v>12</v>
      </c>
      <c r="H647" s="9" t="s">
        <v>12</v>
      </c>
      <c r="I647" s="9" t="s">
        <v>12</v>
      </c>
      <c r="J647" s="9" t="s">
        <v>12</v>
      </c>
      <c r="K647" s="9"/>
      <c r="L647" s="9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6"/>
      <c r="B648" s="6"/>
      <c r="C648" s="13"/>
      <c r="D648" s="8"/>
      <c r="E648" s="9"/>
      <c r="F648" s="14" t="s">
        <v>12</v>
      </c>
      <c r="G648" s="9" t="s">
        <v>12</v>
      </c>
      <c r="H648" s="9" t="s">
        <v>12</v>
      </c>
      <c r="I648" s="9" t="s">
        <v>12</v>
      </c>
      <c r="J648" s="9" t="s">
        <v>12</v>
      </c>
      <c r="K648" s="9"/>
      <c r="L648" s="9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6"/>
      <c r="B649" s="6"/>
      <c r="C649" s="13"/>
      <c r="D649" s="8"/>
      <c r="E649" s="9"/>
      <c r="F649" s="14" t="s">
        <v>12</v>
      </c>
      <c r="G649" s="9" t="s">
        <v>12</v>
      </c>
      <c r="H649" s="9" t="s">
        <v>12</v>
      </c>
      <c r="I649" s="9" t="s">
        <v>12</v>
      </c>
      <c r="J649" s="9" t="s">
        <v>12</v>
      </c>
      <c r="K649" s="9"/>
      <c r="L649" s="9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6"/>
      <c r="B650" s="6"/>
      <c r="C650" s="13"/>
      <c r="D650" s="8"/>
      <c r="E650" s="9"/>
      <c r="F650" s="14" t="s">
        <v>12</v>
      </c>
      <c r="G650" s="9" t="s">
        <v>12</v>
      </c>
      <c r="H650" s="9" t="s">
        <v>12</v>
      </c>
      <c r="I650" s="9" t="s">
        <v>12</v>
      </c>
      <c r="J650" s="9" t="s">
        <v>12</v>
      </c>
      <c r="K650" s="9"/>
      <c r="L650" s="9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6"/>
      <c r="B651" s="6"/>
      <c r="C651" s="13"/>
      <c r="D651" s="8"/>
      <c r="E651" s="9"/>
      <c r="F651" s="14" t="s">
        <v>12</v>
      </c>
      <c r="G651" s="9" t="s">
        <v>12</v>
      </c>
      <c r="H651" s="9" t="s">
        <v>12</v>
      </c>
      <c r="I651" s="9" t="s">
        <v>12</v>
      </c>
      <c r="J651" s="9" t="s">
        <v>12</v>
      </c>
      <c r="K651" s="9"/>
      <c r="L651" s="9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6"/>
      <c r="B652" s="6"/>
      <c r="C652" s="13"/>
      <c r="D652" s="8"/>
      <c r="E652" s="9"/>
      <c r="F652" s="14" t="s">
        <v>12</v>
      </c>
      <c r="G652" s="9" t="s">
        <v>12</v>
      </c>
      <c r="H652" s="9" t="s">
        <v>12</v>
      </c>
      <c r="I652" s="9" t="s">
        <v>12</v>
      </c>
      <c r="J652" s="9" t="s">
        <v>12</v>
      </c>
      <c r="K652" s="9"/>
      <c r="L652" s="9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6"/>
      <c r="B653" s="6"/>
      <c r="C653" s="13"/>
      <c r="D653" s="8"/>
      <c r="E653" s="9"/>
      <c r="F653" s="14" t="s">
        <v>12</v>
      </c>
      <c r="G653" s="9" t="s">
        <v>12</v>
      </c>
      <c r="H653" s="9" t="s">
        <v>12</v>
      </c>
      <c r="I653" s="9" t="s">
        <v>12</v>
      </c>
      <c r="J653" s="9" t="s">
        <v>12</v>
      </c>
      <c r="K653" s="9"/>
      <c r="L653" s="9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6"/>
      <c r="B654" s="6"/>
      <c r="C654" s="13"/>
      <c r="D654" s="8"/>
      <c r="E654" s="9"/>
      <c r="F654" s="14" t="s">
        <v>12</v>
      </c>
      <c r="G654" s="9" t="s">
        <v>12</v>
      </c>
      <c r="H654" s="9" t="s">
        <v>12</v>
      </c>
      <c r="I654" s="9" t="s">
        <v>12</v>
      </c>
      <c r="J654" s="9" t="s">
        <v>12</v>
      </c>
      <c r="K654" s="9"/>
      <c r="L654" s="9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6"/>
      <c r="B655" s="6"/>
      <c r="C655" s="13"/>
      <c r="D655" s="8"/>
      <c r="E655" s="9"/>
      <c r="F655" s="14" t="s">
        <v>12</v>
      </c>
      <c r="G655" s="9" t="s">
        <v>12</v>
      </c>
      <c r="H655" s="9" t="s">
        <v>12</v>
      </c>
      <c r="I655" s="9" t="s">
        <v>12</v>
      </c>
      <c r="J655" s="9" t="s">
        <v>12</v>
      </c>
      <c r="K655" s="9"/>
      <c r="L655" s="9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6"/>
      <c r="B656" s="6"/>
      <c r="C656" s="13"/>
      <c r="D656" s="8"/>
      <c r="E656" s="9"/>
      <c r="F656" s="14" t="s">
        <v>12</v>
      </c>
      <c r="G656" s="9" t="s">
        <v>12</v>
      </c>
      <c r="H656" s="9" t="s">
        <v>12</v>
      </c>
      <c r="I656" s="9" t="s">
        <v>12</v>
      </c>
      <c r="J656" s="9" t="s">
        <v>12</v>
      </c>
      <c r="K656" s="9"/>
      <c r="L656" s="9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6"/>
      <c r="B657" s="6"/>
      <c r="C657" s="13"/>
      <c r="D657" s="8"/>
      <c r="E657" s="9"/>
      <c r="F657" s="14" t="s">
        <v>12</v>
      </c>
      <c r="G657" s="9" t="s">
        <v>12</v>
      </c>
      <c r="H657" s="9" t="s">
        <v>12</v>
      </c>
      <c r="I657" s="9" t="s">
        <v>12</v>
      </c>
      <c r="J657" s="9" t="s">
        <v>12</v>
      </c>
      <c r="K657" s="9"/>
      <c r="L657" s="9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6"/>
      <c r="B658" s="6"/>
      <c r="C658" s="13"/>
      <c r="D658" s="8"/>
      <c r="E658" s="9"/>
      <c r="F658" s="14" t="s">
        <v>12</v>
      </c>
      <c r="G658" s="9" t="s">
        <v>12</v>
      </c>
      <c r="H658" s="9" t="s">
        <v>12</v>
      </c>
      <c r="I658" s="9" t="s">
        <v>12</v>
      </c>
      <c r="J658" s="9" t="s">
        <v>12</v>
      </c>
      <c r="K658" s="9"/>
      <c r="L658" s="9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6"/>
      <c r="B659" s="6"/>
      <c r="C659" s="13"/>
      <c r="D659" s="8"/>
      <c r="E659" s="9"/>
      <c r="F659" s="14" t="s">
        <v>12</v>
      </c>
      <c r="G659" s="9" t="s">
        <v>12</v>
      </c>
      <c r="H659" s="9" t="s">
        <v>12</v>
      </c>
      <c r="I659" s="9" t="s">
        <v>12</v>
      </c>
      <c r="J659" s="9" t="s">
        <v>12</v>
      </c>
      <c r="K659" s="9"/>
      <c r="L659" s="9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6"/>
      <c r="B660" s="6"/>
      <c r="C660" s="13"/>
      <c r="D660" s="8"/>
      <c r="E660" s="9"/>
      <c r="F660" s="14" t="s">
        <v>12</v>
      </c>
      <c r="G660" s="9" t="s">
        <v>12</v>
      </c>
      <c r="H660" s="9" t="s">
        <v>12</v>
      </c>
      <c r="I660" s="9" t="s">
        <v>12</v>
      </c>
      <c r="J660" s="9" t="s">
        <v>12</v>
      </c>
      <c r="K660" s="9"/>
      <c r="L660" s="9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6"/>
      <c r="B661" s="6"/>
      <c r="C661" s="13"/>
      <c r="D661" s="8"/>
      <c r="E661" s="9"/>
      <c r="F661" s="14" t="s">
        <v>12</v>
      </c>
      <c r="G661" s="9" t="s">
        <v>12</v>
      </c>
      <c r="H661" s="9" t="s">
        <v>12</v>
      </c>
      <c r="I661" s="9" t="s">
        <v>12</v>
      </c>
      <c r="J661" s="9" t="s">
        <v>12</v>
      </c>
      <c r="K661" s="9"/>
      <c r="L661" s="9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6"/>
      <c r="B662" s="6"/>
      <c r="C662" s="13"/>
      <c r="D662" s="8"/>
      <c r="E662" s="9"/>
      <c r="F662" s="14" t="s">
        <v>12</v>
      </c>
      <c r="G662" s="9" t="s">
        <v>12</v>
      </c>
      <c r="H662" s="9" t="s">
        <v>12</v>
      </c>
      <c r="I662" s="9" t="s">
        <v>12</v>
      </c>
      <c r="J662" s="9" t="s">
        <v>12</v>
      </c>
      <c r="K662" s="9"/>
      <c r="L662" s="9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6"/>
      <c r="B663" s="6"/>
      <c r="C663" s="13"/>
      <c r="D663" s="8"/>
      <c r="E663" s="9"/>
      <c r="F663" s="14" t="s">
        <v>12</v>
      </c>
      <c r="G663" s="9" t="s">
        <v>12</v>
      </c>
      <c r="H663" s="9" t="s">
        <v>12</v>
      </c>
      <c r="I663" s="9" t="s">
        <v>12</v>
      </c>
      <c r="J663" s="9" t="s">
        <v>12</v>
      </c>
      <c r="K663" s="9"/>
      <c r="L663" s="9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6"/>
      <c r="B664" s="6"/>
      <c r="C664" s="13"/>
      <c r="D664" s="8"/>
      <c r="E664" s="9"/>
      <c r="F664" s="14" t="s">
        <v>12</v>
      </c>
      <c r="G664" s="9" t="s">
        <v>12</v>
      </c>
      <c r="H664" s="9" t="s">
        <v>12</v>
      </c>
      <c r="I664" s="9" t="s">
        <v>12</v>
      </c>
      <c r="J664" s="9" t="s">
        <v>12</v>
      </c>
      <c r="K664" s="9"/>
      <c r="L664" s="9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6"/>
      <c r="B665" s="6"/>
      <c r="C665" s="13"/>
      <c r="D665" s="8"/>
      <c r="E665" s="9"/>
      <c r="F665" s="14" t="s">
        <v>12</v>
      </c>
      <c r="G665" s="9" t="s">
        <v>12</v>
      </c>
      <c r="H665" s="9" t="s">
        <v>12</v>
      </c>
      <c r="I665" s="9" t="s">
        <v>12</v>
      </c>
      <c r="J665" s="9" t="s">
        <v>12</v>
      </c>
      <c r="K665" s="9"/>
      <c r="L665" s="9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6"/>
      <c r="B666" s="6"/>
      <c r="C666" s="13"/>
      <c r="D666" s="8"/>
      <c r="E666" s="9"/>
      <c r="F666" s="14" t="s">
        <v>12</v>
      </c>
      <c r="G666" s="9" t="s">
        <v>12</v>
      </c>
      <c r="H666" s="9" t="s">
        <v>12</v>
      </c>
      <c r="I666" s="9" t="s">
        <v>12</v>
      </c>
      <c r="J666" s="9" t="s">
        <v>12</v>
      </c>
      <c r="K666" s="9"/>
      <c r="L666" s="9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6"/>
      <c r="B667" s="6"/>
      <c r="C667" s="13"/>
      <c r="D667" s="8"/>
      <c r="E667" s="9"/>
      <c r="F667" s="14" t="s">
        <v>12</v>
      </c>
      <c r="G667" s="9" t="s">
        <v>12</v>
      </c>
      <c r="H667" s="9" t="s">
        <v>12</v>
      </c>
      <c r="I667" s="9" t="s">
        <v>12</v>
      </c>
      <c r="J667" s="9" t="s">
        <v>12</v>
      </c>
      <c r="K667" s="9"/>
      <c r="L667" s="9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6"/>
      <c r="B668" s="6"/>
      <c r="C668" s="13"/>
      <c r="D668" s="8"/>
      <c r="E668" s="9"/>
      <c r="F668" s="14" t="s">
        <v>12</v>
      </c>
      <c r="G668" s="9" t="s">
        <v>12</v>
      </c>
      <c r="H668" s="9" t="s">
        <v>12</v>
      </c>
      <c r="I668" s="9" t="s">
        <v>12</v>
      </c>
      <c r="J668" s="9" t="s">
        <v>12</v>
      </c>
      <c r="K668" s="9"/>
      <c r="L668" s="9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6"/>
      <c r="B669" s="6"/>
      <c r="C669" s="13"/>
      <c r="D669" s="8"/>
      <c r="E669" s="9"/>
      <c r="F669" s="14" t="s">
        <v>12</v>
      </c>
      <c r="G669" s="9" t="s">
        <v>12</v>
      </c>
      <c r="H669" s="9" t="s">
        <v>12</v>
      </c>
      <c r="I669" s="9" t="s">
        <v>12</v>
      </c>
      <c r="J669" s="9" t="s">
        <v>12</v>
      </c>
      <c r="K669" s="9"/>
      <c r="L669" s="9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6"/>
      <c r="B670" s="6"/>
      <c r="C670" s="13"/>
      <c r="D670" s="8"/>
      <c r="E670" s="9"/>
      <c r="F670" s="14" t="s">
        <v>12</v>
      </c>
      <c r="G670" s="9" t="s">
        <v>12</v>
      </c>
      <c r="H670" s="9" t="s">
        <v>12</v>
      </c>
      <c r="I670" s="9" t="s">
        <v>12</v>
      </c>
      <c r="J670" s="9" t="s">
        <v>12</v>
      </c>
      <c r="K670" s="9"/>
      <c r="L670" s="9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6"/>
      <c r="B671" s="6"/>
      <c r="C671" s="13"/>
      <c r="D671" s="8"/>
      <c r="E671" s="9"/>
      <c r="F671" s="14" t="s">
        <v>12</v>
      </c>
      <c r="G671" s="9" t="s">
        <v>12</v>
      </c>
      <c r="H671" s="9" t="s">
        <v>12</v>
      </c>
      <c r="I671" s="9" t="s">
        <v>12</v>
      </c>
      <c r="J671" s="9" t="s">
        <v>12</v>
      </c>
      <c r="K671" s="9"/>
      <c r="L671" s="9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6"/>
      <c r="B672" s="6"/>
      <c r="C672" s="13"/>
      <c r="D672" s="8"/>
      <c r="E672" s="9"/>
      <c r="F672" s="14" t="s">
        <v>12</v>
      </c>
      <c r="G672" s="9" t="s">
        <v>12</v>
      </c>
      <c r="H672" s="9" t="s">
        <v>12</v>
      </c>
      <c r="I672" s="9" t="s">
        <v>12</v>
      </c>
      <c r="J672" s="9" t="s">
        <v>12</v>
      </c>
      <c r="K672" s="9"/>
      <c r="L672" s="9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6"/>
      <c r="B673" s="6"/>
      <c r="C673" s="13"/>
      <c r="D673" s="8"/>
      <c r="E673" s="9"/>
      <c r="F673" s="14" t="s">
        <v>12</v>
      </c>
      <c r="G673" s="9" t="s">
        <v>12</v>
      </c>
      <c r="H673" s="9" t="s">
        <v>12</v>
      </c>
      <c r="I673" s="9" t="s">
        <v>12</v>
      </c>
      <c r="J673" s="9" t="s">
        <v>12</v>
      </c>
      <c r="K673" s="9"/>
      <c r="L673" s="9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6"/>
      <c r="B674" s="6"/>
      <c r="C674" s="13"/>
      <c r="D674" s="8"/>
      <c r="E674" s="9"/>
      <c r="F674" s="14" t="s">
        <v>12</v>
      </c>
      <c r="G674" s="9" t="s">
        <v>12</v>
      </c>
      <c r="H674" s="9" t="s">
        <v>12</v>
      </c>
      <c r="I674" s="9" t="s">
        <v>12</v>
      </c>
      <c r="J674" s="9" t="s">
        <v>12</v>
      </c>
      <c r="K674" s="9"/>
      <c r="L674" s="9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6"/>
      <c r="B675" s="6"/>
      <c r="C675" s="13"/>
      <c r="D675" s="8"/>
      <c r="E675" s="9"/>
      <c r="F675" s="14" t="s">
        <v>12</v>
      </c>
      <c r="G675" s="9" t="s">
        <v>12</v>
      </c>
      <c r="H675" s="9" t="s">
        <v>12</v>
      </c>
      <c r="I675" s="9" t="s">
        <v>12</v>
      </c>
      <c r="J675" s="9" t="s">
        <v>12</v>
      </c>
      <c r="K675" s="9"/>
      <c r="L675" s="9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6"/>
      <c r="B676" s="6"/>
      <c r="C676" s="13"/>
      <c r="D676" s="8"/>
      <c r="E676" s="9"/>
      <c r="F676" s="14" t="s">
        <v>12</v>
      </c>
      <c r="G676" s="9" t="s">
        <v>12</v>
      </c>
      <c r="H676" s="9" t="s">
        <v>12</v>
      </c>
      <c r="I676" s="9" t="s">
        <v>12</v>
      </c>
      <c r="J676" s="9" t="s">
        <v>12</v>
      </c>
      <c r="K676" s="9"/>
      <c r="L676" s="9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6"/>
      <c r="B677" s="6"/>
      <c r="C677" s="13"/>
      <c r="D677" s="8"/>
      <c r="E677" s="9"/>
      <c r="F677" s="14" t="s">
        <v>12</v>
      </c>
      <c r="G677" s="9" t="s">
        <v>12</v>
      </c>
      <c r="H677" s="9" t="s">
        <v>12</v>
      </c>
      <c r="I677" s="9" t="s">
        <v>12</v>
      </c>
      <c r="J677" s="9" t="s">
        <v>12</v>
      </c>
      <c r="K677" s="9"/>
      <c r="L677" s="9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6"/>
      <c r="B678" s="6"/>
      <c r="C678" s="13"/>
      <c r="D678" s="8"/>
      <c r="E678" s="9"/>
      <c r="F678" s="14" t="s">
        <v>12</v>
      </c>
      <c r="G678" s="9" t="s">
        <v>12</v>
      </c>
      <c r="H678" s="9" t="s">
        <v>12</v>
      </c>
      <c r="I678" s="9" t="s">
        <v>12</v>
      </c>
      <c r="J678" s="9" t="s">
        <v>12</v>
      </c>
      <c r="K678" s="9"/>
      <c r="L678" s="9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6"/>
      <c r="B679" s="6"/>
      <c r="C679" s="13"/>
      <c r="D679" s="8"/>
      <c r="E679" s="9"/>
      <c r="F679" s="14" t="s">
        <v>12</v>
      </c>
      <c r="G679" s="9" t="s">
        <v>12</v>
      </c>
      <c r="H679" s="9" t="s">
        <v>12</v>
      </c>
      <c r="I679" s="9" t="s">
        <v>12</v>
      </c>
      <c r="J679" s="9" t="s">
        <v>12</v>
      </c>
      <c r="K679" s="9"/>
      <c r="L679" s="9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6"/>
      <c r="B680" s="6"/>
      <c r="C680" s="13"/>
      <c r="D680" s="8"/>
      <c r="E680" s="9"/>
      <c r="F680" s="14" t="s">
        <v>12</v>
      </c>
      <c r="G680" s="9" t="s">
        <v>12</v>
      </c>
      <c r="H680" s="9" t="s">
        <v>12</v>
      </c>
      <c r="I680" s="9" t="s">
        <v>12</v>
      </c>
      <c r="J680" s="9" t="s">
        <v>12</v>
      </c>
      <c r="K680" s="9"/>
      <c r="L680" s="9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6"/>
      <c r="B681" s="6"/>
      <c r="C681" s="13"/>
      <c r="D681" s="8"/>
      <c r="E681" s="9"/>
      <c r="F681" s="14" t="s">
        <v>12</v>
      </c>
      <c r="G681" s="9" t="s">
        <v>12</v>
      </c>
      <c r="H681" s="9" t="s">
        <v>12</v>
      </c>
      <c r="I681" s="9" t="s">
        <v>12</v>
      </c>
      <c r="J681" s="9" t="s">
        <v>12</v>
      </c>
      <c r="K681" s="9"/>
      <c r="L681" s="9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6"/>
      <c r="B682" s="6"/>
      <c r="C682" s="13"/>
      <c r="D682" s="8"/>
      <c r="E682" s="9"/>
      <c r="F682" s="14" t="s">
        <v>12</v>
      </c>
      <c r="G682" s="9" t="s">
        <v>12</v>
      </c>
      <c r="H682" s="9" t="s">
        <v>12</v>
      </c>
      <c r="I682" s="9" t="s">
        <v>12</v>
      </c>
      <c r="J682" s="9" t="s">
        <v>12</v>
      </c>
      <c r="K682" s="9"/>
      <c r="L682" s="9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6"/>
      <c r="B683" s="6"/>
      <c r="C683" s="13"/>
      <c r="D683" s="8"/>
      <c r="E683" s="9"/>
      <c r="F683" s="14" t="s">
        <v>12</v>
      </c>
      <c r="G683" s="9" t="s">
        <v>12</v>
      </c>
      <c r="H683" s="9" t="s">
        <v>12</v>
      </c>
      <c r="I683" s="9" t="s">
        <v>12</v>
      </c>
      <c r="J683" s="9" t="s">
        <v>12</v>
      </c>
      <c r="K683" s="9"/>
      <c r="L683" s="9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6"/>
      <c r="B684" s="6"/>
      <c r="C684" s="13"/>
      <c r="D684" s="8"/>
      <c r="E684" s="9"/>
      <c r="F684" s="14" t="s">
        <v>12</v>
      </c>
      <c r="G684" s="9" t="s">
        <v>12</v>
      </c>
      <c r="H684" s="9" t="s">
        <v>12</v>
      </c>
      <c r="I684" s="9" t="s">
        <v>12</v>
      </c>
      <c r="J684" s="9" t="s">
        <v>12</v>
      </c>
      <c r="K684" s="9"/>
      <c r="L684" s="9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6"/>
      <c r="B685" s="6"/>
      <c r="C685" s="13"/>
      <c r="D685" s="8"/>
      <c r="E685" s="9"/>
      <c r="F685" s="14" t="s">
        <v>12</v>
      </c>
      <c r="G685" s="9" t="s">
        <v>12</v>
      </c>
      <c r="H685" s="9" t="s">
        <v>12</v>
      </c>
      <c r="I685" s="9" t="s">
        <v>12</v>
      </c>
      <c r="J685" s="9" t="s">
        <v>12</v>
      </c>
      <c r="K685" s="9"/>
      <c r="L685" s="9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6"/>
      <c r="B686" s="6"/>
      <c r="C686" s="13"/>
      <c r="D686" s="8"/>
      <c r="E686" s="9"/>
      <c r="F686" s="14" t="s">
        <v>12</v>
      </c>
      <c r="G686" s="9" t="s">
        <v>12</v>
      </c>
      <c r="H686" s="9" t="s">
        <v>12</v>
      </c>
      <c r="I686" s="9" t="s">
        <v>12</v>
      </c>
      <c r="J686" s="9" t="s">
        <v>12</v>
      </c>
      <c r="K686" s="9"/>
      <c r="L686" s="9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6"/>
      <c r="B687" s="6"/>
      <c r="C687" s="13"/>
      <c r="D687" s="8"/>
      <c r="E687" s="9"/>
      <c r="F687" s="14" t="s">
        <v>12</v>
      </c>
      <c r="G687" s="9" t="s">
        <v>12</v>
      </c>
      <c r="H687" s="9" t="s">
        <v>12</v>
      </c>
      <c r="I687" s="9" t="s">
        <v>12</v>
      </c>
      <c r="J687" s="9" t="s">
        <v>12</v>
      </c>
      <c r="K687" s="9"/>
      <c r="L687" s="9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6"/>
      <c r="B688" s="6"/>
      <c r="C688" s="13"/>
      <c r="D688" s="8"/>
      <c r="E688" s="9"/>
      <c r="F688" s="14" t="s">
        <v>12</v>
      </c>
      <c r="G688" s="9" t="s">
        <v>12</v>
      </c>
      <c r="H688" s="9" t="s">
        <v>12</v>
      </c>
      <c r="I688" s="9" t="s">
        <v>12</v>
      </c>
      <c r="J688" s="9" t="s">
        <v>12</v>
      </c>
      <c r="K688" s="9"/>
      <c r="L688" s="9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6"/>
      <c r="B689" s="6"/>
      <c r="C689" s="13"/>
      <c r="D689" s="8"/>
      <c r="E689" s="9"/>
      <c r="F689" s="14" t="s">
        <v>12</v>
      </c>
      <c r="G689" s="9" t="s">
        <v>12</v>
      </c>
      <c r="H689" s="9" t="s">
        <v>12</v>
      </c>
      <c r="I689" s="9" t="s">
        <v>12</v>
      </c>
      <c r="J689" s="9" t="s">
        <v>12</v>
      </c>
      <c r="K689" s="9"/>
      <c r="L689" s="9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6"/>
      <c r="B690" s="6"/>
      <c r="C690" s="13"/>
      <c r="D690" s="8"/>
      <c r="E690" s="9"/>
      <c r="F690" s="14" t="s">
        <v>12</v>
      </c>
      <c r="G690" s="9" t="s">
        <v>12</v>
      </c>
      <c r="H690" s="9" t="s">
        <v>12</v>
      </c>
      <c r="I690" s="9" t="s">
        <v>12</v>
      </c>
      <c r="J690" s="9" t="s">
        <v>12</v>
      </c>
      <c r="K690" s="9"/>
      <c r="L690" s="9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6"/>
      <c r="B691" s="6"/>
      <c r="C691" s="13"/>
      <c r="D691" s="8"/>
      <c r="E691" s="9"/>
      <c r="F691" s="14" t="s">
        <v>12</v>
      </c>
      <c r="G691" s="9" t="s">
        <v>12</v>
      </c>
      <c r="H691" s="9" t="s">
        <v>12</v>
      </c>
      <c r="I691" s="9" t="s">
        <v>12</v>
      </c>
      <c r="J691" s="9" t="s">
        <v>12</v>
      </c>
      <c r="K691" s="9"/>
      <c r="L691" s="9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6"/>
      <c r="B692" s="6"/>
      <c r="C692" s="13"/>
      <c r="D692" s="8"/>
      <c r="E692" s="9"/>
      <c r="F692" s="14" t="s">
        <v>12</v>
      </c>
      <c r="G692" s="9" t="s">
        <v>12</v>
      </c>
      <c r="H692" s="9" t="s">
        <v>12</v>
      </c>
      <c r="I692" s="9" t="s">
        <v>12</v>
      </c>
      <c r="J692" s="9" t="s">
        <v>12</v>
      </c>
      <c r="K692" s="9"/>
      <c r="L692" s="9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6"/>
      <c r="B693" s="6"/>
      <c r="C693" s="13"/>
      <c r="D693" s="8"/>
      <c r="E693" s="9"/>
      <c r="F693" s="14" t="s">
        <v>12</v>
      </c>
      <c r="G693" s="9" t="s">
        <v>12</v>
      </c>
      <c r="H693" s="9" t="s">
        <v>12</v>
      </c>
      <c r="I693" s="9" t="s">
        <v>12</v>
      </c>
      <c r="J693" s="9" t="s">
        <v>12</v>
      </c>
      <c r="K693" s="9"/>
      <c r="L693" s="9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6"/>
      <c r="B694" s="6"/>
      <c r="C694" s="13"/>
      <c r="D694" s="8"/>
      <c r="E694" s="9"/>
      <c r="F694" s="14" t="s">
        <v>12</v>
      </c>
      <c r="G694" s="9" t="s">
        <v>12</v>
      </c>
      <c r="H694" s="9" t="s">
        <v>12</v>
      </c>
      <c r="I694" s="9" t="s">
        <v>12</v>
      </c>
      <c r="J694" s="9" t="s">
        <v>12</v>
      </c>
      <c r="K694" s="9"/>
      <c r="L694" s="9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6"/>
      <c r="B695" s="6"/>
      <c r="C695" s="13"/>
      <c r="D695" s="8"/>
      <c r="E695" s="9"/>
      <c r="F695" s="14" t="s">
        <v>12</v>
      </c>
      <c r="G695" s="9" t="s">
        <v>12</v>
      </c>
      <c r="H695" s="9" t="s">
        <v>12</v>
      </c>
      <c r="I695" s="9" t="s">
        <v>12</v>
      </c>
      <c r="J695" s="9" t="s">
        <v>12</v>
      </c>
      <c r="K695" s="9"/>
      <c r="L695" s="9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6"/>
      <c r="B696" s="6"/>
      <c r="C696" s="13"/>
      <c r="D696" s="8"/>
      <c r="E696" s="9"/>
      <c r="F696" s="14" t="s">
        <v>12</v>
      </c>
      <c r="G696" s="9" t="s">
        <v>12</v>
      </c>
      <c r="H696" s="9" t="s">
        <v>12</v>
      </c>
      <c r="I696" s="9" t="s">
        <v>12</v>
      </c>
      <c r="J696" s="9" t="s">
        <v>12</v>
      </c>
      <c r="K696" s="9"/>
      <c r="L696" s="9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6"/>
      <c r="B697" s="6"/>
      <c r="C697" s="13"/>
      <c r="D697" s="8"/>
      <c r="E697" s="9"/>
      <c r="F697" s="14" t="s">
        <v>12</v>
      </c>
      <c r="G697" s="9" t="s">
        <v>12</v>
      </c>
      <c r="H697" s="9" t="s">
        <v>12</v>
      </c>
      <c r="I697" s="9" t="s">
        <v>12</v>
      </c>
      <c r="J697" s="9" t="s">
        <v>12</v>
      </c>
      <c r="K697" s="9"/>
      <c r="L697" s="9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6"/>
      <c r="B698" s="6"/>
      <c r="C698" s="13"/>
      <c r="D698" s="8"/>
      <c r="E698" s="9"/>
      <c r="F698" s="14" t="s">
        <v>12</v>
      </c>
      <c r="G698" s="9" t="s">
        <v>12</v>
      </c>
      <c r="H698" s="9" t="s">
        <v>12</v>
      </c>
      <c r="I698" s="9" t="s">
        <v>12</v>
      </c>
      <c r="J698" s="9" t="s">
        <v>12</v>
      </c>
      <c r="K698" s="9"/>
      <c r="L698" s="9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6"/>
      <c r="B699" s="6"/>
      <c r="C699" s="13"/>
      <c r="D699" s="8"/>
      <c r="E699" s="9"/>
      <c r="F699" s="14" t="s">
        <v>12</v>
      </c>
      <c r="G699" s="9" t="s">
        <v>12</v>
      </c>
      <c r="H699" s="9" t="s">
        <v>12</v>
      </c>
      <c r="I699" s="9" t="s">
        <v>12</v>
      </c>
      <c r="J699" s="9" t="s">
        <v>12</v>
      </c>
      <c r="K699" s="9"/>
      <c r="L699" s="9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6"/>
      <c r="B700" s="6"/>
      <c r="C700" s="13"/>
      <c r="D700" s="8"/>
      <c r="E700" s="9"/>
      <c r="F700" s="14" t="s">
        <v>12</v>
      </c>
      <c r="G700" s="9" t="s">
        <v>12</v>
      </c>
      <c r="H700" s="9" t="s">
        <v>12</v>
      </c>
      <c r="I700" s="9" t="s">
        <v>12</v>
      </c>
      <c r="J700" s="9" t="s">
        <v>12</v>
      </c>
      <c r="K700" s="9"/>
      <c r="L700" s="9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6"/>
      <c r="B701" s="6"/>
      <c r="C701" s="13"/>
      <c r="D701" s="8"/>
      <c r="E701" s="9"/>
      <c r="F701" s="14" t="s">
        <v>12</v>
      </c>
      <c r="G701" s="9" t="s">
        <v>12</v>
      </c>
      <c r="H701" s="9" t="s">
        <v>12</v>
      </c>
      <c r="I701" s="9" t="s">
        <v>12</v>
      </c>
      <c r="J701" s="9" t="s">
        <v>12</v>
      </c>
      <c r="K701" s="9"/>
      <c r="L701" s="9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6"/>
      <c r="B702" s="6"/>
      <c r="C702" s="13"/>
      <c r="D702" s="8"/>
      <c r="E702" s="9"/>
      <c r="F702" s="14" t="s">
        <v>12</v>
      </c>
      <c r="G702" s="9" t="s">
        <v>12</v>
      </c>
      <c r="H702" s="9" t="s">
        <v>12</v>
      </c>
      <c r="I702" s="9" t="s">
        <v>12</v>
      </c>
      <c r="J702" s="9" t="s">
        <v>12</v>
      </c>
      <c r="K702" s="9"/>
      <c r="L702" s="9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6"/>
      <c r="B703" s="6"/>
      <c r="C703" s="13"/>
      <c r="D703" s="8"/>
      <c r="E703" s="9"/>
      <c r="F703" s="14" t="s">
        <v>12</v>
      </c>
      <c r="G703" s="9" t="s">
        <v>12</v>
      </c>
      <c r="H703" s="9" t="s">
        <v>12</v>
      </c>
      <c r="I703" s="9" t="s">
        <v>12</v>
      </c>
      <c r="J703" s="9" t="s">
        <v>12</v>
      </c>
      <c r="K703" s="9"/>
      <c r="L703" s="9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6"/>
      <c r="B704" s="6"/>
      <c r="C704" s="13"/>
      <c r="D704" s="8"/>
      <c r="E704" s="9"/>
      <c r="F704" s="14" t="s">
        <v>12</v>
      </c>
      <c r="G704" s="9" t="s">
        <v>12</v>
      </c>
      <c r="H704" s="9" t="s">
        <v>12</v>
      </c>
      <c r="I704" s="9" t="s">
        <v>12</v>
      </c>
      <c r="J704" s="9" t="s">
        <v>12</v>
      </c>
      <c r="K704" s="9"/>
      <c r="L704" s="9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6"/>
      <c r="B705" s="6"/>
      <c r="C705" s="13"/>
      <c r="D705" s="8"/>
      <c r="E705" s="9"/>
      <c r="F705" s="14" t="s">
        <v>12</v>
      </c>
      <c r="G705" s="9" t="s">
        <v>12</v>
      </c>
      <c r="H705" s="9" t="s">
        <v>12</v>
      </c>
      <c r="I705" s="9" t="s">
        <v>12</v>
      </c>
      <c r="J705" s="9" t="s">
        <v>12</v>
      </c>
      <c r="K705" s="9"/>
      <c r="L705" s="9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6"/>
      <c r="B706" s="6"/>
      <c r="C706" s="13"/>
      <c r="D706" s="8"/>
      <c r="E706" s="9"/>
      <c r="F706" s="14" t="s">
        <v>12</v>
      </c>
      <c r="G706" s="9" t="s">
        <v>12</v>
      </c>
      <c r="H706" s="9" t="s">
        <v>12</v>
      </c>
      <c r="I706" s="9" t="s">
        <v>12</v>
      </c>
      <c r="J706" s="9" t="s">
        <v>12</v>
      </c>
      <c r="K706" s="9"/>
      <c r="L706" s="9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6"/>
      <c r="B707" s="6"/>
      <c r="C707" s="13"/>
      <c r="D707" s="8"/>
      <c r="E707" s="9"/>
      <c r="F707" s="14" t="s">
        <v>12</v>
      </c>
      <c r="G707" s="9" t="s">
        <v>12</v>
      </c>
      <c r="H707" s="9" t="s">
        <v>12</v>
      </c>
      <c r="I707" s="9" t="s">
        <v>12</v>
      </c>
      <c r="J707" s="9" t="s">
        <v>12</v>
      </c>
      <c r="K707" s="9"/>
      <c r="L707" s="9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6"/>
      <c r="B708" s="6"/>
      <c r="C708" s="13"/>
      <c r="D708" s="8"/>
      <c r="E708" s="9"/>
      <c r="F708" s="14" t="s">
        <v>12</v>
      </c>
      <c r="G708" s="9" t="s">
        <v>12</v>
      </c>
      <c r="H708" s="9" t="s">
        <v>12</v>
      </c>
      <c r="I708" s="9" t="s">
        <v>12</v>
      </c>
      <c r="J708" s="9" t="s">
        <v>12</v>
      </c>
      <c r="K708" s="9"/>
      <c r="L708" s="9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6"/>
      <c r="B709" s="6"/>
      <c r="C709" s="13"/>
      <c r="D709" s="8"/>
      <c r="E709" s="9"/>
      <c r="F709" s="14" t="s">
        <v>12</v>
      </c>
      <c r="G709" s="9" t="s">
        <v>12</v>
      </c>
      <c r="H709" s="9" t="s">
        <v>12</v>
      </c>
      <c r="I709" s="9" t="s">
        <v>12</v>
      </c>
      <c r="J709" s="9" t="s">
        <v>12</v>
      </c>
      <c r="K709" s="9"/>
      <c r="L709" s="9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6"/>
      <c r="B710" s="6"/>
      <c r="C710" s="13"/>
      <c r="D710" s="8"/>
      <c r="E710" s="9"/>
      <c r="F710" s="14" t="s">
        <v>12</v>
      </c>
      <c r="G710" s="9" t="s">
        <v>12</v>
      </c>
      <c r="H710" s="9" t="s">
        <v>12</v>
      </c>
      <c r="I710" s="9" t="s">
        <v>12</v>
      </c>
      <c r="J710" s="9" t="s">
        <v>12</v>
      </c>
      <c r="K710" s="9"/>
      <c r="L710" s="9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6"/>
      <c r="B711" s="6"/>
      <c r="C711" s="13"/>
      <c r="D711" s="8"/>
      <c r="E711" s="9"/>
      <c r="F711" s="14" t="s">
        <v>12</v>
      </c>
      <c r="G711" s="9" t="s">
        <v>12</v>
      </c>
      <c r="H711" s="9" t="s">
        <v>12</v>
      </c>
      <c r="I711" s="9" t="s">
        <v>12</v>
      </c>
      <c r="J711" s="9" t="s">
        <v>12</v>
      </c>
      <c r="K711" s="9"/>
      <c r="L711" s="9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6"/>
      <c r="B712" s="6"/>
      <c r="C712" s="13"/>
      <c r="D712" s="8"/>
      <c r="E712" s="9"/>
      <c r="F712" s="14" t="s">
        <v>12</v>
      </c>
      <c r="G712" s="9" t="s">
        <v>12</v>
      </c>
      <c r="H712" s="9" t="s">
        <v>12</v>
      </c>
      <c r="I712" s="9" t="s">
        <v>12</v>
      </c>
      <c r="J712" s="9" t="s">
        <v>12</v>
      </c>
      <c r="K712" s="9"/>
      <c r="L712" s="9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6"/>
      <c r="B713" s="6"/>
      <c r="C713" s="13"/>
      <c r="D713" s="8"/>
      <c r="E713" s="9"/>
      <c r="F713" s="14" t="s">
        <v>12</v>
      </c>
      <c r="G713" s="9" t="s">
        <v>12</v>
      </c>
      <c r="H713" s="9" t="s">
        <v>12</v>
      </c>
      <c r="I713" s="9" t="s">
        <v>12</v>
      </c>
      <c r="J713" s="9" t="s">
        <v>12</v>
      </c>
      <c r="K713" s="9"/>
      <c r="L713" s="9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6"/>
      <c r="B714" s="6"/>
      <c r="C714" s="13"/>
      <c r="D714" s="8"/>
      <c r="E714" s="9"/>
      <c r="F714" s="14" t="s">
        <v>12</v>
      </c>
      <c r="G714" s="9" t="s">
        <v>12</v>
      </c>
      <c r="H714" s="9" t="s">
        <v>12</v>
      </c>
      <c r="I714" s="9" t="s">
        <v>12</v>
      </c>
      <c r="J714" s="9" t="s">
        <v>12</v>
      </c>
      <c r="K714" s="9"/>
      <c r="L714" s="9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6"/>
      <c r="B715" s="6"/>
      <c r="C715" s="13"/>
      <c r="D715" s="8"/>
      <c r="E715" s="9"/>
      <c r="F715" s="14" t="s">
        <v>12</v>
      </c>
      <c r="G715" s="9" t="s">
        <v>12</v>
      </c>
      <c r="H715" s="9" t="s">
        <v>12</v>
      </c>
      <c r="I715" s="9" t="s">
        <v>12</v>
      </c>
      <c r="J715" s="9" t="s">
        <v>12</v>
      </c>
      <c r="K715" s="9"/>
      <c r="L715" s="9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6"/>
      <c r="B716" s="6"/>
      <c r="C716" s="13"/>
      <c r="D716" s="8"/>
      <c r="E716" s="9"/>
      <c r="F716" s="14" t="s">
        <v>12</v>
      </c>
      <c r="G716" s="9" t="s">
        <v>12</v>
      </c>
      <c r="H716" s="9" t="s">
        <v>12</v>
      </c>
      <c r="I716" s="9" t="s">
        <v>12</v>
      </c>
      <c r="J716" s="9" t="s">
        <v>12</v>
      </c>
      <c r="K716" s="9"/>
      <c r="L716" s="9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6"/>
      <c r="B717" s="6"/>
      <c r="C717" s="13"/>
      <c r="D717" s="8"/>
      <c r="E717" s="9"/>
      <c r="F717" s="14" t="s">
        <v>12</v>
      </c>
      <c r="G717" s="9" t="s">
        <v>12</v>
      </c>
      <c r="H717" s="9" t="s">
        <v>12</v>
      </c>
      <c r="I717" s="9" t="s">
        <v>12</v>
      </c>
      <c r="J717" s="9" t="s">
        <v>12</v>
      </c>
      <c r="K717" s="9"/>
      <c r="L717" s="9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6"/>
      <c r="B718" s="6"/>
      <c r="C718" s="13"/>
      <c r="D718" s="8"/>
      <c r="E718" s="9"/>
      <c r="F718" s="14" t="s">
        <v>12</v>
      </c>
      <c r="G718" s="9" t="s">
        <v>12</v>
      </c>
      <c r="H718" s="9" t="s">
        <v>12</v>
      </c>
      <c r="I718" s="9" t="s">
        <v>12</v>
      </c>
      <c r="J718" s="9" t="s">
        <v>12</v>
      </c>
      <c r="K718" s="9"/>
      <c r="L718" s="9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6"/>
      <c r="B719" s="6"/>
      <c r="C719" s="13"/>
      <c r="D719" s="8"/>
      <c r="E719" s="9"/>
      <c r="F719" s="14" t="s">
        <v>12</v>
      </c>
      <c r="G719" s="9" t="s">
        <v>12</v>
      </c>
      <c r="H719" s="9" t="s">
        <v>12</v>
      </c>
      <c r="I719" s="9" t="s">
        <v>12</v>
      </c>
      <c r="J719" s="9" t="s">
        <v>12</v>
      </c>
      <c r="K719" s="9"/>
      <c r="L719" s="9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6"/>
      <c r="B720" s="6"/>
      <c r="C720" s="13"/>
      <c r="D720" s="8"/>
      <c r="E720" s="9"/>
      <c r="F720" s="14" t="s">
        <v>12</v>
      </c>
      <c r="G720" s="9" t="s">
        <v>12</v>
      </c>
      <c r="H720" s="9" t="s">
        <v>12</v>
      </c>
      <c r="I720" s="9" t="s">
        <v>12</v>
      </c>
      <c r="J720" s="9" t="s">
        <v>12</v>
      </c>
      <c r="K720" s="9"/>
      <c r="L720" s="9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6"/>
      <c r="B721" s="6"/>
      <c r="C721" s="13"/>
      <c r="D721" s="8"/>
      <c r="E721" s="9"/>
      <c r="F721" s="14" t="s">
        <v>12</v>
      </c>
      <c r="G721" s="9" t="s">
        <v>12</v>
      </c>
      <c r="H721" s="9" t="s">
        <v>12</v>
      </c>
      <c r="I721" s="9" t="s">
        <v>12</v>
      </c>
      <c r="J721" s="9" t="s">
        <v>12</v>
      </c>
      <c r="K721" s="9"/>
      <c r="L721" s="9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6"/>
      <c r="B722" s="6"/>
      <c r="C722" s="13"/>
      <c r="D722" s="8"/>
      <c r="E722" s="9"/>
      <c r="F722" s="14" t="s">
        <v>12</v>
      </c>
      <c r="G722" s="9" t="s">
        <v>12</v>
      </c>
      <c r="H722" s="9" t="s">
        <v>12</v>
      </c>
      <c r="I722" s="9" t="s">
        <v>12</v>
      </c>
      <c r="J722" s="9" t="s">
        <v>12</v>
      </c>
      <c r="K722" s="9"/>
      <c r="L722" s="9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6"/>
      <c r="B723" s="6"/>
      <c r="C723" s="13"/>
      <c r="D723" s="8"/>
      <c r="E723" s="9"/>
      <c r="F723" s="14" t="s">
        <v>12</v>
      </c>
      <c r="G723" s="9" t="s">
        <v>12</v>
      </c>
      <c r="H723" s="9" t="s">
        <v>12</v>
      </c>
      <c r="I723" s="9" t="s">
        <v>12</v>
      </c>
      <c r="J723" s="9" t="s">
        <v>12</v>
      </c>
      <c r="K723" s="9"/>
      <c r="L723" s="9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6"/>
      <c r="B724" s="6"/>
      <c r="C724" s="13"/>
      <c r="D724" s="8"/>
      <c r="E724" s="9"/>
      <c r="F724" s="14" t="s">
        <v>12</v>
      </c>
      <c r="G724" s="9" t="s">
        <v>12</v>
      </c>
      <c r="H724" s="9" t="s">
        <v>12</v>
      </c>
      <c r="I724" s="9" t="s">
        <v>12</v>
      </c>
      <c r="J724" s="9" t="s">
        <v>12</v>
      </c>
      <c r="K724" s="9"/>
      <c r="L724" s="9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6"/>
      <c r="B725" s="6"/>
      <c r="C725" s="13"/>
      <c r="D725" s="8"/>
      <c r="E725" s="9"/>
      <c r="F725" s="14" t="s">
        <v>12</v>
      </c>
      <c r="G725" s="9" t="s">
        <v>12</v>
      </c>
      <c r="H725" s="9" t="s">
        <v>12</v>
      </c>
      <c r="I725" s="9" t="s">
        <v>12</v>
      </c>
      <c r="J725" s="9" t="s">
        <v>12</v>
      </c>
      <c r="K725" s="9"/>
      <c r="L725" s="9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6"/>
      <c r="B726" s="6"/>
      <c r="C726" s="13"/>
      <c r="D726" s="8"/>
      <c r="E726" s="9"/>
      <c r="F726" s="14" t="s">
        <v>12</v>
      </c>
      <c r="G726" s="9" t="s">
        <v>12</v>
      </c>
      <c r="H726" s="9" t="s">
        <v>12</v>
      </c>
      <c r="I726" s="9" t="s">
        <v>12</v>
      </c>
      <c r="J726" s="9" t="s">
        <v>12</v>
      </c>
      <c r="K726" s="9"/>
      <c r="L726" s="9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6"/>
      <c r="B727" s="6"/>
      <c r="C727" s="13"/>
      <c r="D727" s="8"/>
      <c r="E727" s="9"/>
      <c r="F727" s="14" t="s">
        <v>12</v>
      </c>
      <c r="G727" s="9" t="s">
        <v>12</v>
      </c>
      <c r="H727" s="9" t="s">
        <v>12</v>
      </c>
      <c r="I727" s="9" t="s">
        <v>12</v>
      </c>
      <c r="J727" s="9" t="s">
        <v>12</v>
      </c>
      <c r="K727" s="9"/>
      <c r="L727" s="9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6"/>
      <c r="B728" s="6"/>
      <c r="C728" s="13"/>
      <c r="D728" s="8"/>
      <c r="E728" s="9"/>
      <c r="F728" s="14" t="s">
        <v>12</v>
      </c>
      <c r="G728" s="9" t="s">
        <v>12</v>
      </c>
      <c r="H728" s="9" t="s">
        <v>12</v>
      </c>
      <c r="I728" s="9" t="s">
        <v>12</v>
      </c>
      <c r="J728" s="9" t="s">
        <v>12</v>
      </c>
      <c r="K728" s="9"/>
      <c r="L728" s="9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6"/>
      <c r="B729" s="6"/>
      <c r="C729" s="13"/>
      <c r="D729" s="8"/>
      <c r="E729" s="9"/>
      <c r="F729" s="14" t="s">
        <v>12</v>
      </c>
      <c r="G729" s="9" t="s">
        <v>12</v>
      </c>
      <c r="H729" s="9" t="s">
        <v>12</v>
      </c>
      <c r="I729" s="9" t="s">
        <v>12</v>
      </c>
      <c r="J729" s="9" t="s">
        <v>12</v>
      </c>
      <c r="K729" s="9"/>
      <c r="L729" s="9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6"/>
      <c r="B730" s="6"/>
      <c r="C730" s="13"/>
      <c r="D730" s="8"/>
      <c r="E730" s="9"/>
      <c r="F730" s="14" t="s">
        <v>12</v>
      </c>
      <c r="G730" s="9" t="s">
        <v>12</v>
      </c>
      <c r="H730" s="9" t="s">
        <v>12</v>
      </c>
      <c r="I730" s="9" t="s">
        <v>12</v>
      </c>
      <c r="J730" s="9" t="s">
        <v>12</v>
      </c>
      <c r="K730" s="9"/>
      <c r="L730" s="9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6"/>
      <c r="B731" s="6"/>
      <c r="C731" s="13"/>
      <c r="D731" s="8"/>
      <c r="E731" s="9"/>
      <c r="F731" s="14" t="s">
        <v>12</v>
      </c>
      <c r="G731" s="9" t="s">
        <v>12</v>
      </c>
      <c r="H731" s="9" t="s">
        <v>12</v>
      </c>
      <c r="I731" s="9" t="s">
        <v>12</v>
      </c>
      <c r="J731" s="9" t="s">
        <v>12</v>
      </c>
      <c r="K731" s="9"/>
      <c r="L731" s="9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6"/>
      <c r="B732" s="6"/>
      <c r="C732" s="13"/>
      <c r="D732" s="8"/>
      <c r="E732" s="9"/>
      <c r="F732" s="14" t="s">
        <v>12</v>
      </c>
      <c r="G732" s="9" t="s">
        <v>12</v>
      </c>
      <c r="H732" s="9" t="s">
        <v>12</v>
      </c>
      <c r="I732" s="9" t="s">
        <v>12</v>
      </c>
      <c r="J732" s="9" t="s">
        <v>12</v>
      </c>
      <c r="K732" s="9"/>
      <c r="L732" s="9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6"/>
      <c r="B733" s="6"/>
      <c r="C733" s="13"/>
      <c r="D733" s="8"/>
      <c r="E733" s="9"/>
      <c r="F733" s="14" t="s">
        <v>12</v>
      </c>
      <c r="G733" s="9" t="s">
        <v>12</v>
      </c>
      <c r="H733" s="9" t="s">
        <v>12</v>
      </c>
      <c r="I733" s="9" t="s">
        <v>12</v>
      </c>
      <c r="J733" s="9" t="s">
        <v>12</v>
      </c>
      <c r="K733" s="9"/>
      <c r="L733" s="9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6"/>
      <c r="B734" s="6"/>
      <c r="C734" s="13"/>
      <c r="D734" s="8"/>
      <c r="E734" s="9"/>
      <c r="F734" s="14" t="s">
        <v>12</v>
      </c>
      <c r="G734" s="9" t="s">
        <v>12</v>
      </c>
      <c r="H734" s="9" t="s">
        <v>12</v>
      </c>
      <c r="I734" s="9" t="s">
        <v>12</v>
      </c>
      <c r="J734" s="9" t="s">
        <v>12</v>
      </c>
      <c r="K734" s="9"/>
      <c r="L734" s="9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6"/>
      <c r="B735" s="6"/>
      <c r="C735" s="13"/>
      <c r="D735" s="8"/>
      <c r="E735" s="9"/>
      <c r="F735" s="14" t="s">
        <v>12</v>
      </c>
      <c r="G735" s="9" t="s">
        <v>12</v>
      </c>
      <c r="H735" s="9" t="s">
        <v>12</v>
      </c>
      <c r="I735" s="9" t="s">
        <v>12</v>
      </c>
      <c r="J735" s="9" t="s">
        <v>12</v>
      </c>
      <c r="K735" s="9"/>
      <c r="L735" s="9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6"/>
      <c r="B736" s="6"/>
      <c r="C736" s="13"/>
      <c r="D736" s="8"/>
      <c r="E736" s="9"/>
      <c r="F736" s="14" t="s">
        <v>12</v>
      </c>
      <c r="G736" s="9" t="s">
        <v>12</v>
      </c>
      <c r="H736" s="9" t="s">
        <v>12</v>
      </c>
      <c r="I736" s="9" t="s">
        <v>12</v>
      </c>
      <c r="J736" s="9" t="s">
        <v>12</v>
      </c>
      <c r="K736" s="9"/>
      <c r="L736" s="9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6"/>
      <c r="B737" s="6"/>
      <c r="C737" s="13"/>
      <c r="D737" s="8"/>
      <c r="E737" s="9"/>
      <c r="F737" s="14" t="s">
        <v>12</v>
      </c>
      <c r="G737" s="9" t="s">
        <v>12</v>
      </c>
      <c r="H737" s="9" t="s">
        <v>12</v>
      </c>
      <c r="I737" s="9" t="s">
        <v>12</v>
      </c>
      <c r="J737" s="9" t="s">
        <v>12</v>
      </c>
      <c r="K737" s="9"/>
      <c r="L737" s="9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6"/>
      <c r="B738" s="6"/>
      <c r="C738" s="13"/>
      <c r="D738" s="8"/>
      <c r="E738" s="9"/>
      <c r="F738" s="14" t="s">
        <v>12</v>
      </c>
      <c r="G738" s="9" t="s">
        <v>12</v>
      </c>
      <c r="H738" s="9" t="s">
        <v>12</v>
      </c>
      <c r="I738" s="9" t="s">
        <v>12</v>
      </c>
      <c r="J738" s="9" t="s">
        <v>12</v>
      </c>
      <c r="K738" s="9"/>
      <c r="L738" s="9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6"/>
      <c r="B739" s="6"/>
      <c r="C739" s="13"/>
      <c r="D739" s="8"/>
      <c r="E739" s="9"/>
      <c r="F739" s="14" t="s">
        <v>12</v>
      </c>
      <c r="G739" s="9" t="s">
        <v>12</v>
      </c>
      <c r="H739" s="9" t="s">
        <v>12</v>
      </c>
      <c r="I739" s="9" t="s">
        <v>12</v>
      </c>
      <c r="J739" s="9" t="s">
        <v>12</v>
      </c>
      <c r="K739" s="9"/>
      <c r="L739" s="9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6"/>
      <c r="B740" s="6"/>
      <c r="C740" s="13"/>
      <c r="D740" s="8"/>
      <c r="E740" s="9"/>
      <c r="F740" s="14" t="s">
        <v>12</v>
      </c>
      <c r="G740" s="9" t="s">
        <v>12</v>
      </c>
      <c r="H740" s="9" t="s">
        <v>12</v>
      </c>
      <c r="I740" s="9" t="s">
        <v>12</v>
      </c>
      <c r="J740" s="9" t="s">
        <v>12</v>
      </c>
      <c r="K740" s="9"/>
      <c r="L740" s="9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6"/>
      <c r="B741" s="6"/>
      <c r="C741" s="13"/>
      <c r="D741" s="8"/>
      <c r="E741" s="9"/>
      <c r="F741" s="14" t="s">
        <v>12</v>
      </c>
      <c r="G741" s="9" t="s">
        <v>12</v>
      </c>
      <c r="H741" s="9" t="s">
        <v>12</v>
      </c>
      <c r="I741" s="9" t="s">
        <v>12</v>
      </c>
      <c r="J741" s="9" t="s">
        <v>12</v>
      </c>
      <c r="K741" s="9"/>
      <c r="L741" s="9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6"/>
      <c r="B742" s="6"/>
      <c r="C742" s="13"/>
      <c r="D742" s="8"/>
      <c r="E742" s="9"/>
      <c r="F742" s="14" t="s">
        <v>12</v>
      </c>
      <c r="G742" s="9" t="s">
        <v>12</v>
      </c>
      <c r="H742" s="9" t="s">
        <v>12</v>
      </c>
      <c r="I742" s="9" t="s">
        <v>12</v>
      </c>
      <c r="J742" s="9" t="s">
        <v>12</v>
      </c>
      <c r="K742" s="9"/>
      <c r="L742" s="9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6"/>
      <c r="B743" s="6"/>
      <c r="C743" s="13"/>
      <c r="D743" s="8"/>
      <c r="E743" s="9"/>
      <c r="F743" s="14" t="s">
        <v>12</v>
      </c>
      <c r="G743" s="9" t="s">
        <v>12</v>
      </c>
      <c r="H743" s="9" t="s">
        <v>12</v>
      </c>
      <c r="I743" s="9" t="s">
        <v>12</v>
      </c>
      <c r="J743" s="9" t="s">
        <v>12</v>
      </c>
      <c r="K743" s="9"/>
      <c r="L743" s="9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6"/>
      <c r="B744" s="6"/>
      <c r="C744" s="13"/>
      <c r="D744" s="8"/>
      <c r="E744" s="9"/>
      <c r="F744" s="14" t="s">
        <v>12</v>
      </c>
      <c r="G744" s="9" t="s">
        <v>12</v>
      </c>
      <c r="H744" s="9" t="s">
        <v>12</v>
      </c>
      <c r="I744" s="9" t="s">
        <v>12</v>
      </c>
      <c r="J744" s="9" t="s">
        <v>12</v>
      </c>
      <c r="K744" s="9"/>
      <c r="L744" s="9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6"/>
      <c r="B745" s="6"/>
      <c r="C745" s="13"/>
      <c r="D745" s="8"/>
      <c r="E745" s="9"/>
      <c r="F745" s="14" t="s">
        <v>12</v>
      </c>
      <c r="G745" s="9" t="s">
        <v>12</v>
      </c>
      <c r="H745" s="9" t="s">
        <v>12</v>
      </c>
      <c r="I745" s="9" t="s">
        <v>12</v>
      </c>
      <c r="J745" s="9" t="s">
        <v>12</v>
      </c>
      <c r="K745" s="9"/>
      <c r="L745" s="9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6"/>
      <c r="B746" s="6"/>
      <c r="C746" s="13"/>
      <c r="D746" s="8"/>
      <c r="E746" s="9"/>
      <c r="F746" s="14" t="s">
        <v>12</v>
      </c>
      <c r="G746" s="9" t="s">
        <v>12</v>
      </c>
      <c r="H746" s="9" t="s">
        <v>12</v>
      </c>
      <c r="I746" s="9" t="s">
        <v>12</v>
      </c>
      <c r="J746" s="9" t="s">
        <v>12</v>
      </c>
      <c r="K746" s="9"/>
      <c r="L746" s="9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6"/>
      <c r="B747" s="6"/>
      <c r="C747" s="13"/>
      <c r="D747" s="8"/>
      <c r="E747" s="9"/>
      <c r="F747" s="14" t="s">
        <v>12</v>
      </c>
      <c r="G747" s="9" t="s">
        <v>12</v>
      </c>
      <c r="H747" s="9" t="s">
        <v>12</v>
      </c>
      <c r="I747" s="9" t="s">
        <v>12</v>
      </c>
      <c r="J747" s="9" t="s">
        <v>12</v>
      </c>
      <c r="K747" s="9"/>
      <c r="L747" s="9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6"/>
      <c r="B748" s="6"/>
      <c r="C748" s="13"/>
      <c r="D748" s="8"/>
      <c r="E748" s="9"/>
      <c r="F748" s="14" t="s">
        <v>12</v>
      </c>
      <c r="G748" s="9" t="s">
        <v>12</v>
      </c>
      <c r="H748" s="9" t="s">
        <v>12</v>
      </c>
      <c r="I748" s="9" t="s">
        <v>12</v>
      </c>
      <c r="J748" s="9" t="s">
        <v>12</v>
      </c>
      <c r="K748" s="9"/>
      <c r="L748" s="9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6"/>
      <c r="B749" s="6"/>
      <c r="C749" s="13"/>
      <c r="D749" s="8"/>
      <c r="E749" s="9"/>
      <c r="F749" s="14" t="s">
        <v>12</v>
      </c>
      <c r="G749" s="9" t="s">
        <v>12</v>
      </c>
      <c r="H749" s="9" t="s">
        <v>12</v>
      </c>
      <c r="I749" s="9" t="s">
        <v>12</v>
      </c>
      <c r="J749" s="9" t="s">
        <v>12</v>
      </c>
      <c r="K749" s="9"/>
      <c r="L749" s="9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6"/>
      <c r="B750" s="6"/>
      <c r="C750" s="13"/>
      <c r="D750" s="8"/>
      <c r="E750" s="9"/>
      <c r="F750" s="14" t="s">
        <v>12</v>
      </c>
      <c r="G750" s="9" t="s">
        <v>12</v>
      </c>
      <c r="H750" s="9" t="s">
        <v>12</v>
      </c>
      <c r="I750" s="9" t="s">
        <v>12</v>
      </c>
      <c r="J750" s="9" t="s">
        <v>12</v>
      </c>
      <c r="K750" s="9"/>
      <c r="L750" s="9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6"/>
      <c r="B751" s="6"/>
      <c r="C751" s="13"/>
      <c r="D751" s="8"/>
      <c r="E751" s="9"/>
      <c r="F751" s="14" t="s">
        <v>12</v>
      </c>
      <c r="G751" s="9" t="s">
        <v>12</v>
      </c>
      <c r="H751" s="9" t="s">
        <v>12</v>
      </c>
      <c r="I751" s="9" t="s">
        <v>12</v>
      </c>
      <c r="J751" s="9" t="s">
        <v>12</v>
      </c>
      <c r="K751" s="9"/>
      <c r="L751" s="9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6"/>
      <c r="B752" s="6"/>
      <c r="C752" s="13"/>
      <c r="D752" s="8"/>
      <c r="E752" s="9"/>
      <c r="F752" s="14" t="s">
        <v>12</v>
      </c>
      <c r="G752" s="9" t="s">
        <v>12</v>
      </c>
      <c r="H752" s="9" t="s">
        <v>12</v>
      </c>
      <c r="I752" s="9" t="s">
        <v>12</v>
      </c>
      <c r="J752" s="9" t="s">
        <v>12</v>
      </c>
      <c r="K752" s="9"/>
      <c r="L752" s="9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6"/>
      <c r="B753" s="6"/>
      <c r="C753" s="13"/>
      <c r="D753" s="8"/>
      <c r="E753" s="9"/>
      <c r="F753" s="14" t="s">
        <v>12</v>
      </c>
      <c r="G753" s="9" t="s">
        <v>12</v>
      </c>
      <c r="H753" s="9" t="s">
        <v>12</v>
      </c>
      <c r="I753" s="9" t="s">
        <v>12</v>
      </c>
      <c r="J753" s="9" t="s">
        <v>12</v>
      </c>
      <c r="K753" s="9"/>
      <c r="L753" s="9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6"/>
      <c r="B754" s="6"/>
      <c r="C754" s="13"/>
      <c r="D754" s="8"/>
      <c r="E754" s="9"/>
      <c r="F754" s="14" t="s">
        <v>12</v>
      </c>
      <c r="G754" s="9" t="s">
        <v>12</v>
      </c>
      <c r="H754" s="9" t="s">
        <v>12</v>
      </c>
      <c r="I754" s="9" t="s">
        <v>12</v>
      </c>
      <c r="J754" s="9" t="s">
        <v>12</v>
      </c>
      <c r="K754" s="9"/>
      <c r="L754" s="9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6"/>
      <c r="B755" s="6"/>
      <c r="C755" s="13"/>
      <c r="D755" s="8"/>
      <c r="E755" s="9"/>
      <c r="F755" s="14" t="s">
        <v>12</v>
      </c>
      <c r="G755" s="9" t="s">
        <v>12</v>
      </c>
      <c r="H755" s="9" t="s">
        <v>12</v>
      </c>
      <c r="I755" s="9" t="s">
        <v>12</v>
      </c>
      <c r="J755" s="9" t="s">
        <v>12</v>
      </c>
      <c r="K755" s="9"/>
      <c r="L755" s="9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6"/>
      <c r="B756" s="6"/>
      <c r="C756" s="13"/>
      <c r="D756" s="8"/>
      <c r="E756" s="9"/>
      <c r="F756" s="14" t="s">
        <v>12</v>
      </c>
      <c r="G756" s="9" t="s">
        <v>12</v>
      </c>
      <c r="H756" s="9" t="s">
        <v>12</v>
      </c>
      <c r="I756" s="9" t="s">
        <v>12</v>
      </c>
      <c r="J756" s="9" t="s">
        <v>12</v>
      </c>
      <c r="K756" s="9"/>
      <c r="L756" s="9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6"/>
      <c r="B757" s="6"/>
      <c r="C757" s="13"/>
      <c r="D757" s="8"/>
      <c r="E757" s="9"/>
      <c r="F757" s="14" t="s">
        <v>12</v>
      </c>
      <c r="G757" s="9" t="s">
        <v>12</v>
      </c>
      <c r="H757" s="9" t="s">
        <v>12</v>
      </c>
      <c r="I757" s="9" t="s">
        <v>12</v>
      </c>
      <c r="J757" s="9" t="s">
        <v>12</v>
      </c>
      <c r="K757" s="9"/>
      <c r="L757" s="9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6"/>
      <c r="B758" s="6"/>
      <c r="C758" s="13"/>
      <c r="D758" s="8"/>
      <c r="E758" s="9"/>
      <c r="F758" s="14" t="s">
        <v>12</v>
      </c>
      <c r="G758" s="9" t="s">
        <v>12</v>
      </c>
      <c r="H758" s="9" t="s">
        <v>12</v>
      </c>
      <c r="I758" s="9" t="s">
        <v>12</v>
      </c>
      <c r="J758" s="9" t="s">
        <v>12</v>
      </c>
      <c r="K758" s="9"/>
      <c r="L758" s="9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6"/>
      <c r="B759" s="6"/>
      <c r="C759" s="13"/>
      <c r="D759" s="8"/>
      <c r="E759" s="9"/>
      <c r="F759" s="14" t="s">
        <v>12</v>
      </c>
      <c r="G759" s="9" t="s">
        <v>12</v>
      </c>
      <c r="H759" s="9" t="s">
        <v>12</v>
      </c>
      <c r="I759" s="9" t="s">
        <v>12</v>
      </c>
      <c r="J759" s="9" t="s">
        <v>12</v>
      </c>
      <c r="K759" s="9"/>
      <c r="L759" s="9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6"/>
      <c r="B760" s="6"/>
      <c r="C760" s="13"/>
      <c r="D760" s="8"/>
      <c r="E760" s="9"/>
      <c r="F760" s="14" t="s">
        <v>12</v>
      </c>
      <c r="G760" s="9" t="s">
        <v>12</v>
      </c>
      <c r="H760" s="9" t="s">
        <v>12</v>
      </c>
      <c r="I760" s="9" t="s">
        <v>12</v>
      </c>
      <c r="J760" s="9" t="s">
        <v>12</v>
      </c>
      <c r="K760" s="9"/>
      <c r="L760" s="9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6"/>
      <c r="B761" s="6"/>
      <c r="C761" s="13"/>
      <c r="D761" s="8"/>
      <c r="E761" s="9"/>
      <c r="F761" s="14" t="s">
        <v>12</v>
      </c>
      <c r="G761" s="9" t="s">
        <v>12</v>
      </c>
      <c r="H761" s="9" t="s">
        <v>12</v>
      </c>
      <c r="I761" s="9" t="s">
        <v>12</v>
      </c>
      <c r="J761" s="9" t="s">
        <v>12</v>
      </c>
      <c r="K761" s="9"/>
      <c r="L761" s="9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6"/>
      <c r="B762" s="6"/>
      <c r="C762" s="13"/>
      <c r="D762" s="8"/>
      <c r="E762" s="9"/>
      <c r="F762" s="14" t="s">
        <v>12</v>
      </c>
      <c r="G762" s="9" t="s">
        <v>12</v>
      </c>
      <c r="H762" s="9" t="s">
        <v>12</v>
      </c>
      <c r="I762" s="9" t="s">
        <v>12</v>
      </c>
      <c r="J762" s="9" t="s">
        <v>12</v>
      </c>
      <c r="K762" s="9"/>
      <c r="L762" s="9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6"/>
      <c r="B763" s="6"/>
      <c r="C763" s="13"/>
      <c r="D763" s="8"/>
      <c r="E763" s="9"/>
      <c r="F763" s="14" t="s">
        <v>12</v>
      </c>
      <c r="G763" s="9" t="s">
        <v>12</v>
      </c>
      <c r="H763" s="9" t="s">
        <v>12</v>
      </c>
      <c r="I763" s="9" t="s">
        <v>12</v>
      </c>
      <c r="J763" s="9" t="s">
        <v>12</v>
      </c>
      <c r="K763" s="9"/>
      <c r="L763" s="9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6"/>
      <c r="B764" s="6"/>
      <c r="C764" s="13"/>
      <c r="D764" s="8"/>
      <c r="E764" s="9"/>
      <c r="F764" s="14" t="s">
        <v>12</v>
      </c>
      <c r="G764" s="9" t="s">
        <v>12</v>
      </c>
      <c r="H764" s="9" t="s">
        <v>12</v>
      </c>
      <c r="I764" s="9" t="s">
        <v>12</v>
      </c>
      <c r="J764" s="9" t="s">
        <v>12</v>
      </c>
      <c r="K764" s="9"/>
      <c r="L764" s="9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6"/>
      <c r="B765" s="6"/>
      <c r="C765" s="13"/>
      <c r="D765" s="8"/>
      <c r="E765" s="9"/>
      <c r="F765" s="14" t="s">
        <v>12</v>
      </c>
      <c r="G765" s="9" t="s">
        <v>12</v>
      </c>
      <c r="H765" s="9" t="s">
        <v>12</v>
      </c>
      <c r="I765" s="9" t="s">
        <v>12</v>
      </c>
      <c r="J765" s="9" t="s">
        <v>12</v>
      </c>
      <c r="K765" s="9"/>
      <c r="L765" s="9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6"/>
      <c r="B766" s="6"/>
      <c r="C766" s="13"/>
      <c r="D766" s="8"/>
      <c r="E766" s="9"/>
      <c r="F766" s="14" t="s">
        <v>12</v>
      </c>
      <c r="G766" s="9" t="s">
        <v>12</v>
      </c>
      <c r="H766" s="9" t="s">
        <v>12</v>
      </c>
      <c r="I766" s="9" t="s">
        <v>12</v>
      </c>
      <c r="J766" s="9" t="s">
        <v>12</v>
      </c>
      <c r="K766" s="9"/>
      <c r="L766" s="9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6"/>
      <c r="B767" s="6"/>
      <c r="C767" s="13"/>
      <c r="D767" s="8"/>
      <c r="E767" s="9"/>
      <c r="F767" s="14" t="s">
        <v>12</v>
      </c>
      <c r="G767" s="9" t="s">
        <v>12</v>
      </c>
      <c r="H767" s="9" t="s">
        <v>12</v>
      </c>
      <c r="I767" s="9" t="s">
        <v>12</v>
      </c>
      <c r="J767" s="9" t="s">
        <v>12</v>
      </c>
      <c r="K767" s="9"/>
      <c r="L767" s="9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6"/>
      <c r="B768" s="6"/>
      <c r="C768" s="13"/>
      <c r="D768" s="8"/>
      <c r="E768" s="9"/>
      <c r="F768" s="14" t="s">
        <v>12</v>
      </c>
      <c r="G768" s="9" t="s">
        <v>12</v>
      </c>
      <c r="H768" s="9" t="s">
        <v>12</v>
      </c>
      <c r="I768" s="9" t="s">
        <v>12</v>
      </c>
      <c r="J768" s="9" t="s">
        <v>12</v>
      </c>
      <c r="K768" s="9"/>
      <c r="L768" s="9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6"/>
      <c r="B769" s="6"/>
      <c r="C769" s="13"/>
      <c r="D769" s="8"/>
      <c r="E769" s="9"/>
      <c r="F769" s="14" t="s">
        <v>12</v>
      </c>
      <c r="G769" s="9" t="s">
        <v>12</v>
      </c>
      <c r="H769" s="9" t="s">
        <v>12</v>
      </c>
      <c r="I769" s="9" t="s">
        <v>12</v>
      </c>
      <c r="J769" s="9" t="s">
        <v>12</v>
      </c>
      <c r="K769" s="9"/>
      <c r="L769" s="9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6"/>
      <c r="B770" s="6"/>
      <c r="C770" s="13"/>
      <c r="D770" s="8"/>
      <c r="E770" s="9"/>
      <c r="F770" s="14" t="s">
        <v>12</v>
      </c>
      <c r="G770" s="9" t="s">
        <v>12</v>
      </c>
      <c r="H770" s="9" t="s">
        <v>12</v>
      </c>
      <c r="I770" s="9" t="s">
        <v>12</v>
      </c>
      <c r="J770" s="9" t="s">
        <v>12</v>
      </c>
      <c r="K770" s="9"/>
      <c r="L770" s="9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6"/>
      <c r="B771" s="6"/>
      <c r="C771" s="13"/>
      <c r="D771" s="8"/>
      <c r="E771" s="9"/>
      <c r="F771" s="14" t="s">
        <v>12</v>
      </c>
      <c r="G771" s="9" t="s">
        <v>12</v>
      </c>
      <c r="H771" s="9" t="s">
        <v>12</v>
      </c>
      <c r="I771" s="9" t="s">
        <v>12</v>
      </c>
      <c r="J771" s="9" t="s">
        <v>12</v>
      </c>
      <c r="K771" s="9"/>
      <c r="L771" s="9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6"/>
      <c r="B772" s="6"/>
      <c r="C772" s="13"/>
      <c r="D772" s="8"/>
      <c r="E772" s="9"/>
      <c r="F772" s="14" t="s">
        <v>12</v>
      </c>
      <c r="G772" s="9" t="s">
        <v>12</v>
      </c>
      <c r="H772" s="9" t="s">
        <v>12</v>
      </c>
      <c r="I772" s="9" t="s">
        <v>12</v>
      </c>
      <c r="J772" s="9" t="s">
        <v>12</v>
      </c>
      <c r="K772" s="9"/>
      <c r="L772" s="9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6"/>
      <c r="B773" s="6"/>
      <c r="C773" s="13"/>
      <c r="D773" s="8"/>
      <c r="E773" s="9"/>
      <c r="F773" s="14" t="s">
        <v>12</v>
      </c>
      <c r="G773" s="9" t="s">
        <v>12</v>
      </c>
      <c r="H773" s="9" t="s">
        <v>12</v>
      </c>
      <c r="I773" s="9" t="s">
        <v>12</v>
      </c>
      <c r="J773" s="9" t="s">
        <v>12</v>
      </c>
      <c r="K773" s="9"/>
      <c r="L773" s="9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6"/>
      <c r="B774" s="6"/>
      <c r="C774" s="13"/>
      <c r="D774" s="8"/>
      <c r="E774" s="9"/>
      <c r="F774" s="14" t="s">
        <v>12</v>
      </c>
      <c r="G774" s="9" t="s">
        <v>12</v>
      </c>
      <c r="H774" s="9" t="s">
        <v>12</v>
      </c>
      <c r="I774" s="9" t="s">
        <v>12</v>
      </c>
      <c r="J774" s="9" t="s">
        <v>12</v>
      </c>
      <c r="K774" s="9"/>
      <c r="L774" s="9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6"/>
      <c r="B775" s="6"/>
      <c r="C775" s="13"/>
      <c r="D775" s="8"/>
      <c r="E775" s="9"/>
      <c r="F775" s="14" t="s">
        <v>12</v>
      </c>
      <c r="G775" s="9" t="s">
        <v>12</v>
      </c>
      <c r="H775" s="9" t="s">
        <v>12</v>
      </c>
      <c r="I775" s="9" t="s">
        <v>12</v>
      </c>
      <c r="J775" s="9" t="s">
        <v>12</v>
      </c>
      <c r="K775" s="9"/>
      <c r="L775" s="9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6"/>
      <c r="B776" s="6"/>
      <c r="C776" s="13"/>
      <c r="D776" s="8"/>
      <c r="E776" s="9"/>
      <c r="F776" s="14" t="s">
        <v>12</v>
      </c>
      <c r="G776" s="9" t="s">
        <v>12</v>
      </c>
      <c r="H776" s="9" t="s">
        <v>12</v>
      </c>
      <c r="I776" s="9" t="s">
        <v>12</v>
      </c>
      <c r="J776" s="9" t="s">
        <v>12</v>
      </c>
      <c r="K776" s="9"/>
      <c r="L776" s="9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6"/>
      <c r="B777" s="6"/>
      <c r="C777" s="13"/>
      <c r="D777" s="8"/>
      <c r="E777" s="9"/>
      <c r="F777" s="14" t="s">
        <v>12</v>
      </c>
      <c r="G777" s="9" t="s">
        <v>12</v>
      </c>
      <c r="H777" s="9" t="s">
        <v>12</v>
      </c>
      <c r="I777" s="9" t="s">
        <v>12</v>
      </c>
      <c r="J777" s="9" t="s">
        <v>12</v>
      </c>
      <c r="K777" s="9"/>
      <c r="L777" s="9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6"/>
      <c r="B778" s="6"/>
      <c r="C778" s="13"/>
      <c r="D778" s="8"/>
      <c r="E778" s="9"/>
      <c r="F778" s="14" t="s">
        <v>12</v>
      </c>
      <c r="G778" s="9" t="s">
        <v>12</v>
      </c>
      <c r="H778" s="9" t="s">
        <v>12</v>
      </c>
      <c r="I778" s="9" t="s">
        <v>12</v>
      </c>
      <c r="J778" s="9" t="s">
        <v>12</v>
      </c>
      <c r="K778" s="9"/>
      <c r="L778" s="9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6"/>
      <c r="B779" s="6"/>
      <c r="C779" s="13"/>
      <c r="D779" s="8"/>
      <c r="E779" s="9"/>
      <c r="F779" s="14" t="s">
        <v>12</v>
      </c>
      <c r="G779" s="9" t="s">
        <v>12</v>
      </c>
      <c r="H779" s="9" t="s">
        <v>12</v>
      </c>
      <c r="I779" s="9" t="s">
        <v>12</v>
      </c>
      <c r="J779" s="9" t="s">
        <v>12</v>
      </c>
      <c r="K779" s="9"/>
      <c r="L779" s="9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6"/>
      <c r="B780" s="6"/>
      <c r="C780" s="13"/>
      <c r="D780" s="8"/>
      <c r="E780" s="9"/>
      <c r="F780" s="14" t="s">
        <v>12</v>
      </c>
      <c r="G780" s="9" t="s">
        <v>12</v>
      </c>
      <c r="H780" s="9" t="s">
        <v>12</v>
      </c>
      <c r="I780" s="9" t="s">
        <v>12</v>
      </c>
      <c r="J780" s="9" t="s">
        <v>12</v>
      </c>
      <c r="K780" s="9"/>
      <c r="L780" s="9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6"/>
      <c r="B781" s="6"/>
      <c r="C781" s="13"/>
      <c r="D781" s="8"/>
      <c r="E781" s="9"/>
      <c r="F781" s="14" t="s">
        <v>12</v>
      </c>
      <c r="G781" s="9" t="s">
        <v>12</v>
      </c>
      <c r="H781" s="9" t="s">
        <v>12</v>
      </c>
      <c r="I781" s="9" t="s">
        <v>12</v>
      </c>
      <c r="J781" s="9" t="s">
        <v>12</v>
      </c>
      <c r="K781" s="9"/>
      <c r="L781" s="9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6"/>
      <c r="B782" s="6"/>
      <c r="C782" s="13"/>
      <c r="D782" s="8"/>
      <c r="E782" s="9"/>
      <c r="F782" s="14" t="s">
        <v>12</v>
      </c>
      <c r="G782" s="9" t="s">
        <v>12</v>
      </c>
      <c r="H782" s="9" t="s">
        <v>12</v>
      </c>
      <c r="I782" s="9" t="s">
        <v>12</v>
      </c>
      <c r="J782" s="9" t="s">
        <v>12</v>
      </c>
      <c r="K782" s="9"/>
      <c r="L782" s="9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6"/>
      <c r="B783" s="6"/>
      <c r="C783" s="13"/>
      <c r="D783" s="8"/>
      <c r="E783" s="9"/>
      <c r="F783" s="14" t="s">
        <v>12</v>
      </c>
      <c r="G783" s="9" t="s">
        <v>12</v>
      </c>
      <c r="H783" s="9" t="s">
        <v>12</v>
      </c>
      <c r="I783" s="9" t="s">
        <v>12</v>
      </c>
      <c r="J783" s="9" t="s">
        <v>12</v>
      </c>
      <c r="K783" s="9"/>
      <c r="L783" s="9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6"/>
      <c r="B784" s="6"/>
      <c r="C784" s="13"/>
      <c r="D784" s="8"/>
      <c r="E784" s="9"/>
      <c r="F784" s="14" t="s">
        <v>12</v>
      </c>
      <c r="G784" s="9" t="s">
        <v>12</v>
      </c>
      <c r="H784" s="9" t="s">
        <v>12</v>
      </c>
      <c r="I784" s="9" t="s">
        <v>12</v>
      </c>
      <c r="J784" s="9" t="s">
        <v>12</v>
      </c>
      <c r="K784" s="9"/>
      <c r="L784" s="9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6"/>
      <c r="B785" s="6"/>
      <c r="C785" s="13"/>
      <c r="D785" s="8"/>
      <c r="E785" s="9"/>
      <c r="F785" s="14" t="s">
        <v>12</v>
      </c>
      <c r="G785" s="9" t="s">
        <v>12</v>
      </c>
      <c r="H785" s="9" t="s">
        <v>12</v>
      </c>
      <c r="I785" s="9" t="s">
        <v>12</v>
      </c>
      <c r="J785" s="9" t="s">
        <v>12</v>
      </c>
      <c r="K785" s="9"/>
      <c r="L785" s="9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6"/>
      <c r="B786" s="6"/>
      <c r="C786" s="13"/>
      <c r="D786" s="8"/>
      <c r="E786" s="9"/>
      <c r="F786" s="14" t="s">
        <v>12</v>
      </c>
      <c r="G786" s="9" t="s">
        <v>12</v>
      </c>
      <c r="H786" s="9" t="s">
        <v>12</v>
      </c>
      <c r="I786" s="9" t="s">
        <v>12</v>
      </c>
      <c r="J786" s="9" t="s">
        <v>12</v>
      </c>
      <c r="K786" s="9"/>
      <c r="L786" s="9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6"/>
      <c r="B787" s="6"/>
      <c r="C787" s="13"/>
      <c r="D787" s="8"/>
      <c r="E787" s="9"/>
      <c r="F787" s="14" t="s">
        <v>12</v>
      </c>
      <c r="G787" s="9" t="s">
        <v>12</v>
      </c>
      <c r="H787" s="9" t="s">
        <v>12</v>
      </c>
      <c r="I787" s="9" t="s">
        <v>12</v>
      </c>
      <c r="J787" s="9" t="s">
        <v>12</v>
      </c>
      <c r="K787" s="9"/>
      <c r="L787" s="9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6"/>
      <c r="B788" s="6"/>
      <c r="C788" s="13"/>
      <c r="D788" s="8"/>
      <c r="E788" s="9"/>
      <c r="F788" s="14" t="s">
        <v>12</v>
      </c>
      <c r="G788" s="9" t="s">
        <v>12</v>
      </c>
      <c r="H788" s="9" t="s">
        <v>12</v>
      </c>
      <c r="I788" s="9" t="s">
        <v>12</v>
      </c>
      <c r="J788" s="9" t="s">
        <v>12</v>
      </c>
      <c r="K788" s="9"/>
      <c r="L788" s="9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6"/>
      <c r="B789" s="6"/>
      <c r="C789" s="13"/>
      <c r="D789" s="8"/>
      <c r="E789" s="9"/>
      <c r="F789" s="14" t="s">
        <v>12</v>
      </c>
      <c r="G789" s="9" t="s">
        <v>12</v>
      </c>
      <c r="H789" s="9" t="s">
        <v>12</v>
      </c>
      <c r="I789" s="9" t="s">
        <v>12</v>
      </c>
      <c r="J789" s="9" t="s">
        <v>12</v>
      </c>
      <c r="K789" s="9"/>
      <c r="L789" s="9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6"/>
      <c r="B790" s="6"/>
      <c r="C790" s="13"/>
      <c r="D790" s="8"/>
      <c r="E790" s="9"/>
      <c r="F790" s="14" t="s">
        <v>12</v>
      </c>
      <c r="G790" s="9" t="s">
        <v>12</v>
      </c>
      <c r="H790" s="9" t="s">
        <v>12</v>
      </c>
      <c r="I790" s="9" t="s">
        <v>12</v>
      </c>
      <c r="J790" s="9" t="s">
        <v>12</v>
      </c>
      <c r="K790" s="9"/>
      <c r="L790" s="9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6"/>
      <c r="B791" s="6"/>
      <c r="C791" s="13"/>
      <c r="D791" s="8"/>
      <c r="E791" s="9"/>
      <c r="F791" s="14" t="s">
        <v>12</v>
      </c>
      <c r="G791" s="9" t="s">
        <v>12</v>
      </c>
      <c r="H791" s="9" t="s">
        <v>12</v>
      </c>
      <c r="I791" s="9" t="s">
        <v>12</v>
      </c>
      <c r="J791" s="9" t="s">
        <v>12</v>
      </c>
      <c r="K791" s="9"/>
      <c r="L791" s="9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6"/>
      <c r="B792" s="6"/>
      <c r="C792" s="13"/>
      <c r="D792" s="8"/>
      <c r="E792" s="9"/>
      <c r="F792" s="14" t="s">
        <v>12</v>
      </c>
      <c r="G792" s="9" t="s">
        <v>12</v>
      </c>
      <c r="H792" s="9" t="s">
        <v>12</v>
      </c>
      <c r="I792" s="9" t="s">
        <v>12</v>
      </c>
      <c r="J792" s="9" t="s">
        <v>12</v>
      </c>
      <c r="K792" s="9"/>
      <c r="L792" s="9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6"/>
      <c r="B793" s="6"/>
      <c r="C793" s="13"/>
      <c r="D793" s="8"/>
      <c r="E793" s="9"/>
      <c r="F793" s="14" t="s">
        <v>12</v>
      </c>
      <c r="G793" s="9" t="s">
        <v>12</v>
      </c>
      <c r="H793" s="9" t="s">
        <v>12</v>
      </c>
      <c r="I793" s="9" t="s">
        <v>12</v>
      </c>
      <c r="J793" s="9" t="s">
        <v>12</v>
      </c>
      <c r="K793" s="9"/>
      <c r="L793" s="9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6"/>
      <c r="B794" s="6"/>
      <c r="C794" s="13"/>
      <c r="D794" s="8"/>
      <c r="E794" s="9"/>
      <c r="F794" s="14" t="s">
        <v>12</v>
      </c>
      <c r="G794" s="9" t="s">
        <v>12</v>
      </c>
      <c r="H794" s="9" t="s">
        <v>12</v>
      </c>
      <c r="I794" s="9" t="s">
        <v>12</v>
      </c>
      <c r="J794" s="9" t="s">
        <v>12</v>
      </c>
      <c r="K794" s="9"/>
      <c r="L794" s="9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6"/>
      <c r="B795" s="6"/>
      <c r="C795" s="13"/>
      <c r="D795" s="8"/>
      <c r="E795" s="9"/>
      <c r="F795" s="14" t="s">
        <v>12</v>
      </c>
      <c r="G795" s="9" t="s">
        <v>12</v>
      </c>
      <c r="H795" s="9" t="s">
        <v>12</v>
      </c>
      <c r="I795" s="9" t="s">
        <v>12</v>
      </c>
      <c r="J795" s="9" t="s">
        <v>12</v>
      </c>
      <c r="K795" s="9"/>
      <c r="L795" s="9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6"/>
      <c r="B796" s="6"/>
      <c r="C796" s="13"/>
      <c r="D796" s="8"/>
      <c r="E796" s="9"/>
      <c r="F796" s="14" t="s">
        <v>12</v>
      </c>
      <c r="G796" s="9" t="s">
        <v>12</v>
      </c>
      <c r="H796" s="9" t="s">
        <v>12</v>
      </c>
      <c r="I796" s="9" t="s">
        <v>12</v>
      </c>
      <c r="J796" s="9" t="s">
        <v>12</v>
      </c>
      <c r="K796" s="9"/>
      <c r="L796" s="9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6"/>
      <c r="B797" s="6"/>
      <c r="C797" s="13"/>
      <c r="D797" s="8"/>
      <c r="E797" s="9"/>
      <c r="F797" s="14" t="s">
        <v>12</v>
      </c>
      <c r="G797" s="9" t="s">
        <v>12</v>
      </c>
      <c r="H797" s="9" t="s">
        <v>12</v>
      </c>
      <c r="I797" s="9" t="s">
        <v>12</v>
      </c>
      <c r="J797" s="9" t="s">
        <v>12</v>
      </c>
      <c r="K797" s="9"/>
      <c r="L797" s="9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6"/>
      <c r="B798" s="6"/>
      <c r="C798" s="13"/>
      <c r="D798" s="8"/>
      <c r="E798" s="9"/>
      <c r="F798" s="14" t="s">
        <v>12</v>
      </c>
      <c r="G798" s="9" t="s">
        <v>12</v>
      </c>
      <c r="H798" s="9" t="s">
        <v>12</v>
      </c>
      <c r="I798" s="9" t="s">
        <v>12</v>
      </c>
      <c r="J798" s="9" t="s">
        <v>12</v>
      </c>
      <c r="K798" s="9"/>
      <c r="L798" s="9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6"/>
      <c r="B799" s="6"/>
      <c r="C799" s="13"/>
      <c r="D799" s="8"/>
      <c r="E799" s="9"/>
      <c r="F799" s="14" t="s">
        <v>12</v>
      </c>
      <c r="G799" s="9" t="s">
        <v>12</v>
      </c>
      <c r="H799" s="9" t="s">
        <v>12</v>
      </c>
      <c r="I799" s="9" t="s">
        <v>12</v>
      </c>
      <c r="J799" s="9" t="s">
        <v>12</v>
      </c>
      <c r="K799" s="9"/>
      <c r="L799" s="9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6"/>
      <c r="B800" s="6"/>
      <c r="C800" s="13"/>
      <c r="D800" s="8"/>
      <c r="E800" s="9"/>
      <c r="F800" s="14" t="s">
        <v>12</v>
      </c>
      <c r="G800" s="9" t="s">
        <v>12</v>
      </c>
      <c r="H800" s="9" t="s">
        <v>12</v>
      </c>
      <c r="I800" s="9" t="s">
        <v>12</v>
      </c>
      <c r="J800" s="9" t="s">
        <v>12</v>
      </c>
      <c r="K800" s="9"/>
      <c r="L800" s="9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6"/>
      <c r="B801" s="6"/>
      <c r="C801" s="13"/>
      <c r="D801" s="8"/>
      <c r="E801" s="9"/>
      <c r="F801" s="14" t="s">
        <v>12</v>
      </c>
      <c r="G801" s="9" t="s">
        <v>12</v>
      </c>
      <c r="H801" s="9" t="s">
        <v>12</v>
      </c>
      <c r="I801" s="9" t="s">
        <v>12</v>
      </c>
      <c r="J801" s="9" t="s">
        <v>12</v>
      </c>
      <c r="K801" s="9"/>
      <c r="L801" s="9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6"/>
      <c r="B802" s="6"/>
      <c r="C802" s="13"/>
      <c r="D802" s="8"/>
      <c r="E802" s="9"/>
      <c r="F802" s="14" t="s">
        <v>12</v>
      </c>
      <c r="G802" s="9" t="s">
        <v>12</v>
      </c>
      <c r="H802" s="9" t="s">
        <v>12</v>
      </c>
      <c r="I802" s="9" t="s">
        <v>12</v>
      </c>
      <c r="J802" s="9" t="s">
        <v>12</v>
      </c>
      <c r="K802" s="9"/>
      <c r="L802" s="9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6"/>
      <c r="B803" s="6"/>
      <c r="C803" s="13"/>
      <c r="D803" s="8"/>
      <c r="E803" s="9"/>
      <c r="F803" s="14" t="s">
        <v>12</v>
      </c>
      <c r="G803" s="9" t="s">
        <v>12</v>
      </c>
      <c r="H803" s="9" t="s">
        <v>12</v>
      </c>
      <c r="I803" s="9" t="s">
        <v>12</v>
      </c>
      <c r="J803" s="9" t="s">
        <v>12</v>
      </c>
      <c r="K803" s="9"/>
      <c r="L803" s="9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6"/>
      <c r="B804" s="6"/>
      <c r="C804" s="13"/>
      <c r="D804" s="8"/>
      <c r="E804" s="9"/>
      <c r="F804" s="14" t="s">
        <v>12</v>
      </c>
      <c r="G804" s="9" t="s">
        <v>12</v>
      </c>
      <c r="H804" s="9" t="s">
        <v>12</v>
      </c>
      <c r="I804" s="9" t="s">
        <v>12</v>
      </c>
      <c r="J804" s="9" t="s">
        <v>12</v>
      </c>
      <c r="K804" s="9"/>
      <c r="L804" s="9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6"/>
      <c r="B805" s="6"/>
      <c r="C805" s="13"/>
      <c r="D805" s="8"/>
      <c r="E805" s="9"/>
      <c r="F805" s="14" t="s">
        <v>12</v>
      </c>
      <c r="G805" s="9" t="s">
        <v>12</v>
      </c>
      <c r="H805" s="9" t="s">
        <v>12</v>
      </c>
      <c r="I805" s="9" t="s">
        <v>12</v>
      </c>
      <c r="J805" s="9" t="s">
        <v>12</v>
      </c>
      <c r="K805" s="9"/>
      <c r="L805" s="9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6"/>
      <c r="B806" s="6"/>
      <c r="C806" s="13"/>
      <c r="D806" s="8"/>
      <c r="E806" s="9"/>
      <c r="F806" s="14" t="s">
        <v>12</v>
      </c>
      <c r="G806" s="9" t="s">
        <v>12</v>
      </c>
      <c r="H806" s="9" t="s">
        <v>12</v>
      </c>
      <c r="I806" s="9" t="s">
        <v>12</v>
      </c>
      <c r="J806" s="9" t="s">
        <v>12</v>
      </c>
      <c r="K806" s="9"/>
      <c r="L806" s="9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6"/>
      <c r="B807" s="6"/>
      <c r="C807" s="13"/>
      <c r="D807" s="8"/>
      <c r="E807" s="9"/>
      <c r="F807" s="14" t="s">
        <v>12</v>
      </c>
      <c r="G807" s="9" t="s">
        <v>12</v>
      </c>
      <c r="H807" s="9" t="s">
        <v>12</v>
      </c>
      <c r="I807" s="9" t="s">
        <v>12</v>
      </c>
      <c r="J807" s="9" t="s">
        <v>12</v>
      </c>
      <c r="K807" s="9"/>
      <c r="L807" s="9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6"/>
      <c r="B808" s="6"/>
      <c r="C808" s="13"/>
      <c r="D808" s="8"/>
      <c r="E808" s="9"/>
      <c r="F808" s="14" t="s">
        <v>12</v>
      </c>
      <c r="G808" s="9" t="s">
        <v>12</v>
      </c>
      <c r="H808" s="9" t="s">
        <v>12</v>
      </c>
      <c r="I808" s="9" t="s">
        <v>12</v>
      </c>
      <c r="J808" s="9" t="s">
        <v>12</v>
      </c>
      <c r="K808" s="9"/>
      <c r="L808" s="9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6"/>
      <c r="B809" s="6"/>
      <c r="C809" s="13"/>
      <c r="D809" s="8"/>
      <c r="E809" s="9"/>
      <c r="F809" s="14" t="s">
        <v>12</v>
      </c>
      <c r="G809" s="9" t="s">
        <v>12</v>
      </c>
      <c r="H809" s="9" t="s">
        <v>12</v>
      </c>
      <c r="I809" s="9" t="s">
        <v>12</v>
      </c>
      <c r="J809" s="9" t="s">
        <v>12</v>
      </c>
      <c r="K809" s="9"/>
      <c r="L809" s="9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6"/>
      <c r="B810" s="6"/>
      <c r="C810" s="13"/>
      <c r="D810" s="8"/>
      <c r="E810" s="9"/>
      <c r="F810" s="14" t="s">
        <v>12</v>
      </c>
      <c r="G810" s="9" t="s">
        <v>12</v>
      </c>
      <c r="H810" s="9" t="s">
        <v>12</v>
      </c>
      <c r="I810" s="9" t="s">
        <v>12</v>
      </c>
      <c r="J810" s="9" t="s">
        <v>12</v>
      </c>
      <c r="K810" s="9"/>
      <c r="L810" s="9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6"/>
      <c r="B811" s="6"/>
      <c r="C811" s="13"/>
      <c r="D811" s="8"/>
      <c r="E811" s="9"/>
      <c r="F811" s="14" t="s">
        <v>12</v>
      </c>
      <c r="G811" s="9" t="s">
        <v>12</v>
      </c>
      <c r="H811" s="9" t="s">
        <v>12</v>
      </c>
      <c r="I811" s="9" t="s">
        <v>12</v>
      </c>
      <c r="J811" s="9" t="s">
        <v>12</v>
      </c>
      <c r="K811" s="9"/>
      <c r="L811" s="9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6"/>
      <c r="B812" s="6"/>
      <c r="C812" s="13"/>
      <c r="D812" s="8"/>
      <c r="E812" s="9"/>
      <c r="F812" s="14" t="s">
        <v>12</v>
      </c>
      <c r="G812" s="9" t="s">
        <v>12</v>
      </c>
      <c r="H812" s="9" t="s">
        <v>12</v>
      </c>
      <c r="I812" s="9" t="s">
        <v>12</v>
      </c>
      <c r="J812" s="9" t="s">
        <v>12</v>
      </c>
      <c r="K812" s="9"/>
      <c r="L812" s="9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6"/>
      <c r="B813" s="6"/>
      <c r="C813" s="13"/>
      <c r="D813" s="8"/>
      <c r="E813" s="9"/>
      <c r="F813" s="14" t="s">
        <v>12</v>
      </c>
      <c r="G813" s="9" t="s">
        <v>12</v>
      </c>
      <c r="H813" s="9" t="s">
        <v>12</v>
      </c>
      <c r="I813" s="9" t="s">
        <v>12</v>
      </c>
      <c r="J813" s="9" t="s">
        <v>12</v>
      </c>
      <c r="K813" s="9"/>
      <c r="L813" s="9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6"/>
      <c r="B814" s="6"/>
      <c r="C814" s="13"/>
      <c r="D814" s="8"/>
      <c r="E814" s="9"/>
      <c r="F814" s="14" t="s">
        <v>12</v>
      </c>
      <c r="G814" s="9" t="s">
        <v>12</v>
      </c>
      <c r="H814" s="9" t="s">
        <v>12</v>
      </c>
      <c r="I814" s="9" t="s">
        <v>12</v>
      </c>
      <c r="J814" s="9" t="s">
        <v>12</v>
      </c>
      <c r="K814" s="9"/>
      <c r="L814" s="9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6"/>
      <c r="B815" s="6"/>
      <c r="C815" s="13"/>
      <c r="D815" s="8"/>
      <c r="E815" s="9"/>
      <c r="F815" s="14" t="s">
        <v>12</v>
      </c>
      <c r="G815" s="9" t="s">
        <v>12</v>
      </c>
      <c r="H815" s="9" t="s">
        <v>12</v>
      </c>
      <c r="I815" s="9" t="s">
        <v>12</v>
      </c>
      <c r="J815" s="9" t="s">
        <v>12</v>
      </c>
      <c r="K815" s="9"/>
      <c r="L815" s="9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6"/>
      <c r="B816" s="6"/>
      <c r="C816" s="13"/>
      <c r="D816" s="8"/>
      <c r="E816" s="9"/>
      <c r="F816" s="14" t="s">
        <v>12</v>
      </c>
      <c r="G816" s="9" t="s">
        <v>12</v>
      </c>
      <c r="H816" s="9" t="s">
        <v>12</v>
      </c>
      <c r="I816" s="9" t="s">
        <v>12</v>
      </c>
      <c r="J816" s="9" t="s">
        <v>12</v>
      </c>
      <c r="K816" s="9"/>
      <c r="L816" s="9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6"/>
      <c r="B817" s="6"/>
      <c r="C817" s="13"/>
      <c r="D817" s="8"/>
      <c r="E817" s="9"/>
      <c r="F817" s="14" t="s">
        <v>12</v>
      </c>
      <c r="G817" s="9" t="s">
        <v>12</v>
      </c>
      <c r="H817" s="9" t="s">
        <v>12</v>
      </c>
      <c r="I817" s="9" t="s">
        <v>12</v>
      </c>
      <c r="J817" s="9" t="s">
        <v>12</v>
      </c>
      <c r="K817" s="9"/>
      <c r="L817" s="9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6"/>
      <c r="B818" s="6"/>
      <c r="C818" s="13"/>
      <c r="D818" s="8"/>
      <c r="E818" s="9"/>
      <c r="F818" s="14" t="s">
        <v>12</v>
      </c>
      <c r="G818" s="9" t="s">
        <v>12</v>
      </c>
      <c r="H818" s="9" t="s">
        <v>12</v>
      </c>
      <c r="I818" s="9" t="s">
        <v>12</v>
      </c>
      <c r="J818" s="9" t="s">
        <v>12</v>
      </c>
      <c r="K818" s="9"/>
      <c r="L818" s="9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6"/>
      <c r="B819" s="6"/>
      <c r="C819" s="13"/>
      <c r="D819" s="8"/>
      <c r="E819" s="9"/>
      <c r="F819" s="14" t="s">
        <v>12</v>
      </c>
      <c r="G819" s="9" t="s">
        <v>12</v>
      </c>
      <c r="H819" s="9" t="s">
        <v>12</v>
      </c>
      <c r="I819" s="9" t="s">
        <v>12</v>
      </c>
      <c r="J819" s="9" t="s">
        <v>12</v>
      </c>
      <c r="K819" s="9"/>
      <c r="L819" s="9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6"/>
      <c r="B820" s="6"/>
      <c r="C820" s="13"/>
      <c r="D820" s="8"/>
      <c r="E820" s="9"/>
      <c r="F820" s="14" t="s">
        <v>12</v>
      </c>
      <c r="G820" s="9" t="s">
        <v>12</v>
      </c>
      <c r="H820" s="9" t="s">
        <v>12</v>
      </c>
      <c r="I820" s="9" t="s">
        <v>12</v>
      </c>
      <c r="J820" s="9" t="s">
        <v>12</v>
      </c>
      <c r="K820" s="9"/>
      <c r="L820" s="9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6"/>
      <c r="B821" s="6"/>
      <c r="C821" s="13"/>
      <c r="D821" s="8"/>
      <c r="E821" s="9"/>
      <c r="F821" s="14" t="s">
        <v>12</v>
      </c>
      <c r="G821" s="9" t="s">
        <v>12</v>
      </c>
      <c r="H821" s="9" t="s">
        <v>12</v>
      </c>
      <c r="I821" s="9" t="s">
        <v>12</v>
      </c>
      <c r="J821" s="9" t="s">
        <v>12</v>
      </c>
      <c r="K821" s="9"/>
      <c r="L821" s="9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6"/>
      <c r="B822" s="6"/>
      <c r="C822" s="13"/>
      <c r="D822" s="8"/>
      <c r="E822" s="9"/>
      <c r="F822" s="14" t="s">
        <v>12</v>
      </c>
      <c r="G822" s="9" t="s">
        <v>12</v>
      </c>
      <c r="H822" s="9" t="s">
        <v>12</v>
      </c>
      <c r="I822" s="9" t="s">
        <v>12</v>
      </c>
      <c r="J822" s="9" t="s">
        <v>12</v>
      </c>
      <c r="K822" s="9"/>
      <c r="L822" s="9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6"/>
      <c r="B823" s="6"/>
      <c r="C823" s="13"/>
      <c r="D823" s="8"/>
      <c r="E823" s="9"/>
      <c r="F823" s="14" t="s">
        <v>12</v>
      </c>
      <c r="G823" s="9" t="s">
        <v>12</v>
      </c>
      <c r="H823" s="9" t="s">
        <v>12</v>
      </c>
      <c r="I823" s="9" t="s">
        <v>12</v>
      </c>
      <c r="J823" s="9" t="s">
        <v>12</v>
      </c>
      <c r="K823" s="9"/>
      <c r="L823" s="9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6"/>
      <c r="B824" s="6"/>
      <c r="C824" s="13"/>
      <c r="D824" s="8"/>
      <c r="E824" s="9"/>
      <c r="F824" s="14" t="s">
        <v>12</v>
      </c>
      <c r="G824" s="9" t="s">
        <v>12</v>
      </c>
      <c r="H824" s="9" t="s">
        <v>12</v>
      </c>
      <c r="I824" s="9" t="s">
        <v>12</v>
      </c>
      <c r="J824" s="9" t="s">
        <v>12</v>
      </c>
      <c r="K824" s="9"/>
      <c r="L824" s="9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6"/>
      <c r="B825" s="6"/>
      <c r="C825" s="13"/>
      <c r="D825" s="8"/>
      <c r="E825" s="9"/>
      <c r="F825" s="14" t="s">
        <v>12</v>
      </c>
      <c r="G825" s="9" t="s">
        <v>12</v>
      </c>
      <c r="H825" s="9" t="s">
        <v>12</v>
      </c>
      <c r="I825" s="9" t="s">
        <v>12</v>
      </c>
      <c r="J825" s="9" t="s">
        <v>12</v>
      </c>
      <c r="K825" s="9"/>
      <c r="L825" s="9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6"/>
      <c r="B826" s="6"/>
      <c r="C826" s="13"/>
      <c r="D826" s="8"/>
      <c r="E826" s="9"/>
      <c r="F826" s="14" t="s">
        <v>12</v>
      </c>
      <c r="G826" s="9" t="s">
        <v>12</v>
      </c>
      <c r="H826" s="9" t="s">
        <v>12</v>
      </c>
      <c r="I826" s="9" t="s">
        <v>12</v>
      </c>
      <c r="J826" s="9" t="s">
        <v>12</v>
      </c>
      <c r="K826" s="9"/>
      <c r="L826" s="9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6"/>
      <c r="B827" s="6"/>
      <c r="C827" s="13"/>
      <c r="D827" s="8"/>
      <c r="E827" s="9"/>
      <c r="F827" s="14" t="s">
        <v>12</v>
      </c>
      <c r="G827" s="9" t="s">
        <v>12</v>
      </c>
      <c r="H827" s="9" t="s">
        <v>12</v>
      </c>
      <c r="I827" s="9" t="s">
        <v>12</v>
      </c>
      <c r="J827" s="9" t="s">
        <v>12</v>
      </c>
      <c r="K827" s="9"/>
      <c r="L827" s="9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6"/>
      <c r="B828" s="6"/>
      <c r="C828" s="13"/>
      <c r="D828" s="8"/>
      <c r="E828" s="9"/>
      <c r="F828" s="14" t="s">
        <v>12</v>
      </c>
      <c r="G828" s="9" t="s">
        <v>12</v>
      </c>
      <c r="H828" s="9" t="s">
        <v>12</v>
      </c>
      <c r="I828" s="9" t="s">
        <v>12</v>
      </c>
      <c r="J828" s="9" t="s">
        <v>12</v>
      </c>
      <c r="K828" s="9"/>
      <c r="L828" s="9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6"/>
      <c r="B829" s="6"/>
      <c r="C829" s="13"/>
      <c r="D829" s="8"/>
      <c r="E829" s="9"/>
      <c r="F829" s="14" t="s">
        <v>12</v>
      </c>
      <c r="G829" s="9" t="s">
        <v>12</v>
      </c>
      <c r="H829" s="9" t="s">
        <v>12</v>
      </c>
      <c r="I829" s="9" t="s">
        <v>12</v>
      </c>
      <c r="J829" s="9" t="s">
        <v>12</v>
      </c>
      <c r="K829" s="9"/>
      <c r="L829" s="9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6"/>
      <c r="B830" s="6"/>
      <c r="C830" s="13"/>
      <c r="D830" s="8"/>
      <c r="E830" s="9"/>
      <c r="F830" s="14" t="s">
        <v>12</v>
      </c>
      <c r="G830" s="9" t="s">
        <v>12</v>
      </c>
      <c r="H830" s="9" t="s">
        <v>12</v>
      </c>
      <c r="I830" s="9" t="s">
        <v>12</v>
      </c>
      <c r="J830" s="9" t="s">
        <v>12</v>
      </c>
      <c r="K830" s="9"/>
      <c r="L830" s="9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6"/>
      <c r="B831" s="6"/>
      <c r="C831" s="13"/>
      <c r="D831" s="8"/>
      <c r="E831" s="9"/>
      <c r="F831" s="14" t="s">
        <v>12</v>
      </c>
      <c r="G831" s="9" t="s">
        <v>12</v>
      </c>
      <c r="H831" s="9" t="s">
        <v>12</v>
      </c>
      <c r="I831" s="9" t="s">
        <v>12</v>
      </c>
      <c r="J831" s="9" t="s">
        <v>12</v>
      </c>
      <c r="K831" s="9"/>
      <c r="L831" s="9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6"/>
      <c r="B832" s="6"/>
      <c r="C832" s="13"/>
      <c r="D832" s="8"/>
      <c r="E832" s="9"/>
      <c r="F832" s="14" t="s">
        <v>12</v>
      </c>
      <c r="G832" s="9" t="s">
        <v>12</v>
      </c>
      <c r="H832" s="9" t="s">
        <v>12</v>
      </c>
      <c r="I832" s="9" t="s">
        <v>12</v>
      </c>
      <c r="J832" s="9" t="s">
        <v>12</v>
      </c>
      <c r="K832" s="9"/>
      <c r="L832" s="9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6"/>
      <c r="B833" s="6"/>
      <c r="C833" s="13"/>
      <c r="D833" s="8"/>
      <c r="E833" s="9"/>
      <c r="F833" s="14" t="s">
        <v>12</v>
      </c>
      <c r="G833" s="9" t="s">
        <v>12</v>
      </c>
      <c r="H833" s="9" t="s">
        <v>12</v>
      </c>
      <c r="I833" s="9" t="s">
        <v>12</v>
      </c>
      <c r="J833" s="9" t="s">
        <v>12</v>
      </c>
      <c r="K833" s="9"/>
      <c r="L833" s="9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6"/>
      <c r="B834" s="6"/>
      <c r="C834" s="13"/>
      <c r="D834" s="8"/>
      <c r="E834" s="9"/>
      <c r="F834" s="14" t="s">
        <v>12</v>
      </c>
      <c r="G834" s="9" t="s">
        <v>12</v>
      </c>
      <c r="H834" s="9" t="s">
        <v>12</v>
      </c>
      <c r="I834" s="9" t="s">
        <v>12</v>
      </c>
      <c r="J834" s="9" t="s">
        <v>12</v>
      </c>
      <c r="K834" s="9"/>
      <c r="L834" s="9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6"/>
      <c r="B835" s="6"/>
      <c r="C835" s="13"/>
      <c r="D835" s="8"/>
      <c r="E835" s="9"/>
      <c r="F835" s="14" t="s">
        <v>12</v>
      </c>
      <c r="G835" s="9" t="s">
        <v>12</v>
      </c>
      <c r="H835" s="9" t="s">
        <v>12</v>
      </c>
      <c r="I835" s="9" t="s">
        <v>12</v>
      </c>
      <c r="J835" s="9" t="s">
        <v>12</v>
      </c>
      <c r="K835" s="9"/>
      <c r="L835" s="9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6"/>
      <c r="B836" s="6"/>
      <c r="C836" s="13"/>
      <c r="D836" s="8"/>
      <c r="E836" s="9"/>
      <c r="F836" s="14" t="s">
        <v>12</v>
      </c>
      <c r="G836" s="9" t="s">
        <v>12</v>
      </c>
      <c r="H836" s="9" t="s">
        <v>12</v>
      </c>
      <c r="I836" s="9" t="s">
        <v>12</v>
      </c>
      <c r="J836" s="9" t="s">
        <v>12</v>
      </c>
      <c r="K836" s="9"/>
      <c r="L836" s="9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6"/>
      <c r="B837" s="6"/>
      <c r="C837" s="13"/>
      <c r="D837" s="8"/>
      <c r="E837" s="9"/>
      <c r="F837" s="14" t="s">
        <v>12</v>
      </c>
      <c r="G837" s="9" t="s">
        <v>12</v>
      </c>
      <c r="H837" s="9" t="s">
        <v>12</v>
      </c>
      <c r="I837" s="9" t="s">
        <v>12</v>
      </c>
      <c r="J837" s="9" t="s">
        <v>12</v>
      </c>
      <c r="K837" s="9"/>
      <c r="L837" s="9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6"/>
      <c r="B838" s="6"/>
      <c r="C838" s="13"/>
      <c r="D838" s="8"/>
      <c r="E838" s="9"/>
      <c r="F838" s="14" t="s">
        <v>12</v>
      </c>
      <c r="G838" s="9" t="s">
        <v>12</v>
      </c>
      <c r="H838" s="9" t="s">
        <v>12</v>
      </c>
      <c r="I838" s="9" t="s">
        <v>12</v>
      </c>
      <c r="J838" s="9" t="s">
        <v>12</v>
      </c>
      <c r="K838" s="9"/>
      <c r="L838" s="9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6"/>
      <c r="B839" s="6"/>
      <c r="C839" s="13"/>
      <c r="D839" s="8"/>
      <c r="E839" s="9"/>
      <c r="F839" s="14" t="s">
        <v>12</v>
      </c>
      <c r="G839" s="9" t="s">
        <v>12</v>
      </c>
      <c r="H839" s="9" t="s">
        <v>12</v>
      </c>
      <c r="I839" s="9" t="s">
        <v>12</v>
      </c>
      <c r="J839" s="9" t="s">
        <v>12</v>
      </c>
      <c r="K839" s="9"/>
      <c r="L839" s="9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6"/>
      <c r="B840" s="6"/>
      <c r="C840" s="13"/>
      <c r="D840" s="8"/>
      <c r="E840" s="9"/>
      <c r="F840" s="14" t="s">
        <v>12</v>
      </c>
      <c r="G840" s="9" t="s">
        <v>12</v>
      </c>
      <c r="H840" s="9" t="s">
        <v>12</v>
      </c>
      <c r="I840" s="9" t="s">
        <v>12</v>
      </c>
      <c r="J840" s="9" t="s">
        <v>12</v>
      </c>
      <c r="K840" s="9"/>
      <c r="L840" s="9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6"/>
      <c r="B841" s="6"/>
      <c r="C841" s="13"/>
      <c r="D841" s="8"/>
      <c r="E841" s="9"/>
      <c r="F841" s="14" t="s">
        <v>12</v>
      </c>
      <c r="G841" s="9" t="s">
        <v>12</v>
      </c>
      <c r="H841" s="9" t="s">
        <v>12</v>
      </c>
      <c r="I841" s="9" t="s">
        <v>12</v>
      </c>
      <c r="J841" s="9" t="s">
        <v>12</v>
      </c>
      <c r="K841" s="9"/>
      <c r="L841" s="9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6"/>
      <c r="B842" s="6"/>
      <c r="C842" s="13"/>
      <c r="D842" s="8"/>
      <c r="E842" s="9"/>
      <c r="F842" s="14" t="s">
        <v>12</v>
      </c>
      <c r="G842" s="9" t="s">
        <v>12</v>
      </c>
      <c r="H842" s="9" t="s">
        <v>12</v>
      </c>
      <c r="I842" s="9" t="s">
        <v>12</v>
      </c>
      <c r="J842" s="9" t="s">
        <v>12</v>
      </c>
      <c r="K842" s="9"/>
      <c r="L842" s="9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6"/>
      <c r="B843" s="6"/>
      <c r="C843" s="13"/>
      <c r="D843" s="8"/>
      <c r="E843" s="9"/>
      <c r="F843" s="14" t="s">
        <v>12</v>
      </c>
      <c r="G843" s="9" t="s">
        <v>12</v>
      </c>
      <c r="H843" s="9" t="s">
        <v>12</v>
      </c>
      <c r="I843" s="9" t="s">
        <v>12</v>
      </c>
      <c r="J843" s="9" t="s">
        <v>12</v>
      </c>
      <c r="K843" s="9"/>
      <c r="L843" s="9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6"/>
      <c r="B844" s="6"/>
      <c r="C844" s="13"/>
      <c r="D844" s="8"/>
      <c r="E844" s="9"/>
      <c r="F844" s="14" t="s">
        <v>12</v>
      </c>
      <c r="G844" s="9" t="s">
        <v>12</v>
      </c>
      <c r="H844" s="9" t="s">
        <v>12</v>
      </c>
      <c r="I844" s="9" t="s">
        <v>12</v>
      </c>
      <c r="J844" s="9" t="s">
        <v>12</v>
      </c>
      <c r="K844" s="9"/>
      <c r="L844" s="9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6"/>
      <c r="B845" s="6"/>
      <c r="C845" s="13"/>
      <c r="D845" s="8"/>
      <c r="E845" s="9"/>
      <c r="F845" s="14" t="s">
        <v>12</v>
      </c>
      <c r="G845" s="9" t="s">
        <v>12</v>
      </c>
      <c r="H845" s="9" t="s">
        <v>12</v>
      </c>
      <c r="I845" s="9" t="s">
        <v>12</v>
      </c>
      <c r="J845" s="9" t="s">
        <v>12</v>
      </c>
      <c r="K845" s="9"/>
      <c r="L845" s="9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6"/>
      <c r="B846" s="6"/>
      <c r="C846" s="13"/>
      <c r="D846" s="8"/>
      <c r="E846" s="9"/>
      <c r="F846" s="14" t="s">
        <v>12</v>
      </c>
      <c r="G846" s="9" t="s">
        <v>12</v>
      </c>
      <c r="H846" s="9" t="s">
        <v>12</v>
      </c>
      <c r="I846" s="9" t="s">
        <v>12</v>
      </c>
      <c r="J846" s="9" t="s">
        <v>12</v>
      </c>
      <c r="K846" s="9"/>
      <c r="L846" s="9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6"/>
      <c r="B847" s="6"/>
      <c r="C847" s="13"/>
      <c r="D847" s="8"/>
      <c r="E847" s="9"/>
      <c r="F847" s="14" t="s">
        <v>12</v>
      </c>
      <c r="G847" s="9" t="s">
        <v>12</v>
      </c>
      <c r="H847" s="9" t="s">
        <v>12</v>
      </c>
      <c r="I847" s="9" t="s">
        <v>12</v>
      </c>
      <c r="J847" s="9" t="s">
        <v>12</v>
      </c>
      <c r="K847" s="9"/>
      <c r="L847" s="9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6"/>
      <c r="B848" s="6"/>
      <c r="C848" s="13"/>
      <c r="D848" s="8"/>
      <c r="E848" s="9"/>
      <c r="F848" s="14" t="s">
        <v>12</v>
      </c>
      <c r="G848" s="9" t="s">
        <v>12</v>
      </c>
      <c r="H848" s="9" t="s">
        <v>12</v>
      </c>
      <c r="I848" s="9" t="s">
        <v>12</v>
      </c>
      <c r="J848" s="9" t="s">
        <v>12</v>
      </c>
      <c r="K848" s="9"/>
      <c r="L848" s="9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6"/>
      <c r="B849" s="6"/>
      <c r="C849" s="13"/>
      <c r="D849" s="8"/>
      <c r="E849" s="9"/>
      <c r="F849" s="14" t="s">
        <v>12</v>
      </c>
      <c r="G849" s="9" t="s">
        <v>12</v>
      </c>
      <c r="H849" s="9" t="s">
        <v>12</v>
      </c>
      <c r="I849" s="9" t="s">
        <v>12</v>
      </c>
      <c r="J849" s="9" t="s">
        <v>12</v>
      </c>
      <c r="K849" s="9"/>
      <c r="L849" s="9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6"/>
      <c r="B850" s="6"/>
      <c r="C850" s="13"/>
      <c r="D850" s="8"/>
      <c r="E850" s="9"/>
      <c r="F850" s="14" t="s">
        <v>12</v>
      </c>
      <c r="G850" s="9" t="s">
        <v>12</v>
      </c>
      <c r="H850" s="9" t="s">
        <v>12</v>
      </c>
      <c r="I850" s="9" t="s">
        <v>12</v>
      </c>
      <c r="J850" s="9" t="s">
        <v>12</v>
      </c>
      <c r="K850" s="9"/>
      <c r="L850" s="9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6"/>
      <c r="B851" s="6"/>
      <c r="C851" s="13"/>
      <c r="D851" s="8"/>
      <c r="E851" s="9"/>
      <c r="F851" s="14" t="s">
        <v>12</v>
      </c>
      <c r="G851" s="9" t="s">
        <v>12</v>
      </c>
      <c r="H851" s="9" t="s">
        <v>12</v>
      </c>
      <c r="I851" s="9" t="s">
        <v>12</v>
      </c>
      <c r="J851" s="9" t="s">
        <v>12</v>
      </c>
      <c r="K851" s="9"/>
      <c r="L851" s="9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6"/>
      <c r="B852" s="6"/>
      <c r="C852" s="13"/>
      <c r="D852" s="8"/>
      <c r="E852" s="9"/>
      <c r="F852" s="14" t="s">
        <v>12</v>
      </c>
      <c r="G852" s="9" t="s">
        <v>12</v>
      </c>
      <c r="H852" s="9" t="s">
        <v>12</v>
      </c>
      <c r="I852" s="9" t="s">
        <v>12</v>
      </c>
      <c r="J852" s="9" t="s">
        <v>12</v>
      </c>
      <c r="K852" s="9"/>
      <c r="L852" s="9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6"/>
      <c r="B853" s="6"/>
      <c r="C853" s="13"/>
      <c r="D853" s="8"/>
      <c r="E853" s="9"/>
      <c r="F853" s="14" t="s">
        <v>12</v>
      </c>
      <c r="G853" s="9" t="s">
        <v>12</v>
      </c>
      <c r="H853" s="9" t="s">
        <v>12</v>
      </c>
      <c r="I853" s="9" t="s">
        <v>12</v>
      </c>
      <c r="J853" s="9" t="s">
        <v>12</v>
      </c>
      <c r="K853" s="9"/>
      <c r="L853" s="9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6"/>
      <c r="B854" s="6"/>
      <c r="C854" s="13"/>
      <c r="D854" s="8"/>
      <c r="E854" s="9"/>
      <c r="F854" s="14" t="s">
        <v>12</v>
      </c>
      <c r="G854" s="9" t="s">
        <v>12</v>
      </c>
      <c r="H854" s="9" t="s">
        <v>12</v>
      </c>
      <c r="I854" s="9" t="s">
        <v>12</v>
      </c>
      <c r="J854" s="9" t="s">
        <v>12</v>
      </c>
      <c r="K854" s="9"/>
      <c r="L854" s="9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6"/>
      <c r="B855" s="6"/>
      <c r="C855" s="13"/>
      <c r="D855" s="8"/>
      <c r="E855" s="9"/>
      <c r="F855" s="14" t="s">
        <v>12</v>
      </c>
      <c r="G855" s="9" t="s">
        <v>12</v>
      </c>
      <c r="H855" s="9" t="s">
        <v>12</v>
      </c>
      <c r="I855" s="9" t="s">
        <v>12</v>
      </c>
      <c r="J855" s="9" t="s">
        <v>12</v>
      </c>
      <c r="K855" s="9"/>
      <c r="L855" s="9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6"/>
      <c r="B856" s="6"/>
      <c r="C856" s="13"/>
      <c r="D856" s="8"/>
      <c r="E856" s="9"/>
      <c r="F856" s="14" t="s">
        <v>12</v>
      </c>
      <c r="G856" s="9" t="s">
        <v>12</v>
      </c>
      <c r="H856" s="9" t="s">
        <v>12</v>
      </c>
      <c r="I856" s="9" t="s">
        <v>12</v>
      </c>
      <c r="J856" s="9" t="s">
        <v>12</v>
      </c>
      <c r="K856" s="9"/>
      <c r="L856" s="9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6"/>
      <c r="B857" s="6"/>
      <c r="C857" s="13"/>
      <c r="D857" s="8"/>
      <c r="E857" s="9"/>
      <c r="F857" s="14" t="s">
        <v>12</v>
      </c>
      <c r="G857" s="9" t="s">
        <v>12</v>
      </c>
      <c r="H857" s="9" t="s">
        <v>12</v>
      </c>
      <c r="I857" s="9" t="s">
        <v>12</v>
      </c>
      <c r="J857" s="9" t="s">
        <v>12</v>
      </c>
      <c r="K857" s="9"/>
      <c r="L857" s="9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6"/>
      <c r="B858" s="6"/>
      <c r="C858" s="13"/>
      <c r="D858" s="8"/>
      <c r="E858" s="9"/>
      <c r="F858" s="14" t="s">
        <v>12</v>
      </c>
      <c r="G858" s="9" t="s">
        <v>12</v>
      </c>
      <c r="H858" s="9" t="s">
        <v>12</v>
      </c>
      <c r="I858" s="9" t="s">
        <v>12</v>
      </c>
      <c r="J858" s="9" t="s">
        <v>12</v>
      </c>
      <c r="K858" s="9"/>
      <c r="L858" s="9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6"/>
      <c r="B859" s="6"/>
      <c r="C859" s="13"/>
      <c r="D859" s="8"/>
      <c r="E859" s="9"/>
      <c r="F859" s="14" t="s">
        <v>12</v>
      </c>
      <c r="G859" s="9" t="s">
        <v>12</v>
      </c>
      <c r="H859" s="9" t="s">
        <v>12</v>
      </c>
      <c r="I859" s="9" t="s">
        <v>12</v>
      </c>
      <c r="J859" s="9" t="s">
        <v>12</v>
      </c>
      <c r="K859" s="9"/>
      <c r="L859" s="9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6"/>
      <c r="B860" s="6"/>
      <c r="C860" s="13"/>
      <c r="D860" s="8"/>
      <c r="E860" s="9"/>
      <c r="F860" s="14" t="s">
        <v>12</v>
      </c>
      <c r="G860" s="9" t="s">
        <v>12</v>
      </c>
      <c r="H860" s="9" t="s">
        <v>12</v>
      </c>
      <c r="I860" s="9" t="s">
        <v>12</v>
      </c>
      <c r="J860" s="9" t="s">
        <v>12</v>
      </c>
      <c r="K860" s="9"/>
      <c r="L860" s="9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6"/>
      <c r="B861" s="6"/>
      <c r="C861" s="13"/>
      <c r="D861" s="8"/>
      <c r="E861" s="9"/>
      <c r="F861" s="14" t="s">
        <v>12</v>
      </c>
      <c r="G861" s="9" t="s">
        <v>12</v>
      </c>
      <c r="H861" s="9" t="s">
        <v>12</v>
      </c>
      <c r="I861" s="9" t="s">
        <v>12</v>
      </c>
      <c r="J861" s="9" t="s">
        <v>12</v>
      </c>
      <c r="K861" s="9"/>
      <c r="L861" s="9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6"/>
      <c r="B862" s="6"/>
      <c r="C862" s="13"/>
      <c r="D862" s="8"/>
      <c r="E862" s="9"/>
      <c r="F862" s="14" t="s">
        <v>12</v>
      </c>
      <c r="G862" s="9" t="s">
        <v>12</v>
      </c>
      <c r="H862" s="9" t="s">
        <v>12</v>
      </c>
      <c r="I862" s="9" t="s">
        <v>12</v>
      </c>
      <c r="J862" s="9" t="s">
        <v>12</v>
      </c>
      <c r="K862" s="9"/>
      <c r="L862" s="9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6"/>
      <c r="B863" s="6"/>
      <c r="C863" s="13"/>
      <c r="D863" s="8"/>
      <c r="E863" s="9"/>
      <c r="F863" s="14" t="s">
        <v>12</v>
      </c>
      <c r="G863" s="9" t="s">
        <v>12</v>
      </c>
      <c r="H863" s="9" t="s">
        <v>12</v>
      </c>
      <c r="I863" s="9" t="s">
        <v>12</v>
      </c>
      <c r="J863" s="9" t="s">
        <v>12</v>
      </c>
      <c r="K863" s="9"/>
      <c r="L863" s="9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6"/>
      <c r="B864" s="6"/>
      <c r="C864" s="13"/>
      <c r="D864" s="8"/>
      <c r="E864" s="9"/>
      <c r="F864" s="14" t="s">
        <v>12</v>
      </c>
      <c r="G864" s="9" t="s">
        <v>12</v>
      </c>
      <c r="H864" s="9" t="s">
        <v>12</v>
      </c>
      <c r="I864" s="9" t="s">
        <v>12</v>
      </c>
      <c r="J864" s="9" t="s">
        <v>12</v>
      </c>
      <c r="K864" s="9"/>
      <c r="L864" s="9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6"/>
      <c r="B865" s="6"/>
      <c r="C865" s="13"/>
      <c r="D865" s="8"/>
      <c r="E865" s="9"/>
      <c r="F865" s="14" t="s">
        <v>12</v>
      </c>
      <c r="G865" s="9" t="s">
        <v>12</v>
      </c>
      <c r="H865" s="9" t="s">
        <v>12</v>
      </c>
      <c r="I865" s="9" t="s">
        <v>12</v>
      </c>
      <c r="J865" s="9" t="s">
        <v>12</v>
      </c>
      <c r="K865" s="9"/>
      <c r="L865" s="9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6"/>
      <c r="B866" s="6"/>
      <c r="C866" s="13"/>
      <c r="D866" s="8"/>
      <c r="E866" s="9"/>
      <c r="F866" s="14" t="s">
        <v>12</v>
      </c>
      <c r="G866" s="9" t="s">
        <v>12</v>
      </c>
      <c r="H866" s="9" t="s">
        <v>12</v>
      </c>
      <c r="I866" s="9" t="s">
        <v>12</v>
      </c>
      <c r="J866" s="9" t="s">
        <v>12</v>
      </c>
      <c r="K866" s="9"/>
      <c r="L866" s="9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6"/>
      <c r="B867" s="6"/>
      <c r="C867" s="13"/>
      <c r="D867" s="8"/>
      <c r="E867" s="9"/>
      <c r="F867" s="14" t="s">
        <v>12</v>
      </c>
      <c r="G867" s="9" t="s">
        <v>12</v>
      </c>
      <c r="H867" s="9" t="s">
        <v>12</v>
      </c>
      <c r="I867" s="9" t="s">
        <v>12</v>
      </c>
      <c r="J867" s="9" t="s">
        <v>12</v>
      </c>
      <c r="K867" s="9"/>
      <c r="L867" s="9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6"/>
      <c r="B868" s="6"/>
      <c r="C868" s="13"/>
      <c r="D868" s="8"/>
      <c r="E868" s="9"/>
      <c r="F868" s="14" t="s">
        <v>12</v>
      </c>
      <c r="G868" s="9" t="s">
        <v>12</v>
      </c>
      <c r="H868" s="9" t="s">
        <v>12</v>
      </c>
      <c r="I868" s="9" t="s">
        <v>12</v>
      </c>
      <c r="J868" s="9" t="s">
        <v>12</v>
      </c>
      <c r="K868" s="9"/>
      <c r="L868" s="9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6"/>
      <c r="B869" s="6"/>
      <c r="C869" s="13"/>
      <c r="D869" s="8"/>
      <c r="E869" s="9"/>
      <c r="F869" s="14" t="s">
        <v>12</v>
      </c>
      <c r="G869" s="9" t="s">
        <v>12</v>
      </c>
      <c r="H869" s="9" t="s">
        <v>12</v>
      </c>
      <c r="I869" s="9" t="s">
        <v>12</v>
      </c>
      <c r="J869" s="9" t="s">
        <v>12</v>
      </c>
      <c r="K869" s="9"/>
      <c r="L869" s="9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6"/>
      <c r="B870" s="6"/>
      <c r="C870" s="13"/>
      <c r="D870" s="8"/>
      <c r="E870" s="9"/>
      <c r="F870" s="14" t="s">
        <v>12</v>
      </c>
      <c r="G870" s="9" t="s">
        <v>12</v>
      </c>
      <c r="H870" s="9" t="s">
        <v>12</v>
      </c>
      <c r="I870" s="9" t="s">
        <v>12</v>
      </c>
      <c r="J870" s="9" t="s">
        <v>12</v>
      </c>
      <c r="K870" s="9"/>
      <c r="L870" s="9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6"/>
      <c r="B871" s="6"/>
      <c r="C871" s="13"/>
      <c r="D871" s="8"/>
      <c r="E871" s="9"/>
      <c r="F871" s="14" t="s">
        <v>12</v>
      </c>
      <c r="G871" s="9" t="s">
        <v>12</v>
      </c>
      <c r="H871" s="9" t="s">
        <v>12</v>
      </c>
      <c r="I871" s="9" t="s">
        <v>12</v>
      </c>
      <c r="J871" s="9" t="s">
        <v>12</v>
      </c>
      <c r="K871" s="9"/>
      <c r="L871" s="9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6"/>
      <c r="B872" s="6"/>
      <c r="C872" s="13"/>
      <c r="D872" s="8"/>
      <c r="E872" s="9"/>
      <c r="F872" s="14" t="s">
        <v>12</v>
      </c>
      <c r="G872" s="9" t="s">
        <v>12</v>
      </c>
      <c r="H872" s="9" t="s">
        <v>12</v>
      </c>
      <c r="I872" s="9" t="s">
        <v>12</v>
      </c>
      <c r="J872" s="9" t="s">
        <v>12</v>
      </c>
      <c r="K872" s="9"/>
      <c r="L872" s="9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6"/>
      <c r="B873" s="6"/>
      <c r="C873" s="13"/>
      <c r="D873" s="8"/>
      <c r="E873" s="9"/>
      <c r="F873" s="14" t="s">
        <v>12</v>
      </c>
      <c r="G873" s="9" t="s">
        <v>12</v>
      </c>
      <c r="H873" s="9" t="s">
        <v>12</v>
      </c>
      <c r="I873" s="9" t="s">
        <v>12</v>
      </c>
      <c r="J873" s="9" t="s">
        <v>12</v>
      </c>
      <c r="K873" s="9"/>
      <c r="L873" s="9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6"/>
      <c r="B874" s="6"/>
      <c r="C874" s="13"/>
      <c r="D874" s="8"/>
      <c r="E874" s="9"/>
      <c r="F874" s="14" t="s">
        <v>12</v>
      </c>
      <c r="G874" s="9" t="s">
        <v>12</v>
      </c>
      <c r="H874" s="9" t="s">
        <v>12</v>
      </c>
      <c r="I874" s="9" t="s">
        <v>12</v>
      </c>
      <c r="J874" s="9" t="s">
        <v>12</v>
      </c>
      <c r="K874" s="9"/>
      <c r="L874" s="9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6"/>
      <c r="B875" s="6"/>
      <c r="C875" s="13"/>
      <c r="D875" s="8"/>
      <c r="E875" s="9"/>
      <c r="F875" s="14" t="s">
        <v>12</v>
      </c>
      <c r="G875" s="9" t="s">
        <v>12</v>
      </c>
      <c r="H875" s="9" t="s">
        <v>12</v>
      </c>
      <c r="I875" s="9" t="s">
        <v>12</v>
      </c>
      <c r="J875" s="9" t="s">
        <v>12</v>
      </c>
      <c r="K875" s="9"/>
      <c r="L875" s="9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6"/>
      <c r="B876" s="6"/>
      <c r="C876" s="13"/>
      <c r="D876" s="8"/>
      <c r="E876" s="9"/>
      <c r="F876" s="14" t="s">
        <v>12</v>
      </c>
      <c r="G876" s="9" t="s">
        <v>12</v>
      </c>
      <c r="H876" s="9" t="s">
        <v>12</v>
      </c>
      <c r="I876" s="9" t="s">
        <v>12</v>
      </c>
      <c r="J876" s="9" t="s">
        <v>12</v>
      </c>
      <c r="K876" s="9"/>
      <c r="L876" s="9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6"/>
      <c r="B877" s="6"/>
      <c r="C877" s="13"/>
      <c r="D877" s="8"/>
      <c r="E877" s="9"/>
      <c r="F877" s="14" t="s">
        <v>12</v>
      </c>
      <c r="G877" s="9" t="s">
        <v>12</v>
      </c>
      <c r="H877" s="9" t="s">
        <v>12</v>
      </c>
      <c r="I877" s="9" t="s">
        <v>12</v>
      </c>
      <c r="J877" s="9" t="s">
        <v>12</v>
      </c>
      <c r="K877" s="9"/>
      <c r="L877" s="9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6"/>
      <c r="B878" s="6"/>
      <c r="C878" s="13"/>
      <c r="D878" s="8"/>
      <c r="E878" s="9"/>
      <c r="F878" s="14" t="s">
        <v>12</v>
      </c>
      <c r="G878" s="9" t="s">
        <v>12</v>
      </c>
      <c r="H878" s="9" t="s">
        <v>12</v>
      </c>
      <c r="I878" s="9" t="s">
        <v>12</v>
      </c>
      <c r="J878" s="9" t="s">
        <v>12</v>
      </c>
      <c r="K878" s="9"/>
      <c r="L878" s="9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6"/>
      <c r="B879" s="6"/>
      <c r="C879" s="13"/>
      <c r="D879" s="8"/>
      <c r="E879" s="9"/>
      <c r="F879" s="14" t="s">
        <v>12</v>
      </c>
      <c r="G879" s="9" t="s">
        <v>12</v>
      </c>
      <c r="H879" s="9" t="s">
        <v>12</v>
      </c>
      <c r="I879" s="9" t="s">
        <v>12</v>
      </c>
      <c r="J879" s="9" t="s">
        <v>12</v>
      </c>
      <c r="K879" s="9"/>
      <c r="L879" s="9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6"/>
      <c r="B880" s="6"/>
      <c r="C880" s="13"/>
      <c r="D880" s="8"/>
      <c r="E880" s="9"/>
      <c r="F880" s="14" t="s">
        <v>12</v>
      </c>
      <c r="G880" s="9" t="s">
        <v>12</v>
      </c>
      <c r="H880" s="9" t="s">
        <v>12</v>
      </c>
      <c r="I880" s="9" t="s">
        <v>12</v>
      </c>
      <c r="J880" s="9" t="s">
        <v>12</v>
      </c>
      <c r="K880" s="9"/>
      <c r="L880" s="9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6"/>
      <c r="B881" s="6"/>
      <c r="C881" s="13"/>
      <c r="D881" s="8"/>
      <c r="E881" s="9"/>
      <c r="F881" s="14" t="s">
        <v>12</v>
      </c>
      <c r="G881" s="9" t="s">
        <v>12</v>
      </c>
      <c r="H881" s="9" t="s">
        <v>12</v>
      </c>
      <c r="I881" s="9" t="s">
        <v>12</v>
      </c>
      <c r="J881" s="9" t="s">
        <v>12</v>
      </c>
      <c r="K881" s="9"/>
      <c r="L881" s="9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6"/>
      <c r="B882" s="6"/>
      <c r="C882" s="13"/>
      <c r="D882" s="8"/>
      <c r="E882" s="9"/>
      <c r="F882" s="14" t="s">
        <v>12</v>
      </c>
      <c r="G882" s="9" t="s">
        <v>12</v>
      </c>
      <c r="H882" s="9" t="s">
        <v>12</v>
      </c>
      <c r="I882" s="9" t="s">
        <v>12</v>
      </c>
      <c r="J882" s="9" t="s">
        <v>12</v>
      </c>
      <c r="K882" s="9"/>
      <c r="L882" s="9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6"/>
      <c r="B883" s="6"/>
      <c r="C883" s="13"/>
      <c r="D883" s="8"/>
      <c r="E883" s="9"/>
      <c r="F883" s="14" t="s">
        <v>12</v>
      </c>
      <c r="G883" s="9" t="s">
        <v>12</v>
      </c>
      <c r="H883" s="9" t="s">
        <v>12</v>
      </c>
      <c r="I883" s="9" t="s">
        <v>12</v>
      </c>
      <c r="J883" s="9" t="s">
        <v>12</v>
      </c>
      <c r="K883" s="9"/>
      <c r="L883" s="9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6"/>
      <c r="B884" s="6"/>
      <c r="C884" s="13"/>
      <c r="D884" s="8"/>
      <c r="E884" s="9"/>
      <c r="F884" s="14" t="s">
        <v>12</v>
      </c>
      <c r="G884" s="9" t="s">
        <v>12</v>
      </c>
      <c r="H884" s="9" t="s">
        <v>12</v>
      </c>
      <c r="I884" s="9" t="s">
        <v>12</v>
      </c>
      <c r="J884" s="9" t="s">
        <v>12</v>
      </c>
      <c r="K884" s="9"/>
      <c r="L884" s="9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6"/>
      <c r="B885" s="6"/>
      <c r="C885" s="13"/>
      <c r="D885" s="8"/>
      <c r="E885" s="9"/>
      <c r="F885" s="14" t="s">
        <v>12</v>
      </c>
      <c r="G885" s="9" t="s">
        <v>12</v>
      </c>
      <c r="H885" s="9" t="s">
        <v>12</v>
      </c>
      <c r="I885" s="9" t="s">
        <v>12</v>
      </c>
      <c r="J885" s="9" t="s">
        <v>12</v>
      </c>
      <c r="K885" s="9"/>
      <c r="L885" s="9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6"/>
      <c r="B886" s="6"/>
      <c r="C886" s="13"/>
      <c r="D886" s="8"/>
      <c r="E886" s="9"/>
      <c r="F886" s="14" t="s">
        <v>12</v>
      </c>
      <c r="G886" s="9" t="s">
        <v>12</v>
      </c>
      <c r="H886" s="9" t="s">
        <v>12</v>
      </c>
      <c r="I886" s="9" t="s">
        <v>12</v>
      </c>
      <c r="J886" s="9" t="s">
        <v>12</v>
      </c>
      <c r="K886" s="9"/>
      <c r="L886" s="9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6"/>
      <c r="B887" s="6"/>
      <c r="C887" s="13"/>
      <c r="D887" s="8"/>
      <c r="E887" s="9"/>
      <c r="F887" s="14" t="s">
        <v>12</v>
      </c>
      <c r="G887" s="9" t="s">
        <v>12</v>
      </c>
      <c r="H887" s="9" t="s">
        <v>12</v>
      </c>
      <c r="I887" s="9" t="s">
        <v>12</v>
      </c>
      <c r="J887" s="9" t="s">
        <v>12</v>
      </c>
      <c r="K887" s="9"/>
      <c r="L887" s="9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6"/>
      <c r="B888" s="6"/>
      <c r="C888" s="13"/>
      <c r="D888" s="8"/>
      <c r="E888" s="9"/>
      <c r="F888" s="14" t="s">
        <v>12</v>
      </c>
      <c r="G888" s="9" t="s">
        <v>12</v>
      </c>
      <c r="H888" s="9" t="s">
        <v>12</v>
      </c>
      <c r="I888" s="9" t="s">
        <v>12</v>
      </c>
      <c r="J888" s="9" t="s">
        <v>12</v>
      </c>
      <c r="K888" s="9"/>
      <c r="L888" s="9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6"/>
      <c r="B889" s="6"/>
      <c r="C889" s="13"/>
      <c r="D889" s="8"/>
      <c r="E889" s="9"/>
      <c r="F889" s="14" t="s">
        <v>12</v>
      </c>
      <c r="G889" s="9" t="s">
        <v>12</v>
      </c>
      <c r="H889" s="9" t="s">
        <v>12</v>
      </c>
      <c r="I889" s="9" t="s">
        <v>12</v>
      </c>
      <c r="J889" s="9" t="s">
        <v>12</v>
      </c>
      <c r="K889" s="9"/>
      <c r="L889" s="9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6"/>
      <c r="B890" s="6"/>
      <c r="C890" s="13"/>
      <c r="D890" s="8"/>
      <c r="E890" s="9"/>
      <c r="F890" s="14" t="s">
        <v>12</v>
      </c>
      <c r="G890" s="9" t="s">
        <v>12</v>
      </c>
      <c r="H890" s="9" t="s">
        <v>12</v>
      </c>
      <c r="I890" s="9" t="s">
        <v>12</v>
      </c>
      <c r="J890" s="9" t="s">
        <v>12</v>
      </c>
      <c r="K890" s="9"/>
      <c r="L890" s="9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6"/>
      <c r="B891" s="6"/>
      <c r="C891" s="13"/>
      <c r="D891" s="8"/>
      <c r="E891" s="9"/>
      <c r="F891" s="14" t="s">
        <v>12</v>
      </c>
      <c r="G891" s="9" t="s">
        <v>12</v>
      </c>
      <c r="H891" s="9" t="s">
        <v>12</v>
      </c>
      <c r="I891" s="9" t="s">
        <v>12</v>
      </c>
      <c r="J891" s="9" t="s">
        <v>12</v>
      </c>
      <c r="K891" s="9"/>
      <c r="L891" s="9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6"/>
      <c r="B892" s="6"/>
      <c r="C892" s="13"/>
      <c r="D892" s="8"/>
      <c r="E892" s="9"/>
      <c r="F892" s="14" t="s">
        <v>12</v>
      </c>
      <c r="G892" s="9" t="s">
        <v>12</v>
      </c>
      <c r="H892" s="9" t="s">
        <v>12</v>
      </c>
      <c r="I892" s="9" t="s">
        <v>12</v>
      </c>
      <c r="J892" s="9" t="s">
        <v>12</v>
      </c>
      <c r="K892" s="9"/>
      <c r="L892" s="9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6"/>
      <c r="B893" s="6"/>
      <c r="C893" s="13"/>
      <c r="D893" s="8"/>
      <c r="E893" s="9"/>
      <c r="F893" s="14" t="s">
        <v>12</v>
      </c>
      <c r="G893" s="9" t="s">
        <v>12</v>
      </c>
      <c r="H893" s="9" t="s">
        <v>12</v>
      </c>
      <c r="I893" s="9" t="s">
        <v>12</v>
      </c>
      <c r="J893" s="9" t="s">
        <v>12</v>
      </c>
      <c r="K893" s="9"/>
      <c r="L893" s="9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6"/>
      <c r="B894" s="6"/>
      <c r="C894" s="13"/>
      <c r="D894" s="8"/>
      <c r="E894" s="9"/>
      <c r="F894" s="14" t="s">
        <v>12</v>
      </c>
      <c r="G894" s="9" t="s">
        <v>12</v>
      </c>
      <c r="H894" s="9" t="s">
        <v>12</v>
      </c>
      <c r="I894" s="9" t="s">
        <v>12</v>
      </c>
      <c r="J894" s="9" t="s">
        <v>12</v>
      </c>
      <c r="K894" s="9"/>
      <c r="L894" s="9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6"/>
      <c r="B895" s="6"/>
      <c r="C895" s="13"/>
      <c r="D895" s="8"/>
      <c r="E895" s="9"/>
      <c r="F895" s="14" t="s">
        <v>12</v>
      </c>
      <c r="G895" s="9" t="s">
        <v>12</v>
      </c>
      <c r="H895" s="9" t="s">
        <v>12</v>
      </c>
      <c r="I895" s="9" t="s">
        <v>12</v>
      </c>
      <c r="J895" s="9" t="s">
        <v>12</v>
      </c>
      <c r="K895" s="9"/>
      <c r="L895" s="9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6"/>
      <c r="B896" s="6"/>
      <c r="C896" s="13"/>
      <c r="D896" s="8"/>
      <c r="E896" s="9"/>
      <c r="F896" s="14" t="s">
        <v>12</v>
      </c>
      <c r="G896" s="9" t="s">
        <v>12</v>
      </c>
      <c r="H896" s="9" t="s">
        <v>12</v>
      </c>
      <c r="I896" s="9" t="s">
        <v>12</v>
      </c>
      <c r="J896" s="9" t="s">
        <v>12</v>
      </c>
      <c r="K896" s="9"/>
      <c r="L896" s="9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6"/>
      <c r="B897" s="6"/>
      <c r="C897" s="13"/>
      <c r="D897" s="8"/>
      <c r="E897" s="9"/>
      <c r="F897" s="14" t="s">
        <v>12</v>
      </c>
      <c r="G897" s="9" t="s">
        <v>12</v>
      </c>
      <c r="H897" s="9" t="s">
        <v>12</v>
      </c>
      <c r="I897" s="9" t="s">
        <v>12</v>
      </c>
      <c r="J897" s="9" t="s">
        <v>12</v>
      </c>
      <c r="K897" s="9"/>
      <c r="L897" s="9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6"/>
      <c r="B898" s="6"/>
      <c r="C898" s="13"/>
      <c r="D898" s="8"/>
      <c r="E898" s="9"/>
      <c r="F898" s="14" t="s">
        <v>12</v>
      </c>
      <c r="G898" s="9" t="s">
        <v>12</v>
      </c>
      <c r="H898" s="9" t="s">
        <v>12</v>
      </c>
      <c r="I898" s="9" t="s">
        <v>12</v>
      </c>
      <c r="J898" s="9" t="s">
        <v>12</v>
      </c>
      <c r="K898" s="9"/>
      <c r="L898" s="9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6"/>
      <c r="B899" s="6"/>
      <c r="C899" s="13"/>
      <c r="D899" s="8"/>
      <c r="E899" s="9"/>
      <c r="F899" s="14" t="s">
        <v>12</v>
      </c>
      <c r="G899" s="9" t="s">
        <v>12</v>
      </c>
      <c r="H899" s="9" t="s">
        <v>12</v>
      </c>
      <c r="I899" s="9" t="s">
        <v>12</v>
      </c>
      <c r="J899" s="9" t="s">
        <v>12</v>
      </c>
      <c r="K899" s="9"/>
      <c r="L899" s="9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6"/>
      <c r="B900" s="6"/>
      <c r="C900" s="13"/>
      <c r="D900" s="8"/>
      <c r="E900" s="9"/>
      <c r="F900" s="14" t="s">
        <v>12</v>
      </c>
      <c r="G900" s="9" t="s">
        <v>12</v>
      </c>
      <c r="H900" s="9" t="s">
        <v>12</v>
      </c>
      <c r="I900" s="9" t="s">
        <v>12</v>
      </c>
      <c r="J900" s="9" t="s">
        <v>12</v>
      </c>
      <c r="K900" s="9"/>
      <c r="L900" s="9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6"/>
      <c r="B901" s="6"/>
      <c r="C901" s="13"/>
      <c r="D901" s="8"/>
      <c r="E901" s="9"/>
      <c r="F901" s="14" t="s">
        <v>12</v>
      </c>
      <c r="G901" s="9" t="s">
        <v>12</v>
      </c>
      <c r="H901" s="9" t="s">
        <v>12</v>
      </c>
      <c r="I901" s="9" t="s">
        <v>12</v>
      </c>
      <c r="J901" s="9" t="s">
        <v>12</v>
      </c>
      <c r="K901" s="9"/>
      <c r="L901" s="9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6"/>
      <c r="B902" s="6"/>
      <c r="C902" s="13"/>
      <c r="D902" s="8"/>
      <c r="E902" s="9"/>
      <c r="F902" s="14" t="s">
        <v>12</v>
      </c>
      <c r="G902" s="9" t="s">
        <v>12</v>
      </c>
      <c r="H902" s="9" t="s">
        <v>12</v>
      </c>
      <c r="I902" s="9" t="s">
        <v>12</v>
      </c>
      <c r="J902" s="9" t="s">
        <v>12</v>
      </c>
      <c r="K902" s="9"/>
      <c r="L902" s="9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6"/>
      <c r="B903" s="6"/>
      <c r="C903" s="13"/>
      <c r="D903" s="8"/>
      <c r="E903" s="9"/>
      <c r="F903" s="14" t="s">
        <v>12</v>
      </c>
      <c r="G903" s="9" t="s">
        <v>12</v>
      </c>
      <c r="H903" s="9" t="s">
        <v>12</v>
      </c>
      <c r="I903" s="9" t="s">
        <v>12</v>
      </c>
      <c r="J903" s="9" t="s">
        <v>12</v>
      </c>
      <c r="K903" s="9"/>
      <c r="L903" s="9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6"/>
      <c r="B904" s="6"/>
      <c r="C904" s="13"/>
      <c r="D904" s="8"/>
      <c r="E904" s="9"/>
      <c r="F904" s="14" t="s">
        <v>12</v>
      </c>
      <c r="G904" s="9" t="s">
        <v>12</v>
      </c>
      <c r="H904" s="9" t="s">
        <v>12</v>
      </c>
      <c r="I904" s="9" t="s">
        <v>12</v>
      </c>
      <c r="J904" s="9" t="s">
        <v>12</v>
      </c>
      <c r="K904" s="9"/>
      <c r="L904" s="9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6"/>
      <c r="B905" s="6"/>
      <c r="C905" s="13"/>
      <c r="D905" s="8"/>
      <c r="E905" s="9"/>
      <c r="F905" s="14" t="s">
        <v>12</v>
      </c>
      <c r="G905" s="9" t="s">
        <v>12</v>
      </c>
      <c r="H905" s="9" t="s">
        <v>12</v>
      </c>
      <c r="I905" s="9" t="s">
        <v>12</v>
      </c>
      <c r="J905" s="9" t="s">
        <v>12</v>
      </c>
      <c r="K905" s="9"/>
      <c r="L905" s="9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6"/>
      <c r="B906" s="6"/>
      <c r="C906" s="13"/>
      <c r="D906" s="8"/>
      <c r="E906" s="9"/>
      <c r="F906" s="14" t="s">
        <v>12</v>
      </c>
      <c r="G906" s="9" t="s">
        <v>12</v>
      </c>
      <c r="H906" s="9" t="s">
        <v>12</v>
      </c>
      <c r="I906" s="9" t="s">
        <v>12</v>
      </c>
      <c r="J906" s="9" t="s">
        <v>12</v>
      </c>
      <c r="K906" s="9"/>
      <c r="L906" s="9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6"/>
      <c r="B907" s="6"/>
      <c r="C907" s="13"/>
      <c r="D907" s="8"/>
      <c r="E907" s="9"/>
      <c r="F907" s="14" t="s">
        <v>12</v>
      </c>
      <c r="G907" s="9" t="s">
        <v>12</v>
      </c>
      <c r="H907" s="9" t="s">
        <v>12</v>
      </c>
      <c r="I907" s="9" t="s">
        <v>12</v>
      </c>
      <c r="J907" s="9" t="s">
        <v>12</v>
      </c>
      <c r="K907" s="9"/>
      <c r="L907" s="9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6"/>
      <c r="B908" s="6"/>
      <c r="C908" s="13"/>
      <c r="D908" s="8"/>
      <c r="E908" s="9"/>
      <c r="F908" s="14" t="s">
        <v>12</v>
      </c>
      <c r="G908" s="9" t="s">
        <v>12</v>
      </c>
      <c r="H908" s="9" t="s">
        <v>12</v>
      </c>
      <c r="I908" s="9" t="s">
        <v>12</v>
      </c>
      <c r="J908" s="9" t="s">
        <v>12</v>
      </c>
      <c r="K908" s="9"/>
      <c r="L908" s="9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6"/>
      <c r="B909" s="6"/>
      <c r="C909" s="13"/>
      <c r="D909" s="8"/>
      <c r="E909" s="9"/>
      <c r="F909" s="14" t="s">
        <v>12</v>
      </c>
      <c r="G909" s="9" t="s">
        <v>12</v>
      </c>
      <c r="H909" s="9" t="s">
        <v>12</v>
      </c>
      <c r="I909" s="9" t="s">
        <v>12</v>
      </c>
      <c r="J909" s="9" t="s">
        <v>12</v>
      </c>
      <c r="K909" s="9"/>
      <c r="L909" s="9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6"/>
      <c r="B910" s="6"/>
      <c r="C910" s="13"/>
      <c r="D910" s="8"/>
      <c r="E910" s="9"/>
      <c r="F910" s="14" t="s">
        <v>12</v>
      </c>
      <c r="G910" s="9" t="s">
        <v>12</v>
      </c>
      <c r="H910" s="9" t="s">
        <v>12</v>
      </c>
      <c r="I910" s="9" t="s">
        <v>12</v>
      </c>
      <c r="J910" s="9" t="s">
        <v>12</v>
      </c>
      <c r="K910" s="9"/>
      <c r="L910" s="9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6"/>
      <c r="B911" s="6"/>
      <c r="C911" s="13"/>
      <c r="D911" s="8"/>
      <c r="E911" s="9"/>
      <c r="F911" s="14" t="s">
        <v>12</v>
      </c>
      <c r="G911" s="9" t="s">
        <v>12</v>
      </c>
      <c r="H911" s="9" t="s">
        <v>12</v>
      </c>
      <c r="I911" s="9" t="s">
        <v>12</v>
      </c>
      <c r="J911" s="9" t="s">
        <v>12</v>
      </c>
      <c r="K911" s="9"/>
      <c r="L911" s="9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6"/>
      <c r="B912" s="6"/>
      <c r="C912" s="13"/>
      <c r="D912" s="8"/>
      <c r="E912" s="9"/>
      <c r="F912" s="14" t="s">
        <v>12</v>
      </c>
      <c r="G912" s="9" t="s">
        <v>12</v>
      </c>
      <c r="H912" s="9" t="s">
        <v>12</v>
      </c>
      <c r="I912" s="9" t="s">
        <v>12</v>
      </c>
      <c r="J912" s="9" t="s">
        <v>12</v>
      </c>
      <c r="K912" s="9"/>
      <c r="L912" s="9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6"/>
      <c r="B913" s="6"/>
      <c r="C913" s="13"/>
      <c r="D913" s="8"/>
      <c r="E913" s="9"/>
      <c r="F913" s="14" t="s">
        <v>12</v>
      </c>
      <c r="G913" s="9" t="s">
        <v>12</v>
      </c>
      <c r="H913" s="9" t="s">
        <v>12</v>
      </c>
      <c r="I913" s="9" t="s">
        <v>12</v>
      </c>
      <c r="J913" s="9" t="s">
        <v>12</v>
      </c>
      <c r="K913" s="9"/>
      <c r="L913" s="9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6"/>
      <c r="B914" s="6"/>
      <c r="C914" s="13"/>
      <c r="D914" s="8"/>
      <c r="E914" s="9"/>
      <c r="F914" s="14" t="s">
        <v>12</v>
      </c>
      <c r="G914" s="9" t="s">
        <v>12</v>
      </c>
      <c r="H914" s="9" t="s">
        <v>12</v>
      </c>
      <c r="I914" s="9" t="s">
        <v>12</v>
      </c>
      <c r="J914" s="9" t="s">
        <v>12</v>
      </c>
      <c r="K914" s="9"/>
      <c r="L914" s="9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6"/>
      <c r="B915" s="6"/>
      <c r="C915" s="13"/>
      <c r="D915" s="8"/>
      <c r="E915" s="9"/>
      <c r="F915" s="14" t="s">
        <v>12</v>
      </c>
      <c r="G915" s="9" t="s">
        <v>12</v>
      </c>
      <c r="H915" s="9" t="s">
        <v>12</v>
      </c>
      <c r="I915" s="9" t="s">
        <v>12</v>
      </c>
      <c r="J915" s="9" t="s">
        <v>12</v>
      </c>
      <c r="K915" s="9"/>
      <c r="L915" s="9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6"/>
      <c r="B916" s="6"/>
      <c r="C916" s="13"/>
      <c r="D916" s="8"/>
      <c r="E916" s="9"/>
      <c r="F916" s="14" t="s">
        <v>12</v>
      </c>
      <c r="G916" s="9" t="s">
        <v>12</v>
      </c>
      <c r="H916" s="9" t="s">
        <v>12</v>
      </c>
      <c r="I916" s="9" t="s">
        <v>12</v>
      </c>
      <c r="J916" s="9" t="s">
        <v>12</v>
      </c>
      <c r="K916" s="9"/>
      <c r="L916" s="9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6"/>
      <c r="B917" s="6"/>
      <c r="C917" s="13"/>
      <c r="D917" s="8"/>
      <c r="E917" s="9"/>
      <c r="F917" s="14" t="s">
        <v>12</v>
      </c>
      <c r="G917" s="9" t="s">
        <v>12</v>
      </c>
      <c r="H917" s="9" t="s">
        <v>12</v>
      </c>
      <c r="I917" s="9" t="s">
        <v>12</v>
      </c>
      <c r="J917" s="9" t="s">
        <v>12</v>
      </c>
      <c r="K917" s="9"/>
      <c r="L917" s="9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6"/>
      <c r="B918" s="6"/>
      <c r="C918" s="13"/>
      <c r="D918" s="8"/>
      <c r="E918" s="9"/>
      <c r="F918" s="14" t="s">
        <v>12</v>
      </c>
      <c r="G918" s="9" t="s">
        <v>12</v>
      </c>
      <c r="H918" s="9" t="s">
        <v>12</v>
      </c>
      <c r="I918" s="9" t="s">
        <v>12</v>
      </c>
      <c r="J918" s="9" t="s">
        <v>12</v>
      </c>
      <c r="K918" s="9"/>
      <c r="L918" s="9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6"/>
      <c r="B919" s="6"/>
      <c r="C919" s="13"/>
      <c r="D919" s="8"/>
      <c r="E919" s="9"/>
      <c r="F919" s="14" t="s">
        <v>12</v>
      </c>
      <c r="G919" s="9" t="s">
        <v>12</v>
      </c>
      <c r="H919" s="9" t="s">
        <v>12</v>
      </c>
      <c r="I919" s="9" t="s">
        <v>12</v>
      </c>
      <c r="J919" s="9" t="s">
        <v>12</v>
      </c>
      <c r="K919" s="9"/>
      <c r="L919" s="9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6"/>
      <c r="B920" s="6"/>
      <c r="C920" s="13"/>
      <c r="D920" s="8"/>
      <c r="E920" s="9"/>
      <c r="F920" s="14" t="s">
        <v>12</v>
      </c>
      <c r="G920" s="9" t="s">
        <v>12</v>
      </c>
      <c r="H920" s="9" t="s">
        <v>12</v>
      </c>
      <c r="I920" s="9" t="s">
        <v>12</v>
      </c>
      <c r="J920" s="9" t="s">
        <v>12</v>
      </c>
      <c r="K920" s="9"/>
      <c r="L920" s="9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6"/>
      <c r="B921" s="6"/>
      <c r="C921" s="13"/>
      <c r="D921" s="8"/>
      <c r="E921" s="9"/>
      <c r="F921" s="14" t="s">
        <v>12</v>
      </c>
      <c r="G921" s="9" t="s">
        <v>12</v>
      </c>
      <c r="H921" s="9" t="s">
        <v>12</v>
      </c>
      <c r="I921" s="9" t="s">
        <v>12</v>
      </c>
      <c r="J921" s="9" t="s">
        <v>12</v>
      </c>
      <c r="K921" s="9"/>
      <c r="L921" s="9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6"/>
      <c r="B922" s="6"/>
      <c r="C922" s="13"/>
      <c r="D922" s="8"/>
      <c r="E922" s="9"/>
      <c r="F922" s="14" t="s">
        <v>12</v>
      </c>
      <c r="G922" s="9" t="s">
        <v>12</v>
      </c>
      <c r="H922" s="9" t="s">
        <v>12</v>
      </c>
      <c r="I922" s="9" t="s">
        <v>12</v>
      </c>
      <c r="J922" s="9" t="s">
        <v>12</v>
      </c>
      <c r="K922" s="9"/>
      <c r="L922" s="9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6"/>
      <c r="B923" s="6"/>
      <c r="C923" s="13"/>
      <c r="D923" s="8"/>
      <c r="E923" s="9"/>
      <c r="F923" s="14" t="s">
        <v>12</v>
      </c>
      <c r="G923" s="9" t="s">
        <v>12</v>
      </c>
      <c r="H923" s="9" t="s">
        <v>12</v>
      </c>
      <c r="I923" s="9" t="s">
        <v>12</v>
      </c>
      <c r="J923" s="9" t="s">
        <v>12</v>
      </c>
      <c r="K923" s="9"/>
      <c r="L923" s="9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6"/>
      <c r="B924" s="6"/>
      <c r="C924" s="13"/>
      <c r="D924" s="8"/>
      <c r="E924" s="9"/>
      <c r="F924" s="14" t="s">
        <v>12</v>
      </c>
      <c r="G924" s="9" t="s">
        <v>12</v>
      </c>
      <c r="H924" s="9" t="s">
        <v>12</v>
      </c>
      <c r="I924" s="9" t="s">
        <v>12</v>
      </c>
      <c r="J924" s="9" t="s">
        <v>12</v>
      </c>
      <c r="K924" s="9"/>
      <c r="L924" s="9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6"/>
      <c r="B925" s="6"/>
      <c r="C925" s="13"/>
      <c r="D925" s="8"/>
      <c r="E925" s="9"/>
      <c r="F925" s="14" t="s">
        <v>12</v>
      </c>
      <c r="G925" s="9" t="s">
        <v>12</v>
      </c>
      <c r="H925" s="9" t="s">
        <v>12</v>
      </c>
      <c r="I925" s="9" t="s">
        <v>12</v>
      </c>
      <c r="J925" s="9" t="s">
        <v>12</v>
      </c>
      <c r="K925" s="9"/>
      <c r="L925" s="9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6"/>
      <c r="B926" s="6"/>
      <c r="C926" s="13"/>
      <c r="D926" s="8"/>
      <c r="E926" s="9"/>
      <c r="F926" s="14" t="s">
        <v>12</v>
      </c>
      <c r="G926" s="9" t="s">
        <v>12</v>
      </c>
      <c r="H926" s="9" t="s">
        <v>12</v>
      </c>
      <c r="I926" s="9" t="s">
        <v>12</v>
      </c>
      <c r="J926" s="9" t="s">
        <v>12</v>
      </c>
      <c r="K926" s="9"/>
      <c r="L926" s="9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6"/>
      <c r="B927" s="6"/>
      <c r="C927" s="13"/>
      <c r="D927" s="8"/>
      <c r="E927" s="9"/>
      <c r="F927" s="14" t="s">
        <v>12</v>
      </c>
      <c r="G927" s="9" t="s">
        <v>12</v>
      </c>
      <c r="H927" s="9" t="s">
        <v>12</v>
      </c>
      <c r="I927" s="9" t="s">
        <v>12</v>
      </c>
      <c r="J927" s="9" t="s">
        <v>12</v>
      </c>
      <c r="K927" s="9"/>
      <c r="L927" s="9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6"/>
      <c r="B928" s="6"/>
      <c r="C928" s="13"/>
      <c r="D928" s="8"/>
      <c r="E928" s="9"/>
      <c r="F928" s="14" t="s">
        <v>12</v>
      </c>
      <c r="G928" s="9" t="s">
        <v>12</v>
      </c>
      <c r="H928" s="9" t="s">
        <v>12</v>
      </c>
      <c r="I928" s="9" t="s">
        <v>12</v>
      </c>
      <c r="J928" s="9" t="s">
        <v>12</v>
      </c>
      <c r="K928" s="9"/>
      <c r="L928" s="9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6"/>
      <c r="B929" s="6"/>
      <c r="C929" s="13"/>
      <c r="D929" s="8"/>
      <c r="E929" s="9"/>
      <c r="F929" s="14" t="s">
        <v>12</v>
      </c>
      <c r="G929" s="9" t="s">
        <v>12</v>
      </c>
      <c r="H929" s="9" t="s">
        <v>12</v>
      </c>
      <c r="I929" s="9" t="s">
        <v>12</v>
      </c>
      <c r="J929" s="9" t="s">
        <v>12</v>
      </c>
      <c r="K929" s="9"/>
      <c r="L929" s="9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6"/>
      <c r="B930" s="6"/>
      <c r="C930" s="13"/>
      <c r="D930" s="8"/>
      <c r="E930" s="9"/>
      <c r="F930" s="14" t="s">
        <v>12</v>
      </c>
      <c r="G930" s="9" t="s">
        <v>12</v>
      </c>
      <c r="H930" s="9" t="s">
        <v>12</v>
      </c>
      <c r="I930" s="9" t="s">
        <v>12</v>
      </c>
      <c r="J930" s="9" t="s">
        <v>12</v>
      </c>
      <c r="K930" s="9"/>
      <c r="L930" s="9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6"/>
      <c r="B931" s="6"/>
      <c r="C931" s="13"/>
      <c r="D931" s="8"/>
      <c r="E931" s="9"/>
      <c r="F931" s="14" t="s">
        <v>12</v>
      </c>
      <c r="G931" s="9" t="s">
        <v>12</v>
      </c>
      <c r="H931" s="9" t="s">
        <v>12</v>
      </c>
      <c r="I931" s="9" t="s">
        <v>12</v>
      </c>
      <c r="J931" s="9" t="s">
        <v>12</v>
      </c>
      <c r="K931" s="9"/>
      <c r="L931" s="9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6"/>
      <c r="B932" s="6"/>
      <c r="C932" s="13"/>
      <c r="D932" s="8"/>
      <c r="E932" s="9"/>
      <c r="F932" s="14" t="s">
        <v>12</v>
      </c>
      <c r="G932" s="9" t="s">
        <v>12</v>
      </c>
      <c r="H932" s="9" t="s">
        <v>12</v>
      </c>
      <c r="I932" s="9" t="s">
        <v>12</v>
      </c>
      <c r="J932" s="9" t="s">
        <v>12</v>
      </c>
      <c r="K932" s="9"/>
      <c r="L932" s="9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6"/>
      <c r="B933" s="6"/>
      <c r="C933" s="13"/>
      <c r="D933" s="8"/>
      <c r="E933" s="9"/>
      <c r="F933" s="14" t="s">
        <v>12</v>
      </c>
      <c r="G933" s="9" t="s">
        <v>12</v>
      </c>
      <c r="H933" s="9" t="s">
        <v>12</v>
      </c>
      <c r="I933" s="9" t="s">
        <v>12</v>
      </c>
      <c r="J933" s="9" t="s">
        <v>12</v>
      </c>
      <c r="K933" s="9"/>
      <c r="L933" s="9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6"/>
      <c r="B934" s="6"/>
      <c r="C934" s="13"/>
      <c r="D934" s="8"/>
      <c r="E934" s="9"/>
      <c r="F934" s="14" t="s">
        <v>12</v>
      </c>
      <c r="G934" s="9" t="s">
        <v>12</v>
      </c>
      <c r="H934" s="9" t="s">
        <v>12</v>
      </c>
      <c r="I934" s="9" t="s">
        <v>12</v>
      </c>
      <c r="J934" s="9" t="s">
        <v>12</v>
      </c>
      <c r="K934" s="9"/>
      <c r="L934" s="9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6"/>
      <c r="B935" s="6"/>
      <c r="C935" s="13"/>
      <c r="D935" s="8"/>
      <c r="E935" s="9"/>
      <c r="F935" s="14" t="s">
        <v>12</v>
      </c>
      <c r="G935" s="9" t="s">
        <v>12</v>
      </c>
      <c r="H935" s="9" t="s">
        <v>12</v>
      </c>
      <c r="I935" s="9" t="s">
        <v>12</v>
      </c>
      <c r="J935" s="9" t="s">
        <v>12</v>
      </c>
      <c r="K935" s="9"/>
      <c r="L935" s="9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6"/>
      <c r="B936" s="6"/>
      <c r="C936" s="13"/>
      <c r="D936" s="8"/>
      <c r="E936" s="9"/>
      <c r="F936" s="14" t="s">
        <v>12</v>
      </c>
      <c r="G936" s="9" t="s">
        <v>12</v>
      </c>
      <c r="H936" s="9" t="s">
        <v>12</v>
      </c>
      <c r="I936" s="9" t="s">
        <v>12</v>
      </c>
      <c r="J936" s="9" t="s">
        <v>12</v>
      </c>
      <c r="K936" s="9"/>
      <c r="L936" s="9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6"/>
      <c r="B937" s="6"/>
      <c r="C937" s="13"/>
      <c r="D937" s="8"/>
      <c r="E937" s="9"/>
      <c r="F937" s="14" t="s">
        <v>12</v>
      </c>
      <c r="G937" s="9" t="s">
        <v>12</v>
      </c>
      <c r="H937" s="9" t="s">
        <v>12</v>
      </c>
      <c r="I937" s="9" t="s">
        <v>12</v>
      </c>
      <c r="J937" s="9" t="s">
        <v>12</v>
      </c>
      <c r="K937" s="9"/>
      <c r="L937" s="9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6"/>
      <c r="B938" s="6"/>
      <c r="C938" s="13"/>
      <c r="D938" s="8"/>
      <c r="E938" s="9"/>
      <c r="F938" s="14" t="s">
        <v>12</v>
      </c>
      <c r="G938" s="9" t="s">
        <v>12</v>
      </c>
      <c r="H938" s="9" t="s">
        <v>12</v>
      </c>
      <c r="I938" s="9" t="s">
        <v>12</v>
      </c>
      <c r="J938" s="9" t="s">
        <v>12</v>
      </c>
      <c r="K938" s="9"/>
      <c r="L938" s="9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6"/>
      <c r="B939" s="6"/>
      <c r="C939" s="13"/>
      <c r="D939" s="8"/>
      <c r="E939" s="9"/>
      <c r="F939" s="14" t="s">
        <v>12</v>
      </c>
      <c r="G939" s="9" t="s">
        <v>12</v>
      </c>
      <c r="H939" s="9" t="s">
        <v>12</v>
      </c>
      <c r="I939" s="9" t="s">
        <v>12</v>
      </c>
      <c r="J939" s="9" t="s">
        <v>12</v>
      </c>
      <c r="K939" s="9"/>
      <c r="L939" s="9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6"/>
      <c r="B940" s="6"/>
      <c r="C940" s="13"/>
      <c r="D940" s="8"/>
      <c r="E940" s="9"/>
      <c r="F940" s="14" t="s">
        <v>12</v>
      </c>
      <c r="G940" s="9" t="s">
        <v>12</v>
      </c>
      <c r="H940" s="9" t="s">
        <v>12</v>
      </c>
      <c r="I940" s="9" t="s">
        <v>12</v>
      </c>
      <c r="J940" s="9" t="s">
        <v>12</v>
      </c>
      <c r="K940" s="9"/>
      <c r="L940" s="9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6"/>
      <c r="B941" s="6"/>
      <c r="C941" s="13"/>
      <c r="D941" s="8"/>
      <c r="E941" s="9"/>
      <c r="F941" s="14" t="s">
        <v>12</v>
      </c>
      <c r="G941" s="9" t="s">
        <v>12</v>
      </c>
      <c r="H941" s="9" t="s">
        <v>12</v>
      </c>
      <c r="I941" s="9" t="s">
        <v>12</v>
      </c>
      <c r="J941" s="9" t="s">
        <v>12</v>
      </c>
      <c r="K941" s="9"/>
      <c r="L941" s="9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6"/>
      <c r="B942" s="6"/>
      <c r="C942" s="13"/>
      <c r="D942" s="8"/>
      <c r="E942" s="9"/>
      <c r="F942" s="14" t="s">
        <v>12</v>
      </c>
      <c r="G942" s="9" t="s">
        <v>12</v>
      </c>
      <c r="H942" s="9" t="s">
        <v>12</v>
      </c>
      <c r="I942" s="9" t="s">
        <v>12</v>
      </c>
      <c r="J942" s="9" t="s">
        <v>12</v>
      </c>
      <c r="K942" s="9"/>
      <c r="L942" s="9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6"/>
      <c r="B943" s="6"/>
      <c r="C943" s="13"/>
      <c r="D943" s="8"/>
      <c r="E943" s="9"/>
      <c r="F943" s="14" t="s">
        <v>12</v>
      </c>
      <c r="G943" s="9" t="s">
        <v>12</v>
      </c>
      <c r="H943" s="9" t="s">
        <v>12</v>
      </c>
      <c r="I943" s="9" t="s">
        <v>12</v>
      </c>
      <c r="J943" s="9" t="s">
        <v>12</v>
      </c>
      <c r="K943" s="9"/>
      <c r="L943" s="9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6"/>
      <c r="B944" s="6"/>
      <c r="C944" s="13"/>
      <c r="D944" s="8"/>
      <c r="E944" s="9"/>
      <c r="F944" s="14" t="s">
        <v>12</v>
      </c>
      <c r="G944" s="9" t="s">
        <v>12</v>
      </c>
      <c r="H944" s="9" t="s">
        <v>12</v>
      </c>
      <c r="I944" s="9" t="s">
        <v>12</v>
      </c>
      <c r="J944" s="9" t="s">
        <v>12</v>
      </c>
      <c r="K944" s="9"/>
      <c r="L944" s="9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6"/>
      <c r="B945" s="6"/>
      <c r="C945" s="13"/>
      <c r="D945" s="8"/>
      <c r="E945" s="9"/>
      <c r="F945" s="14" t="s">
        <v>12</v>
      </c>
      <c r="G945" s="9" t="s">
        <v>12</v>
      </c>
      <c r="H945" s="9" t="s">
        <v>12</v>
      </c>
      <c r="I945" s="9" t="s">
        <v>12</v>
      </c>
      <c r="J945" s="9" t="s">
        <v>12</v>
      </c>
      <c r="K945" s="9"/>
      <c r="L945" s="9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6"/>
      <c r="B946" s="6"/>
      <c r="C946" s="13"/>
      <c r="D946" s="8"/>
      <c r="E946" s="9"/>
      <c r="F946" s="14" t="s">
        <v>12</v>
      </c>
      <c r="G946" s="9" t="s">
        <v>12</v>
      </c>
      <c r="H946" s="9" t="s">
        <v>12</v>
      </c>
      <c r="I946" s="9" t="s">
        <v>12</v>
      </c>
      <c r="J946" s="9" t="s">
        <v>12</v>
      </c>
      <c r="K946" s="9"/>
      <c r="L946" s="9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6"/>
      <c r="B947" s="6"/>
      <c r="C947" s="13"/>
      <c r="D947" s="8"/>
      <c r="E947" s="9"/>
      <c r="F947" s="14" t="s">
        <v>12</v>
      </c>
      <c r="G947" s="9" t="s">
        <v>12</v>
      </c>
      <c r="H947" s="9" t="s">
        <v>12</v>
      </c>
      <c r="I947" s="9" t="s">
        <v>12</v>
      </c>
      <c r="J947" s="9" t="s">
        <v>12</v>
      </c>
      <c r="K947" s="9"/>
      <c r="L947" s="9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6"/>
      <c r="B948" s="6"/>
      <c r="C948" s="13"/>
      <c r="D948" s="8"/>
      <c r="E948" s="9"/>
      <c r="F948" s="14" t="s">
        <v>12</v>
      </c>
      <c r="G948" s="9" t="s">
        <v>12</v>
      </c>
      <c r="H948" s="9" t="s">
        <v>12</v>
      </c>
      <c r="I948" s="9" t="s">
        <v>12</v>
      </c>
      <c r="J948" s="9" t="s">
        <v>12</v>
      </c>
      <c r="K948" s="9"/>
      <c r="L948" s="9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6"/>
      <c r="B949" s="6"/>
      <c r="C949" s="13"/>
      <c r="D949" s="8"/>
      <c r="E949" s="9"/>
      <c r="F949" s="14" t="s">
        <v>12</v>
      </c>
      <c r="G949" s="9" t="s">
        <v>12</v>
      </c>
      <c r="H949" s="9" t="s">
        <v>12</v>
      </c>
      <c r="I949" s="9" t="s">
        <v>12</v>
      </c>
      <c r="J949" s="9" t="s">
        <v>12</v>
      </c>
      <c r="K949" s="9"/>
      <c r="L949" s="9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6"/>
      <c r="B950" s="6"/>
      <c r="C950" s="13"/>
      <c r="D950" s="8"/>
      <c r="E950" s="9"/>
      <c r="F950" s="14" t="s">
        <v>12</v>
      </c>
      <c r="G950" s="9" t="s">
        <v>12</v>
      </c>
      <c r="H950" s="9" t="s">
        <v>12</v>
      </c>
      <c r="I950" s="9" t="s">
        <v>12</v>
      </c>
      <c r="J950" s="9" t="s">
        <v>12</v>
      </c>
      <c r="K950" s="9"/>
      <c r="L950" s="9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6"/>
      <c r="B951" s="6"/>
      <c r="C951" s="13"/>
      <c r="D951" s="8"/>
      <c r="E951" s="9"/>
      <c r="F951" s="14" t="s">
        <v>12</v>
      </c>
      <c r="G951" s="9" t="s">
        <v>12</v>
      </c>
      <c r="H951" s="9" t="s">
        <v>12</v>
      </c>
      <c r="I951" s="9" t="s">
        <v>12</v>
      </c>
      <c r="J951" s="9" t="s">
        <v>12</v>
      </c>
      <c r="K951" s="9"/>
      <c r="L951" s="9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6"/>
      <c r="B952" s="6"/>
      <c r="C952" s="13"/>
      <c r="D952" s="8"/>
      <c r="E952" s="9"/>
      <c r="F952" s="14" t="s">
        <v>12</v>
      </c>
      <c r="G952" s="9" t="s">
        <v>12</v>
      </c>
      <c r="H952" s="9" t="s">
        <v>12</v>
      </c>
      <c r="I952" s="9" t="s">
        <v>12</v>
      </c>
      <c r="J952" s="9" t="s">
        <v>12</v>
      </c>
      <c r="K952" s="9"/>
      <c r="L952" s="9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6"/>
      <c r="B953" s="6"/>
      <c r="C953" s="13"/>
      <c r="D953" s="8"/>
      <c r="E953" s="9"/>
      <c r="F953" s="14" t="s">
        <v>12</v>
      </c>
      <c r="G953" s="9" t="s">
        <v>12</v>
      </c>
      <c r="H953" s="9" t="s">
        <v>12</v>
      </c>
      <c r="I953" s="9" t="s">
        <v>12</v>
      </c>
      <c r="J953" s="9" t="s">
        <v>12</v>
      </c>
      <c r="K953" s="9"/>
      <c r="L953" s="9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6"/>
      <c r="B954" s="6"/>
      <c r="C954" s="13"/>
      <c r="D954" s="8"/>
      <c r="E954" s="9"/>
      <c r="F954" s="14" t="s">
        <v>12</v>
      </c>
      <c r="G954" s="9" t="s">
        <v>12</v>
      </c>
      <c r="H954" s="9" t="s">
        <v>12</v>
      </c>
      <c r="I954" s="9" t="s">
        <v>12</v>
      </c>
      <c r="J954" s="9" t="s">
        <v>12</v>
      </c>
      <c r="K954" s="9"/>
      <c r="L954" s="9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6"/>
      <c r="B955" s="6"/>
      <c r="C955" s="13"/>
      <c r="D955" s="8"/>
      <c r="E955" s="9"/>
      <c r="F955" s="14" t="s">
        <v>12</v>
      </c>
      <c r="G955" s="9" t="s">
        <v>12</v>
      </c>
      <c r="H955" s="9" t="s">
        <v>12</v>
      </c>
      <c r="I955" s="9" t="s">
        <v>12</v>
      </c>
      <c r="J955" s="9" t="s">
        <v>12</v>
      </c>
      <c r="K955" s="9"/>
      <c r="L955" s="9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6"/>
      <c r="B956" s="6"/>
      <c r="C956" s="13"/>
      <c r="D956" s="8"/>
      <c r="E956" s="9"/>
      <c r="F956" s="14" t="s">
        <v>12</v>
      </c>
      <c r="G956" s="9" t="s">
        <v>12</v>
      </c>
      <c r="H956" s="9" t="s">
        <v>12</v>
      </c>
      <c r="I956" s="9" t="s">
        <v>12</v>
      </c>
      <c r="J956" s="9" t="s">
        <v>12</v>
      </c>
      <c r="K956" s="9"/>
      <c r="L956" s="9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6"/>
      <c r="B957" s="6"/>
      <c r="C957" s="13"/>
      <c r="D957" s="8"/>
      <c r="E957" s="9"/>
      <c r="F957" s="14" t="s">
        <v>12</v>
      </c>
      <c r="G957" s="9" t="s">
        <v>12</v>
      </c>
      <c r="H957" s="9" t="s">
        <v>12</v>
      </c>
      <c r="I957" s="9" t="s">
        <v>12</v>
      </c>
      <c r="J957" s="9" t="s">
        <v>12</v>
      </c>
      <c r="K957" s="9"/>
      <c r="L957" s="9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6"/>
      <c r="B958" s="6"/>
      <c r="C958" s="13"/>
      <c r="D958" s="8"/>
      <c r="E958" s="9"/>
      <c r="F958" s="14" t="s">
        <v>12</v>
      </c>
      <c r="G958" s="9" t="s">
        <v>12</v>
      </c>
      <c r="H958" s="9" t="s">
        <v>12</v>
      </c>
      <c r="I958" s="9" t="s">
        <v>12</v>
      </c>
      <c r="J958" s="9" t="s">
        <v>12</v>
      </c>
      <c r="K958" s="9"/>
      <c r="L958" s="9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6"/>
      <c r="B959" s="6"/>
      <c r="C959" s="13"/>
      <c r="D959" s="8"/>
      <c r="E959" s="9"/>
      <c r="F959" s="14" t="s">
        <v>12</v>
      </c>
      <c r="G959" s="9" t="s">
        <v>12</v>
      </c>
      <c r="H959" s="9" t="s">
        <v>12</v>
      </c>
      <c r="I959" s="9" t="s">
        <v>12</v>
      </c>
      <c r="J959" s="9" t="s">
        <v>12</v>
      </c>
      <c r="K959" s="9"/>
      <c r="L959" s="9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6"/>
      <c r="B960" s="6"/>
      <c r="C960" s="13"/>
      <c r="D960" s="8"/>
      <c r="E960" s="9"/>
      <c r="F960" s="14" t="s">
        <v>12</v>
      </c>
      <c r="G960" s="9" t="s">
        <v>12</v>
      </c>
      <c r="H960" s="9" t="s">
        <v>12</v>
      </c>
      <c r="I960" s="9" t="s">
        <v>12</v>
      </c>
      <c r="J960" s="9" t="s">
        <v>12</v>
      </c>
      <c r="K960" s="9"/>
      <c r="L960" s="9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6"/>
      <c r="B961" s="6"/>
      <c r="C961" s="13"/>
      <c r="D961" s="8"/>
      <c r="E961" s="9"/>
      <c r="F961" s="14" t="s">
        <v>12</v>
      </c>
      <c r="G961" s="9" t="s">
        <v>12</v>
      </c>
      <c r="H961" s="9" t="s">
        <v>12</v>
      </c>
      <c r="I961" s="9" t="s">
        <v>12</v>
      </c>
      <c r="J961" s="9" t="s">
        <v>12</v>
      </c>
      <c r="K961" s="9"/>
      <c r="L961" s="9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6"/>
      <c r="B962" s="6"/>
      <c r="C962" s="13"/>
      <c r="D962" s="8"/>
      <c r="E962" s="9"/>
      <c r="F962" s="14" t="s">
        <v>12</v>
      </c>
      <c r="G962" s="9" t="s">
        <v>12</v>
      </c>
      <c r="H962" s="9" t="s">
        <v>12</v>
      </c>
      <c r="I962" s="9" t="s">
        <v>12</v>
      </c>
      <c r="J962" s="9" t="s">
        <v>12</v>
      </c>
      <c r="K962" s="9"/>
      <c r="L962" s="9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6"/>
      <c r="B963" s="6"/>
      <c r="C963" s="13"/>
      <c r="D963" s="8"/>
      <c r="E963" s="9"/>
      <c r="F963" s="14" t="s">
        <v>12</v>
      </c>
      <c r="G963" s="9" t="s">
        <v>12</v>
      </c>
      <c r="H963" s="9" t="s">
        <v>12</v>
      </c>
      <c r="I963" s="9" t="s">
        <v>12</v>
      </c>
      <c r="J963" s="9" t="s">
        <v>12</v>
      </c>
      <c r="K963" s="9"/>
      <c r="L963" s="9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6"/>
      <c r="B964" s="6"/>
      <c r="C964" s="13"/>
      <c r="D964" s="8"/>
      <c r="E964" s="9"/>
      <c r="F964" s="14" t="s">
        <v>12</v>
      </c>
      <c r="G964" s="9" t="s">
        <v>12</v>
      </c>
      <c r="H964" s="9" t="s">
        <v>12</v>
      </c>
      <c r="I964" s="9" t="s">
        <v>12</v>
      </c>
      <c r="J964" s="9" t="s">
        <v>12</v>
      </c>
      <c r="K964" s="9"/>
      <c r="L964" s="9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6"/>
      <c r="B965" s="6"/>
      <c r="C965" s="13"/>
      <c r="D965" s="8"/>
      <c r="E965" s="9"/>
      <c r="F965" s="14" t="s">
        <v>12</v>
      </c>
      <c r="G965" s="9" t="s">
        <v>12</v>
      </c>
      <c r="H965" s="9" t="s">
        <v>12</v>
      </c>
      <c r="I965" s="9" t="s">
        <v>12</v>
      </c>
      <c r="J965" s="9" t="s">
        <v>12</v>
      </c>
      <c r="K965" s="9"/>
      <c r="L965" s="9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6"/>
      <c r="B966" s="6"/>
      <c r="C966" s="13"/>
      <c r="D966" s="8"/>
      <c r="E966" s="9"/>
      <c r="F966" s="14" t="s">
        <v>12</v>
      </c>
      <c r="G966" s="9" t="s">
        <v>12</v>
      </c>
      <c r="H966" s="9" t="s">
        <v>12</v>
      </c>
      <c r="I966" s="9" t="s">
        <v>12</v>
      </c>
      <c r="J966" s="9" t="s">
        <v>12</v>
      </c>
      <c r="K966" s="9"/>
      <c r="L966" s="9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6"/>
      <c r="B967" s="6"/>
      <c r="C967" s="13"/>
      <c r="D967" s="8"/>
      <c r="E967" s="9"/>
      <c r="F967" s="14" t="s">
        <v>12</v>
      </c>
      <c r="G967" s="9" t="s">
        <v>12</v>
      </c>
      <c r="H967" s="9" t="s">
        <v>12</v>
      </c>
      <c r="I967" s="9" t="s">
        <v>12</v>
      </c>
      <c r="J967" s="9" t="s">
        <v>12</v>
      </c>
      <c r="K967" s="9"/>
      <c r="L967" s="9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6"/>
      <c r="B968" s="6"/>
      <c r="C968" s="13"/>
      <c r="D968" s="8"/>
      <c r="E968" s="9"/>
      <c r="F968" s="14" t="s">
        <v>12</v>
      </c>
      <c r="G968" s="9" t="s">
        <v>12</v>
      </c>
      <c r="H968" s="9" t="s">
        <v>12</v>
      </c>
      <c r="I968" s="9" t="s">
        <v>12</v>
      </c>
      <c r="J968" s="9" t="s">
        <v>12</v>
      </c>
      <c r="K968" s="9"/>
      <c r="L968" s="9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6"/>
      <c r="B969" s="6"/>
      <c r="C969" s="13"/>
      <c r="D969" s="8"/>
      <c r="E969" s="9"/>
      <c r="F969" s="14" t="s">
        <v>12</v>
      </c>
      <c r="G969" s="9" t="s">
        <v>12</v>
      </c>
      <c r="H969" s="9" t="s">
        <v>12</v>
      </c>
      <c r="I969" s="9" t="s">
        <v>12</v>
      </c>
      <c r="J969" s="9" t="s">
        <v>12</v>
      </c>
      <c r="K969" s="9"/>
      <c r="L969" s="9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6"/>
      <c r="B970" s="6"/>
      <c r="C970" s="13"/>
      <c r="D970" s="8"/>
      <c r="E970" s="9"/>
      <c r="F970" s="14" t="s">
        <v>12</v>
      </c>
      <c r="G970" s="9" t="s">
        <v>12</v>
      </c>
      <c r="H970" s="9" t="s">
        <v>12</v>
      </c>
      <c r="I970" s="9" t="s">
        <v>12</v>
      </c>
      <c r="J970" s="9" t="s">
        <v>12</v>
      </c>
      <c r="K970" s="9"/>
      <c r="L970" s="9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6"/>
      <c r="B971" s="6"/>
      <c r="C971" s="13"/>
      <c r="D971" s="8"/>
      <c r="E971" s="9"/>
      <c r="F971" s="14" t="s">
        <v>12</v>
      </c>
      <c r="G971" s="9" t="s">
        <v>12</v>
      </c>
      <c r="H971" s="9" t="s">
        <v>12</v>
      </c>
      <c r="I971" s="9" t="s">
        <v>12</v>
      </c>
      <c r="J971" s="9" t="s">
        <v>12</v>
      </c>
      <c r="K971" s="9"/>
      <c r="L971" s="9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6"/>
      <c r="B972" s="6"/>
      <c r="C972" s="13"/>
      <c r="D972" s="8"/>
      <c r="E972" s="9"/>
      <c r="F972" s="14" t="s">
        <v>12</v>
      </c>
      <c r="G972" s="9" t="s">
        <v>12</v>
      </c>
      <c r="H972" s="9" t="s">
        <v>12</v>
      </c>
      <c r="I972" s="9" t="s">
        <v>12</v>
      </c>
      <c r="J972" s="9" t="s">
        <v>12</v>
      </c>
      <c r="K972" s="9"/>
      <c r="L972" s="9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6"/>
      <c r="B973" s="6"/>
      <c r="C973" s="13"/>
      <c r="D973" s="8"/>
      <c r="E973" s="9"/>
      <c r="F973" s="14" t="s">
        <v>12</v>
      </c>
      <c r="G973" s="9" t="s">
        <v>12</v>
      </c>
      <c r="H973" s="9" t="s">
        <v>12</v>
      </c>
      <c r="I973" s="9" t="s">
        <v>12</v>
      </c>
      <c r="J973" s="9" t="s">
        <v>12</v>
      </c>
      <c r="K973" s="9"/>
      <c r="L973" s="9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6"/>
      <c r="B974" s="6"/>
      <c r="C974" s="13"/>
      <c r="D974" s="8"/>
      <c r="E974" s="9"/>
      <c r="F974" s="14" t="s">
        <v>12</v>
      </c>
      <c r="G974" s="9" t="s">
        <v>12</v>
      </c>
      <c r="H974" s="9" t="s">
        <v>12</v>
      </c>
      <c r="I974" s="9" t="s">
        <v>12</v>
      </c>
      <c r="J974" s="9" t="s">
        <v>12</v>
      </c>
      <c r="K974" s="9"/>
      <c r="L974" s="9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6"/>
      <c r="B975" s="6"/>
      <c r="C975" s="13"/>
      <c r="D975" s="8"/>
      <c r="E975" s="9"/>
      <c r="F975" s="14" t="s">
        <v>12</v>
      </c>
      <c r="G975" s="9" t="s">
        <v>12</v>
      </c>
      <c r="H975" s="9" t="s">
        <v>12</v>
      </c>
      <c r="I975" s="9" t="s">
        <v>12</v>
      </c>
      <c r="J975" s="9" t="s">
        <v>12</v>
      </c>
      <c r="K975" s="9"/>
      <c r="L975" s="9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6"/>
      <c r="B976" s="6"/>
      <c r="C976" s="13"/>
      <c r="D976" s="8"/>
      <c r="E976" s="9"/>
      <c r="F976" s="14" t="s">
        <v>12</v>
      </c>
      <c r="G976" s="9" t="s">
        <v>12</v>
      </c>
      <c r="H976" s="9" t="s">
        <v>12</v>
      </c>
      <c r="I976" s="9" t="s">
        <v>12</v>
      </c>
      <c r="J976" s="9" t="s">
        <v>12</v>
      </c>
      <c r="K976" s="9"/>
      <c r="L976" s="9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6"/>
      <c r="B977" s="6"/>
      <c r="C977" s="13"/>
      <c r="D977" s="8"/>
      <c r="E977" s="9"/>
      <c r="F977" s="14" t="s">
        <v>12</v>
      </c>
      <c r="G977" s="9" t="s">
        <v>12</v>
      </c>
      <c r="H977" s="9" t="s">
        <v>12</v>
      </c>
      <c r="I977" s="9" t="s">
        <v>12</v>
      </c>
      <c r="J977" s="9" t="s">
        <v>12</v>
      </c>
      <c r="K977" s="9"/>
      <c r="L977" s="9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6"/>
      <c r="B978" s="6"/>
      <c r="C978" s="13"/>
      <c r="D978" s="8"/>
      <c r="E978" s="9"/>
      <c r="F978" s="14" t="s">
        <v>12</v>
      </c>
      <c r="G978" s="9" t="s">
        <v>12</v>
      </c>
      <c r="H978" s="9" t="s">
        <v>12</v>
      </c>
      <c r="I978" s="9" t="s">
        <v>12</v>
      </c>
      <c r="J978" s="9" t="s">
        <v>12</v>
      </c>
      <c r="K978" s="9"/>
      <c r="L978" s="9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6"/>
      <c r="B979" s="6"/>
      <c r="C979" s="13"/>
      <c r="D979" s="8"/>
      <c r="E979" s="9"/>
      <c r="F979" s="14" t="s">
        <v>12</v>
      </c>
      <c r="G979" s="9" t="s">
        <v>12</v>
      </c>
      <c r="H979" s="9" t="s">
        <v>12</v>
      </c>
      <c r="I979" s="9" t="s">
        <v>12</v>
      </c>
      <c r="J979" s="9" t="s">
        <v>12</v>
      </c>
      <c r="K979" s="9"/>
      <c r="L979" s="9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6"/>
      <c r="B980" s="6"/>
      <c r="C980" s="13"/>
      <c r="D980" s="8"/>
      <c r="E980" s="9"/>
      <c r="F980" s="14" t="s">
        <v>12</v>
      </c>
      <c r="G980" s="9" t="s">
        <v>12</v>
      </c>
      <c r="H980" s="9" t="s">
        <v>12</v>
      </c>
      <c r="I980" s="9" t="s">
        <v>12</v>
      </c>
      <c r="J980" s="9" t="s">
        <v>12</v>
      </c>
      <c r="K980" s="9"/>
      <c r="L980" s="9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6"/>
      <c r="B981" s="6"/>
      <c r="C981" s="13"/>
      <c r="D981" s="8"/>
      <c r="E981" s="9"/>
      <c r="F981" s="14" t="s">
        <v>12</v>
      </c>
      <c r="G981" s="9" t="s">
        <v>12</v>
      </c>
      <c r="H981" s="9" t="s">
        <v>12</v>
      </c>
      <c r="I981" s="9" t="s">
        <v>12</v>
      </c>
      <c r="J981" s="9" t="s">
        <v>12</v>
      </c>
      <c r="K981" s="9"/>
      <c r="L981" s="9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6"/>
      <c r="B982" s="6"/>
      <c r="C982" s="13"/>
      <c r="D982" s="8"/>
      <c r="E982" s="9"/>
      <c r="F982" s="14" t="s">
        <v>12</v>
      </c>
      <c r="G982" s="9" t="s">
        <v>12</v>
      </c>
      <c r="H982" s="9" t="s">
        <v>12</v>
      </c>
      <c r="I982" s="9" t="s">
        <v>12</v>
      </c>
      <c r="J982" s="9" t="s">
        <v>12</v>
      </c>
      <c r="K982" s="9"/>
      <c r="L982" s="9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6"/>
      <c r="B983" s="6"/>
      <c r="C983" s="13"/>
      <c r="D983" s="8"/>
      <c r="E983" s="9"/>
      <c r="F983" s="14" t="s">
        <v>12</v>
      </c>
      <c r="G983" s="9" t="s">
        <v>12</v>
      </c>
      <c r="H983" s="9" t="s">
        <v>12</v>
      </c>
      <c r="I983" s="9" t="s">
        <v>12</v>
      </c>
      <c r="J983" s="9" t="s">
        <v>12</v>
      </c>
      <c r="K983" s="9"/>
      <c r="L983" s="9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6"/>
      <c r="B984" s="6"/>
      <c r="C984" s="13"/>
      <c r="D984" s="8"/>
      <c r="E984" s="9"/>
      <c r="F984" s="14" t="s">
        <v>12</v>
      </c>
      <c r="G984" s="9" t="s">
        <v>12</v>
      </c>
      <c r="H984" s="9" t="s">
        <v>12</v>
      </c>
      <c r="I984" s="9" t="s">
        <v>12</v>
      </c>
      <c r="J984" s="9" t="s">
        <v>12</v>
      </c>
      <c r="K984" s="9"/>
      <c r="L984" s="9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6"/>
      <c r="B985" s="6"/>
      <c r="C985" s="13"/>
      <c r="D985" s="8"/>
      <c r="E985" s="9"/>
      <c r="F985" s="14" t="s">
        <v>12</v>
      </c>
      <c r="G985" s="9" t="s">
        <v>12</v>
      </c>
      <c r="H985" s="9" t="s">
        <v>12</v>
      </c>
      <c r="I985" s="9" t="s">
        <v>12</v>
      </c>
      <c r="J985" s="9" t="s">
        <v>12</v>
      </c>
      <c r="K985" s="9"/>
      <c r="L985" s="9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6"/>
      <c r="B986" s="6"/>
      <c r="C986" s="13"/>
      <c r="D986" s="8"/>
      <c r="E986" s="9"/>
      <c r="F986" s="14" t="s">
        <v>12</v>
      </c>
      <c r="G986" s="9" t="s">
        <v>12</v>
      </c>
      <c r="H986" s="9" t="s">
        <v>12</v>
      </c>
      <c r="I986" s="9" t="s">
        <v>12</v>
      </c>
      <c r="J986" s="9" t="s">
        <v>12</v>
      </c>
      <c r="K986" s="9"/>
      <c r="L986" s="9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6"/>
      <c r="B987" s="6"/>
      <c r="C987" s="13"/>
      <c r="D987" s="8"/>
      <c r="E987" s="9"/>
      <c r="F987" s="14" t="s">
        <v>12</v>
      </c>
      <c r="G987" s="9" t="s">
        <v>12</v>
      </c>
      <c r="H987" s="9" t="s">
        <v>12</v>
      </c>
      <c r="I987" s="9" t="s">
        <v>12</v>
      </c>
      <c r="J987" s="9" t="s">
        <v>12</v>
      </c>
      <c r="K987" s="9"/>
      <c r="L987" s="9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6"/>
      <c r="B988" s="6"/>
      <c r="C988" s="13"/>
      <c r="D988" s="8"/>
      <c r="E988" s="9"/>
      <c r="F988" s="14" t="s">
        <v>12</v>
      </c>
      <c r="G988" s="9" t="s">
        <v>12</v>
      </c>
      <c r="H988" s="9" t="s">
        <v>12</v>
      </c>
      <c r="I988" s="9" t="s">
        <v>12</v>
      </c>
      <c r="J988" s="9" t="s">
        <v>12</v>
      </c>
      <c r="K988" s="9"/>
      <c r="L988" s="9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6"/>
      <c r="B989" s="6"/>
      <c r="C989" s="13"/>
      <c r="D989" s="8"/>
      <c r="E989" s="9"/>
      <c r="F989" s="14" t="s">
        <v>12</v>
      </c>
      <c r="G989" s="9" t="s">
        <v>12</v>
      </c>
      <c r="H989" s="9" t="s">
        <v>12</v>
      </c>
      <c r="I989" s="9" t="s">
        <v>12</v>
      </c>
      <c r="J989" s="9" t="s">
        <v>12</v>
      </c>
      <c r="K989" s="9"/>
      <c r="L989" s="9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6"/>
      <c r="B990" s="6"/>
      <c r="C990" s="13"/>
      <c r="D990" s="8"/>
      <c r="E990" s="9"/>
      <c r="F990" s="14" t="s">
        <v>12</v>
      </c>
      <c r="G990" s="9" t="s">
        <v>12</v>
      </c>
      <c r="H990" s="9" t="s">
        <v>12</v>
      </c>
      <c r="I990" s="9" t="s">
        <v>12</v>
      </c>
      <c r="J990" s="9" t="s">
        <v>12</v>
      </c>
      <c r="K990" s="9"/>
      <c r="L990" s="9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6"/>
      <c r="B991" s="6"/>
      <c r="C991" s="13"/>
      <c r="D991" s="8"/>
      <c r="E991" s="9"/>
      <c r="F991" s="14" t="s">
        <v>12</v>
      </c>
      <c r="G991" s="9" t="s">
        <v>12</v>
      </c>
      <c r="H991" s="9" t="s">
        <v>12</v>
      </c>
      <c r="I991" s="9" t="s">
        <v>12</v>
      </c>
      <c r="J991" s="9" t="s">
        <v>12</v>
      </c>
      <c r="K991" s="9"/>
      <c r="L991" s="9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</sheetData>
  <autoFilter ref="$A$1:$K$991">
    <sortState ref="A1:K991">
      <sortCondition ref="C1:C991"/>
      <sortCondition ref="D1:D991"/>
    </sortState>
  </autoFilter>
  <conditionalFormatting sqref="J2:J991 D35">
    <cfRule type="containsText" dxfId="0" priority="1" operator="containsText" text="Disponible">
      <formula>NOT(ISERROR(SEARCH(("Disponible"),(J2))))</formula>
    </cfRule>
  </conditionalFormatting>
  <printOptions horizontalCentered="1"/>
  <pageMargins bottom="0.75" footer="0.0" header="0.0" left="0.25" right="0.25" top="0.75"/>
  <pageSetup fitToWidth="0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4.88"/>
    <col customWidth="1" min="3" max="3" width="21.88"/>
    <col customWidth="1" min="4" max="4" width="45.88"/>
  </cols>
  <sheetData>
    <row r="1">
      <c r="A1" s="19" t="s">
        <v>6</v>
      </c>
      <c r="B1" s="19" t="s">
        <v>4</v>
      </c>
      <c r="C1" s="19" t="s">
        <v>9</v>
      </c>
      <c r="D1" s="19" t="s">
        <v>165</v>
      </c>
      <c r="E1" s="19" t="s">
        <v>166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>
      <c r="A2" s="21" t="s">
        <v>17</v>
      </c>
      <c r="B2" s="22" t="s">
        <v>71</v>
      </c>
      <c r="C2" s="23" t="s">
        <v>19</v>
      </c>
      <c r="D2" s="24" t="str">
        <f>IF(A2="VIS","LOCKERT VISITA",IF(COUNTIFS(ASIGNACIONES!E:E,B2,ASIGNACIONES!G:G,A2,ASIGNACIONES!J:J,C2)=0,"LOCKERT DISPONIBLE","LOCKERT ASIGNADO"))</f>
        <v>LOCKERT ASIGNADO</v>
      </c>
      <c r="E2" s="25">
        <v>1.0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>
      <c r="A3" s="21" t="s">
        <v>17</v>
      </c>
      <c r="B3" s="22" t="s">
        <v>96</v>
      </c>
      <c r="C3" s="23" t="s">
        <v>19</v>
      </c>
      <c r="D3" s="24" t="str">
        <f>IF(A3="VIS","LOCKERT VISITA",IF(COUNTIFS(ASIGNACIONES!E:E,B3,ASIGNACIONES!G:G,A3,ASIGNACIONES!J:J,C3)=0,"LOCKERT DISPONIBLE","LOCKERT ASIGNADO"))</f>
        <v>LOCKERT ASIGNADO</v>
      </c>
      <c r="E3" s="25">
        <v>1.0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>
      <c r="A4" s="21" t="s">
        <v>17</v>
      </c>
      <c r="B4" s="22" t="s">
        <v>121</v>
      </c>
      <c r="C4" s="23" t="s">
        <v>19</v>
      </c>
      <c r="D4" s="24" t="str">
        <f>IF(A4="VIS","LOCKERT VISITA",IF(COUNTIFS(ASIGNACIONES!E:E,B4,ASIGNACIONES!G:G,A4,ASIGNACIONES!J:J,C4)=0,"LOCKERT DISPONIBLE","LOCKERT ASIGNADO"))</f>
        <v>LOCKERT ASIGNADO</v>
      </c>
      <c r="E4" s="25">
        <v>1.0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>
      <c r="A5" s="21" t="s">
        <v>17</v>
      </c>
      <c r="B5" s="22" t="s">
        <v>167</v>
      </c>
      <c r="C5" s="23" t="s">
        <v>19</v>
      </c>
      <c r="D5" s="24" t="str">
        <f>IF(A5="VIS","LOCKERT VISITA",IF(COUNTIFS(ASIGNACIONES!E:E,B5,ASIGNACIONES!G:G,A5,ASIGNACIONES!J:J,C5)=0,"LOCKERT DISPONIBLE","LOCKERT ASIGNADO"))</f>
        <v>LOCKERT DISPONIBLE</v>
      </c>
      <c r="E5" s="25">
        <v>1.0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>
      <c r="A6" s="21" t="s">
        <v>17</v>
      </c>
      <c r="B6" s="22" t="s">
        <v>16</v>
      </c>
      <c r="C6" s="23" t="s">
        <v>19</v>
      </c>
      <c r="D6" s="24" t="str">
        <f>IF(A6="VIS","LOCKERT VISITA",IF(COUNTIFS(ASIGNACIONES!E:E,B6,ASIGNACIONES!G:G,A6,ASIGNACIONES!J:J,C6)=0,"LOCKERT DISPONIBLE","LOCKERT ASIGNADO"))</f>
        <v>LOCKERT ASIGNADO</v>
      </c>
      <c r="E6" s="25">
        <v>1.0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>
      <c r="A7" s="21" t="s">
        <v>17</v>
      </c>
      <c r="B7" s="22" t="s">
        <v>156</v>
      </c>
      <c r="C7" s="23" t="s">
        <v>19</v>
      </c>
      <c r="D7" s="24" t="str">
        <f>IF(A7="VIS","LOCKERT VISITA",IF(COUNTIFS(ASIGNACIONES!E:E,B7,ASIGNACIONES!G:G,A7,ASIGNACIONES!J:J,C7)=0,"LOCKERT DISPONIBLE","LOCKERT ASIGNADO"))</f>
        <v>LOCKERT ASIGNADO</v>
      </c>
      <c r="E7" s="25">
        <v>1.0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>
      <c r="A8" s="21" t="s">
        <v>17</v>
      </c>
      <c r="B8" s="22" t="s">
        <v>28</v>
      </c>
      <c r="C8" s="23" t="s">
        <v>19</v>
      </c>
      <c r="D8" s="24" t="str">
        <f>IF(A8="VIS","LOCKERT VISITA",IF(COUNTIFS(ASIGNACIONES!E:E,B8,ASIGNACIONES!G:G,A8,ASIGNACIONES!J:J,C8)=0,"LOCKERT DISPONIBLE","LOCKERT ASIGNADO"))</f>
        <v>LOCKERT ASIGNADO</v>
      </c>
      <c r="E8" s="25">
        <v>1.0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>
      <c r="A9" s="21" t="s">
        <v>17</v>
      </c>
      <c r="B9" s="22" t="s">
        <v>168</v>
      </c>
      <c r="C9" s="23" t="s">
        <v>19</v>
      </c>
      <c r="D9" s="24" t="str">
        <f>IF(A9="VIS","LOCKERT VISITA",IF(COUNTIFS(ASIGNACIONES!E:E,B9,ASIGNACIONES!G:G,A9,ASIGNACIONES!J:J,C9)=0,"LOCKERT DISPONIBLE","LOCKERT ASIGNADO"))</f>
        <v>LOCKERT DISPONIBLE</v>
      </c>
      <c r="E9" s="25">
        <v>1.0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>
      <c r="A10" s="21" t="s">
        <v>17</v>
      </c>
      <c r="B10" s="22" t="s">
        <v>169</v>
      </c>
      <c r="C10" s="23" t="s">
        <v>19</v>
      </c>
      <c r="D10" s="24" t="str">
        <f>IF(A10="VIS","LOCKERT VISITA",IF(COUNTIFS(ASIGNACIONES!E:E,B10,ASIGNACIONES!G:G,A10,ASIGNACIONES!J:J,C10)=0,"LOCKERT DISPONIBLE","LOCKERT ASIGNADO"))</f>
        <v>LOCKERT DISPONIBLE</v>
      </c>
      <c r="E10" s="25">
        <v>1.0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>
      <c r="A11" s="21" t="s">
        <v>17</v>
      </c>
      <c r="B11" s="22" t="s">
        <v>170</v>
      </c>
      <c r="C11" s="23" t="s">
        <v>19</v>
      </c>
      <c r="D11" s="24" t="str">
        <f>IF(A11="VIS","LOCKERT VISITA",IF(COUNTIFS(ASIGNACIONES!E:E,B11,ASIGNACIONES!G:G,A11,ASIGNACIONES!J:J,C11)=0,"LOCKERT DISPONIBLE","LOCKERT ASIGNADO"))</f>
        <v>LOCKERT DISPONIBLE</v>
      </c>
      <c r="E11" s="25">
        <v>1.0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>
      <c r="A12" s="21" t="s">
        <v>17</v>
      </c>
      <c r="B12" s="22" t="s">
        <v>23</v>
      </c>
      <c r="C12" s="23" t="s">
        <v>19</v>
      </c>
      <c r="D12" s="24" t="str">
        <f>IF(A12="VIS","LOCKERT VISITA",IF(COUNTIFS(ASIGNACIONES!E:E,B12,ASIGNACIONES!G:G,A12,ASIGNACIONES!J:J,C12)=0,"LOCKERT DISPONIBLE","LOCKERT ASIGNADO"))</f>
        <v>LOCKERT ASIGNADO</v>
      </c>
      <c r="E12" s="25">
        <v>1.0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>
      <c r="A13" s="21" t="s">
        <v>17</v>
      </c>
      <c r="B13" s="22" t="s">
        <v>66</v>
      </c>
      <c r="C13" s="23" t="s">
        <v>19</v>
      </c>
      <c r="D13" s="24" t="str">
        <f>IF(A13="VIS","LOCKERT VISITA",IF(COUNTIFS(ASIGNACIONES!E:E,B13,ASIGNACIONES!G:G,A13,ASIGNACIONES!J:J,C13)=0,"LOCKERT DISPONIBLE","LOCKERT ASIGNADO"))</f>
        <v>LOCKERT ASIGNADO</v>
      </c>
      <c r="E13" s="25">
        <v>1.0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>
      <c r="A14" s="21" t="s">
        <v>17</v>
      </c>
      <c r="B14" s="22" t="s">
        <v>49</v>
      </c>
      <c r="C14" s="23" t="s">
        <v>19</v>
      </c>
      <c r="D14" s="24" t="str">
        <f>IF(A14="VIS","LOCKERT VISITA",IF(COUNTIFS(ASIGNACIONES!E:E,B14,ASIGNACIONES!G:G,A14,ASIGNACIONES!J:J,C14)=0,"LOCKERT DISPONIBLE","LOCKERT ASIGNADO"))</f>
        <v>LOCKERT ASIGNADO</v>
      </c>
      <c r="E14" s="25">
        <v>1.0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>
      <c r="A15" s="21" t="s">
        <v>17</v>
      </c>
      <c r="B15" s="22" t="s">
        <v>152</v>
      </c>
      <c r="C15" s="23" t="s">
        <v>19</v>
      </c>
      <c r="D15" s="24" t="str">
        <f>IF(A15="VIS","LOCKERT VISITA",IF(COUNTIFS(ASIGNACIONES!E:E,B15,ASIGNACIONES!G:G,A15,ASIGNACIONES!J:J,C15)=0,"LOCKERT DISPONIBLE","LOCKERT ASIGNADO"))</f>
        <v>LOCKERT ASIGNADO</v>
      </c>
      <c r="E15" s="25">
        <v>1.0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>
      <c r="A16" s="21" t="s">
        <v>17</v>
      </c>
      <c r="B16" s="22" t="s">
        <v>144</v>
      </c>
      <c r="C16" s="23" t="s">
        <v>19</v>
      </c>
      <c r="D16" s="24" t="str">
        <f>IF(A16="VIS","LOCKERT VISITA",IF(COUNTIFS(ASIGNACIONES!E:E,B16,ASIGNACIONES!G:G,A16,ASIGNACIONES!J:J,C16)=0,"LOCKERT DISPONIBLE","LOCKERT ASIGNADO"))</f>
        <v>LOCKERT DISPONIBLE</v>
      </c>
      <c r="E16" s="25">
        <v>1.0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>
      <c r="A17" s="21" t="s">
        <v>17</v>
      </c>
      <c r="B17" s="22" t="s">
        <v>171</v>
      </c>
      <c r="C17" s="23" t="s">
        <v>19</v>
      </c>
      <c r="D17" s="24" t="str">
        <f>IF(A17="VIS","LOCKERT VISITA",IF(COUNTIFS(ASIGNACIONES!E:E,B17,ASIGNACIONES!G:G,A17,ASIGNACIONES!J:J,C17)=0,"LOCKERT DISPONIBLE","LOCKERT ASIGNADO"))</f>
        <v>LOCKERT DISPONIBLE</v>
      </c>
      <c r="E17" s="25">
        <v>1.0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>
      <c r="A18" s="21" t="s">
        <v>17</v>
      </c>
      <c r="B18" s="22" t="s">
        <v>36</v>
      </c>
      <c r="C18" s="23" t="s">
        <v>19</v>
      </c>
      <c r="D18" s="24" t="str">
        <f>IF(A18="VIS","LOCKERT VISITA",IF(COUNTIFS(ASIGNACIONES!E:E,B18,ASIGNACIONES!G:G,A18,ASIGNACIONES!J:J,C18)=0,"LOCKERT DISPONIBLE","LOCKERT ASIGNADO"))</f>
        <v>LOCKERT ASIGNADO</v>
      </c>
      <c r="E18" s="25">
        <v>1.0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>
      <c r="A19" s="21" t="s">
        <v>17</v>
      </c>
      <c r="B19" s="22" t="s">
        <v>92</v>
      </c>
      <c r="C19" s="23" t="s">
        <v>19</v>
      </c>
      <c r="D19" s="24" t="str">
        <f>IF(A19="VIS","LOCKERT VISITA",IF(COUNTIFS(ASIGNACIONES!E:E,B19,ASIGNACIONES!G:G,A19,ASIGNACIONES!J:J,C19)=0,"LOCKERT DISPONIBLE","LOCKERT ASIGNADO"))</f>
        <v>LOCKERT ASIGNADO</v>
      </c>
      <c r="E19" s="25">
        <v>1.0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>
      <c r="A20" s="21" t="s">
        <v>17</v>
      </c>
      <c r="B20" s="22" t="s">
        <v>172</v>
      </c>
      <c r="C20" s="23" t="s">
        <v>19</v>
      </c>
      <c r="D20" s="24" t="str">
        <f>IF(A20="VIS","LOCKERT VISITA",IF(COUNTIFS(ASIGNACIONES!E:E,B20,ASIGNACIONES!G:G,A20,ASIGNACIONES!J:J,C20)=0,"LOCKERT DISPONIBLE","LOCKERT ASIGNADO"))</f>
        <v>LOCKERT DISPONIBLE</v>
      </c>
      <c r="E20" s="25">
        <v>1.0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>
      <c r="A21" s="21" t="s">
        <v>17</v>
      </c>
      <c r="B21" s="22" t="s">
        <v>173</v>
      </c>
      <c r="C21" s="23" t="s">
        <v>19</v>
      </c>
      <c r="D21" s="24" t="str">
        <f>IF(A21="VIS","LOCKERT VISITA",IF(COUNTIFS(ASIGNACIONES!E:E,B21,ASIGNACIONES!G:G,A21,ASIGNACIONES!J:J,C21)=0,"LOCKERT DISPONIBLE","LOCKERT ASIGNADO"))</f>
        <v>LOCKERT DISPONIBLE</v>
      </c>
      <c r="E21" s="25">
        <v>1.0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>
      <c r="A22" s="21" t="s">
        <v>17</v>
      </c>
      <c r="B22" s="22" t="s">
        <v>174</v>
      </c>
      <c r="C22" s="23" t="s">
        <v>19</v>
      </c>
      <c r="D22" s="24" t="str">
        <f>IF(A22="VIS","LOCKERT VISITA",IF(COUNTIFS(ASIGNACIONES!E:E,B22,ASIGNACIONES!G:G,A22,ASIGNACIONES!J:J,C22)=0,"LOCKERT DISPONIBLE","LOCKERT ASIGNADO"))</f>
        <v>LOCKERT DISPONIBLE</v>
      </c>
      <c r="E22" s="25">
        <v>1.0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>
      <c r="A23" s="21" t="s">
        <v>17</v>
      </c>
      <c r="B23" s="22" t="s">
        <v>125</v>
      </c>
      <c r="C23" s="23" t="s">
        <v>19</v>
      </c>
      <c r="D23" s="24" t="str">
        <f>IF(A23="VIS","LOCKERT VISITA",IF(COUNTIFS(ASIGNACIONES!E:E,B23,ASIGNACIONES!G:G,A23,ASIGNACIONES!J:J,C23)=0,"LOCKERT DISPONIBLE","LOCKERT ASIGNADO"))</f>
        <v>LOCKERT ASIGNADO</v>
      </c>
      <c r="E23" s="25">
        <v>1.0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>
      <c r="A24" s="21" t="s">
        <v>17</v>
      </c>
      <c r="B24" s="22" t="s">
        <v>41</v>
      </c>
      <c r="C24" s="23" t="s">
        <v>19</v>
      </c>
      <c r="D24" s="24" t="str">
        <f>IF(A24="VIS","LOCKERT VISITA",IF(COUNTIFS(ASIGNACIONES!E:E,B24,ASIGNACIONES!G:G,A24,ASIGNACIONES!J:J,C24)=0,"LOCKERT DISPONIBLE","LOCKERT ASIGNADO"))</f>
        <v>LOCKERT ASIGNADO</v>
      </c>
      <c r="E24" s="25">
        <v>1.0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>
      <c r="A25" s="21" t="s">
        <v>17</v>
      </c>
      <c r="B25" s="22" t="s">
        <v>175</v>
      </c>
      <c r="C25" s="23" t="s">
        <v>19</v>
      </c>
      <c r="D25" s="24" t="str">
        <f>IF(A25="VIS","LOCKERT VISITA",IF(COUNTIFS(ASIGNACIONES!E:E,B25,ASIGNACIONES!G:G,A25,ASIGNACIONES!J:J,C25)=0,"LOCKERT DISPONIBLE","LOCKERT ASIGNADO"))</f>
        <v>LOCKERT DISPONIBLE</v>
      </c>
      <c r="E25" s="25">
        <v>1.0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>
      <c r="A26" s="21" t="s">
        <v>17</v>
      </c>
      <c r="B26" s="22" t="s">
        <v>129</v>
      </c>
      <c r="C26" s="23" t="s">
        <v>19</v>
      </c>
      <c r="D26" s="24" t="str">
        <f>IF(A26="VIS","LOCKERT VISITA",IF(COUNTIFS(ASIGNACIONES!E:E,B26,ASIGNACIONES!G:G,A26,ASIGNACIONES!J:J,C26)=0,"LOCKERT DISPONIBLE","LOCKERT ASIGNADO"))</f>
        <v>LOCKERT ASIGNADO</v>
      </c>
      <c r="E26" s="25">
        <v>1.0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>
      <c r="A27" s="21" t="s">
        <v>17</v>
      </c>
      <c r="B27" s="22" t="s">
        <v>176</v>
      </c>
      <c r="C27" s="23" t="s">
        <v>19</v>
      </c>
      <c r="D27" s="24" t="str">
        <f>IF(A27="VIS","LOCKERT VISITA",IF(COUNTIFS(ASIGNACIONES!E:E,B27,ASIGNACIONES!G:G,A27,ASIGNACIONES!J:J,C27)=0,"LOCKERT DISPONIBLE","LOCKERT ASIGNADO"))</f>
        <v>LOCKERT DISPONIBLE</v>
      </c>
      <c r="E27" s="25">
        <v>1.0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>
      <c r="A28" s="21" t="s">
        <v>17</v>
      </c>
      <c r="B28" s="22" t="s">
        <v>177</v>
      </c>
      <c r="C28" s="23" t="s">
        <v>19</v>
      </c>
      <c r="D28" s="24" t="str">
        <f>IF(A28="VIS","LOCKERT VISITA",IF(COUNTIFS(ASIGNACIONES!E:E,B28,ASIGNACIONES!G:G,A28,ASIGNACIONES!J:J,C28)=0,"LOCKERT DISPONIBLE","LOCKERT ASIGNADO"))</f>
        <v>LOCKERT DISPONIBLE</v>
      </c>
      <c r="E28" s="25">
        <v>1.0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>
      <c r="A29" s="21" t="s">
        <v>17</v>
      </c>
      <c r="B29" s="22" t="s">
        <v>76</v>
      </c>
      <c r="C29" s="23" t="s">
        <v>19</v>
      </c>
      <c r="D29" s="24" t="str">
        <f>IF(A29="VIS","LOCKERT VISITA",IF(COUNTIFS(ASIGNACIONES!E:E,B29,ASIGNACIONES!G:G,A29,ASIGNACIONES!J:J,C29)=0,"LOCKERT DISPONIBLE","LOCKERT ASIGNADO"))</f>
        <v>LOCKERT ASIGNADO</v>
      </c>
      <c r="E29" s="25">
        <v>1.0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>
      <c r="A30" s="21" t="s">
        <v>17</v>
      </c>
      <c r="B30" s="22" t="s">
        <v>160</v>
      </c>
      <c r="C30" s="23" t="s">
        <v>19</v>
      </c>
      <c r="D30" s="24" t="str">
        <f>IF(A30="VIS","LOCKERT VISITA",IF(COUNTIFS(ASIGNACIONES!E:E,B30,ASIGNACIONES!G:G,A30,ASIGNACIONES!J:J,C30)=0,"LOCKERT DISPONIBLE","LOCKERT ASIGNADO"))</f>
        <v>LOCKERT ASIGNADO</v>
      </c>
      <c r="E30" s="25">
        <v>1.0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>
      <c r="A31" s="21" t="s">
        <v>17</v>
      </c>
      <c r="B31" s="22" t="s">
        <v>178</v>
      </c>
      <c r="C31" s="23" t="s">
        <v>19</v>
      </c>
      <c r="D31" s="24" t="str">
        <f>IF(A31="VIS","LOCKERT VISITA",IF(COUNTIFS(ASIGNACIONES!E:E,B31,ASIGNACIONES!G:G,A31,ASIGNACIONES!J:J,C31)=0,"LOCKERT DISPONIBLE","LOCKERT ASIGNADO"))</f>
        <v>LOCKERT DISPONIBLE</v>
      </c>
      <c r="E31" s="25">
        <v>1.0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>
      <c r="A32" s="21" t="s">
        <v>17</v>
      </c>
      <c r="B32" s="22" t="s">
        <v>45</v>
      </c>
      <c r="C32" s="23" t="s">
        <v>19</v>
      </c>
      <c r="D32" s="24" t="str">
        <f>IF(A32="VIS","LOCKERT VISITA",IF(COUNTIFS(ASIGNACIONES!E:E,B32,ASIGNACIONES!G:G,A32,ASIGNACIONES!J:J,C32)=0,"LOCKERT DISPONIBLE","LOCKERT ASIGNADO"))</f>
        <v>LOCKERT ASIGNADO</v>
      </c>
      <c r="E32" s="25">
        <v>1.0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>
      <c r="A33" s="21" t="s">
        <v>17</v>
      </c>
      <c r="B33" s="22" t="s">
        <v>179</v>
      </c>
      <c r="C33" s="23" t="s">
        <v>19</v>
      </c>
      <c r="D33" s="24" t="str">
        <f>IF(A33="VIS","LOCKERT VISITA",IF(COUNTIFS(ASIGNACIONES!E:E,B33,ASIGNACIONES!G:G,A33,ASIGNACIONES!J:J,C33)=0,"LOCKERT DISPONIBLE","LOCKERT ASIGNADO"))</f>
        <v>LOCKERT DISPONIBLE</v>
      </c>
      <c r="E33" s="25">
        <v>1.0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>
      <c r="A34" s="21" t="s">
        <v>17</v>
      </c>
      <c r="B34" s="22" t="s">
        <v>32</v>
      </c>
      <c r="C34" s="23" t="s">
        <v>19</v>
      </c>
      <c r="D34" s="24" t="str">
        <f>IF(A34="VIS","LOCKERT VISITA",IF(COUNTIFS(ASIGNACIONES!E:E,B34,ASIGNACIONES!G:G,A34,ASIGNACIONES!J:J,C34)=0,"LOCKERT DISPONIBLE","LOCKERT ASIGNADO"))</f>
        <v>LOCKERT ASIGNADO</v>
      </c>
      <c r="E34" s="25">
        <v>1.0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>
      <c r="A35" s="21" t="s">
        <v>101</v>
      </c>
      <c r="B35" s="22" t="s">
        <v>180</v>
      </c>
      <c r="C35" s="23" t="s">
        <v>19</v>
      </c>
      <c r="D35" s="24" t="str">
        <f>IF(A35="VIS","LOCKERT VISITA",IF(COUNTIFS(ASIGNACIONES!E:E,B35,ASIGNACIONES!G:G,A35,ASIGNACIONES!J:J,C35)=0,"LOCKERT DISPONIBLE","LOCKERT ASIGNADO"))</f>
        <v>LOCKERT DISPONIBLE</v>
      </c>
      <c r="E35" s="25">
        <v>1.0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>
      <c r="A36" s="21" t="s">
        <v>101</v>
      </c>
      <c r="B36" s="22" t="s">
        <v>140</v>
      </c>
      <c r="C36" s="23" t="s">
        <v>19</v>
      </c>
      <c r="D36" s="24" t="str">
        <f>IF(A36="VIS","LOCKERT VISITA",IF(COUNTIFS(ASIGNACIONES!E:E,B36,ASIGNACIONES!G:G,A36,ASIGNACIONES!J:J,C36)=0,"LOCKERT DISPONIBLE","LOCKERT ASIGNADO"))</f>
        <v>LOCKERT ASIGNADO</v>
      </c>
      <c r="E36" s="25">
        <v>1.0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>
      <c r="A37" s="21" t="s">
        <v>101</v>
      </c>
      <c r="B37" s="22" t="s">
        <v>100</v>
      </c>
      <c r="C37" s="23" t="s">
        <v>19</v>
      </c>
      <c r="D37" s="24" t="str">
        <f>IF(A37="VIS","LOCKERT VISITA",IF(COUNTIFS(ASIGNACIONES!E:E,B37,ASIGNACIONES!G:G,A37,ASIGNACIONES!J:J,C37)=0,"LOCKERT DISPONIBLE","LOCKERT ASIGNADO"))</f>
        <v>LOCKERT ASIGNADO</v>
      </c>
      <c r="E37" s="25">
        <v>1.0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>
      <c r="A38" s="21" t="s">
        <v>101</v>
      </c>
      <c r="B38" s="22" t="s">
        <v>181</v>
      </c>
      <c r="C38" s="23" t="s">
        <v>19</v>
      </c>
      <c r="D38" s="24" t="str">
        <f>IF(A38="VIS","LOCKERT VISITA",IF(COUNTIFS(ASIGNACIONES!E:E,B38,ASIGNACIONES!G:G,A38,ASIGNACIONES!J:J,C38)=0,"LOCKERT DISPONIBLE","LOCKERT ASIGNADO"))</f>
        <v>LOCKERT DISPONIBLE</v>
      </c>
      <c r="E38" s="25">
        <v>1.0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>
      <c r="A39" s="21" t="s">
        <v>101</v>
      </c>
      <c r="B39" s="22" t="s">
        <v>182</v>
      </c>
      <c r="C39" s="23" t="s">
        <v>19</v>
      </c>
      <c r="D39" s="24" t="str">
        <f>IF(A39="VIS","LOCKERT VISITA",IF(COUNTIFS(ASIGNACIONES!E:E,B39,ASIGNACIONES!G:G,A39,ASIGNACIONES!J:J,C39)=0,"LOCKERT DISPONIBLE","LOCKERT ASIGNADO"))</f>
        <v>LOCKERT DISPONIBLE</v>
      </c>
      <c r="E39" s="25">
        <v>1.0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>
      <c r="A40" s="21" t="s">
        <v>101</v>
      </c>
      <c r="B40" s="22" t="s">
        <v>183</v>
      </c>
      <c r="C40" s="23" t="s">
        <v>19</v>
      </c>
      <c r="D40" s="24" t="str">
        <f>IF(A40="VIS","LOCKERT VISITA",IF(COUNTIFS(ASIGNACIONES!E:E,B40,ASIGNACIONES!G:G,A40,ASIGNACIONES!J:J,C40)=0,"LOCKERT DISPONIBLE","LOCKERT ASIGNADO"))</f>
        <v>LOCKERT DISPONIBLE</v>
      </c>
      <c r="E40" s="25">
        <v>1.0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>
      <c r="A41" s="21" t="s">
        <v>101</v>
      </c>
      <c r="B41" s="22" t="s">
        <v>184</v>
      </c>
      <c r="C41" s="23" t="s">
        <v>19</v>
      </c>
      <c r="D41" s="24" t="str">
        <f>IF(A41="VIS","LOCKERT VISITA",IF(COUNTIFS(ASIGNACIONES!E:E,B41,ASIGNACIONES!G:G,A41,ASIGNACIONES!J:J,C41)=0,"LOCKERT DISPONIBLE","LOCKERT ASIGNADO"))</f>
        <v>LOCKERT DISPONIBLE</v>
      </c>
      <c r="E41" s="25">
        <v>1.0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>
      <c r="A42" s="21" t="s">
        <v>101</v>
      </c>
      <c r="B42" s="22" t="s">
        <v>148</v>
      </c>
      <c r="C42" s="23" t="s">
        <v>19</v>
      </c>
      <c r="D42" s="24" t="str">
        <f>IF(A42="VIS","LOCKERT VISITA",IF(COUNTIFS(ASIGNACIONES!E:E,B42,ASIGNACIONES!G:G,A42,ASIGNACIONES!J:J,C42)=0,"LOCKERT DISPONIBLE","LOCKERT ASIGNADO"))</f>
        <v>LOCKERT ASIGNADO</v>
      </c>
      <c r="E42" s="25">
        <v>1.0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>
      <c r="A43" s="21" t="s">
        <v>101</v>
      </c>
      <c r="B43" s="22" t="s">
        <v>185</v>
      </c>
      <c r="C43" s="23" t="s">
        <v>19</v>
      </c>
      <c r="D43" s="24" t="str">
        <f>IF(A43="VIS","LOCKERT VISITA",IF(COUNTIFS(ASIGNACIONES!E:E,B43,ASIGNACIONES!G:G,A43,ASIGNACIONES!J:J,C43)=0,"LOCKERT DISPONIBLE","LOCKERT ASIGNADO"))</f>
        <v>LOCKERT DISPONIBLE</v>
      </c>
      <c r="E43" s="25">
        <v>1.0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>
      <c r="A44" s="21" t="s">
        <v>101</v>
      </c>
      <c r="B44" s="22" t="s">
        <v>117</v>
      </c>
      <c r="C44" s="23" t="s">
        <v>19</v>
      </c>
      <c r="D44" s="24" t="str">
        <f>IF(A44="VIS","LOCKERT VISITA",IF(COUNTIFS(ASIGNACIONES!E:E,B44,ASIGNACIONES!G:G,A44,ASIGNACIONES!J:J,C44)=0,"LOCKERT DISPONIBLE","LOCKERT ASIGNADO"))</f>
        <v>LOCKERT ASIGNADO</v>
      </c>
      <c r="E44" s="25">
        <v>1.0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>
      <c r="A45" s="21" t="s">
        <v>106</v>
      </c>
      <c r="B45" s="22" t="s">
        <v>186</v>
      </c>
      <c r="C45" s="23" t="s">
        <v>19</v>
      </c>
      <c r="D45" s="24" t="str">
        <f>IF(A45="VIS","LOCKERT VISITA",IF(COUNTIFS(ASIGNACIONES!E:E,B45,ASIGNACIONES!G:G,A45,ASIGNACIONES!J:J,C45)=0,"LOCKERT DISPONIBLE","LOCKERT ASIGNADO"))</f>
        <v>LOCKERT DISPONIBLE</v>
      </c>
      <c r="E45" s="25">
        <v>1.0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>
      <c r="A46" s="21" t="s">
        <v>106</v>
      </c>
      <c r="B46" s="22" t="s">
        <v>187</v>
      </c>
      <c r="C46" s="23" t="s">
        <v>19</v>
      </c>
      <c r="D46" s="24" t="str">
        <f>IF(A46="VIS","LOCKERT VISITA",IF(COUNTIFS(ASIGNACIONES!E:E,B46,ASIGNACIONES!G:G,A46,ASIGNACIONES!J:J,C46)=0,"LOCKERT DISPONIBLE","LOCKERT ASIGNADO"))</f>
        <v>LOCKERT DISPONIBLE</v>
      </c>
      <c r="E46" s="25">
        <v>1.0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>
      <c r="A47" s="21" t="s">
        <v>106</v>
      </c>
      <c r="B47" s="22" t="s">
        <v>105</v>
      </c>
      <c r="C47" s="23" t="s">
        <v>19</v>
      </c>
      <c r="D47" s="24" t="str">
        <f>IF(A47="VIS","LOCKERT VISITA",IF(COUNTIFS(ASIGNACIONES!E:E,B47,ASIGNACIONES!G:G,A47,ASIGNACIONES!J:J,C47)=0,"LOCKERT DISPONIBLE","LOCKERT ASIGNADO"))</f>
        <v>LOCKERT DISPONIBLE</v>
      </c>
      <c r="E47" s="25">
        <v>1.0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>
      <c r="A48" s="21" t="s">
        <v>106</v>
      </c>
      <c r="B48" s="22" t="s">
        <v>188</v>
      </c>
      <c r="C48" s="23" t="s">
        <v>19</v>
      </c>
      <c r="D48" s="24" t="str">
        <f>IF(A48="VIS","LOCKERT VISITA",IF(COUNTIFS(ASIGNACIONES!E:E,B48,ASIGNACIONES!G:G,A48,ASIGNACIONES!J:J,C48)=0,"LOCKERT DISPONIBLE","LOCKERT ASIGNADO"))</f>
        <v>LOCKERT DISPONIBLE</v>
      </c>
      <c r="E48" s="25">
        <v>1.0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>
      <c r="A49" s="21" t="s">
        <v>58</v>
      </c>
      <c r="B49" s="22" t="s">
        <v>57</v>
      </c>
      <c r="C49" s="23" t="s">
        <v>19</v>
      </c>
      <c r="D49" s="24" t="str">
        <f>IF(A49="VIS","LOCKERT VISITA",IF(COUNTIFS(ASIGNACIONES!E:E,B49,ASIGNACIONES!G:G,A49,ASIGNACIONES!J:J,C49)=0,"LOCKERT DISPONIBLE","LOCKERT ASIGNADO"))</f>
        <v>LOCKERT ASIGNADO</v>
      </c>
      <c r="E49" s="25">
        <v>1.0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>
      <c r="A50" s="21" t="s">
        <v>58</v>
      </c>
      <c r="B50" s="22" t="s">
        <v>62</v>
      </c>
      <c r="C50" s="23" t="s">
        <v>19</v>
      </c>
      <c r="D50" s="24" t="str">
        <f>IF(A50="VIS","LOCKERT VISITA",IF(COUNTIFS(ASIGNACIONES!E:E,B50,ASIGNACIONES!G:G,A50,ASIGNACIONES!J:J,C50)=0,"LOCKERT DISPONIBLE","LOCKERT ASIGNADO"))</f>
        <v>LOCKERT ASIGNADO</v>
      </c>
      <c r="E50" s="25">
        <v>1.0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>
      <c r="A51" s="21" t="s">
        <v>189</v>
      </c>
      <c r="B51" s="22" t="s">
        <v>190</v>
      </c>
      <c r="C51" s="23" t="s">
        <v>19</v>
      </c>
      <c r="D51" s="24" t="str">
        <f>IF(A51="VIS","LOCKERT VISITA",IF(COUNTIFS(ASIGNACIONES!E:E,B51,ASIGNACIONES!G:G,A51,ASIGNACIONES!J:J,C51)=0,"LOCKERT DISPONIBLE","LOCKERT ASIGNADO"))</f>
        <v>LOCKERT DISPONIBLE</v>
      </c>
      <c r="E51" s="25">
        <v>1.0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>
      <c r="A52" s="21" t="s">
        <v>112</v>
      </c>
      <c r="B52" s="22" t="s">
        <v>111</v>
      </c>
      <c r="C52" s="23" t="s">
        <v>19</v>
      </c>
      <c r="D52" s="24" t="str">
        <f>IF(A52="VIS","LOCKERT VISITA",IF(COUNTIFS(ASIGNACIONES!E:E,B52,ASIGNACIONES!G:G,A52,ASIGNACIONES!J:J,C52)=0,"LOCKERT DISPONIBLE","LOCKERT ASIGNADO"))</f>
        <v>LOCKERT DISPONIBLE</v>
      </c>
      <c r="E52" s="25">
        <v>1.0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>
      <c r="A53" s="21" t="s">
        <v>191</v>
      </c>
      <c r="B53" s="22" t="s">
        <v>192</v>
      </c>
      <c r="C53" s="23" t="s">
        <v>19</v>
      </c>
      <c r="D53" s="24" t="str">
        <f>IF(A53="VIS","LOCKERT VISITA",IF(COUNTIFS(ASIGNACIONES!E:E,B53,ASIGNACIONES!G:G,A53,ASIGNACIONES!J:J,C53)=0,"LOCKERT DISPONIBLE","LOCKERT ASIGNADO"))</f>
        <v>LOCKERT DISPONIBLE</v>
      </c>
      <c r="E53" s="25">
        <v>1.0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>
      <c r="A54" s="21" t="s">
        <v>191</v>
      </c>
      <c r="B54" s="22" t="s">
        <v>193</v>
      </c>
      <c r="C54" s="23" t="s">
        <v>19</v>
      </c>
      <c r="D54" s="24" t="str">
        <f>IF(A54="VIS","LOCKERT VISITA",IF(COUNTIFS(ASIGNACIONES!E:E,B54,ASIGNACIONES!G:G,A54,ASIGNACIONES!J:J,C54)=0,"LOCKERT DISPONIBLE","LOCKERT ASIGNADO"))</f>
        <v>LOCKERT DISPONIBLE</v>
      </c>
      <c r="E54" s="25">
        <v>1.0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>
      <c r="A55" s="21" t="s">
        <v>194</v>
      </c>
      <c r="B55" s="22" t="s">
        <v>195</v>
      </c>
      <c r="C55" s="23" t="s">
        <v>19</v>
      </c>
      <c r="D55" s="24" t="str">
        <f>IF(A55="VIS","LOCKERT VISITA",IF(COUNTIFS(ASIGNACIONES!E:E,B55,ASIGNACIONES!G:G,A55,ASIGNACIONES!J:J,C55)=0,"LOCKERT DISPONIBLE","LOCKERT ASIGNADO"))</f>
        <v>LOCKERT DISPONIBLE</v>
      </c>
      <c r="E55" s="25">
        <v>1.0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>
      <c r="A56" s="21" t="s">
        <v>17</v>
      </c>
      <c r="B56" s="22" t="s">
        <v>133</v>
      </c>
      <c r="C56" s="23" t="s">
        <v>107</v>
      </c>
      <c r="D56" s="24" t="str">
        <f>IF(A56="VIS","LOCKERT VISITA",IF(COUNTIFS(ASIGNACIONES!E:E,B56,ASIGNACIONES!G:G,A56,ASIGNACIONES!J:J,C56)=0,"LOCKERT DISPONIBLE","LOCKERT ASIGNADO"))</f>
        <v>LOCKERT DISPONIBLE</v>
      </c>
      <c r="E56" s="25">
        <v>1.0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>
      <c r="A57" s="21" t="s">
        <v>106</v>
      </c>
      <c r="B57" s="22" t="s">
        <v>105</v>
      </c>
      <c r="C57" s="23" t="s">
        <v>107</v>
      </c>
      <c r="D57" s="24" t="str">
        <f>IF(A57="VIS","LOCKERT VISITA",IF(COUNTIFS(ASIGNACIONES!E:E,B57,ASIGNACIONES!G:G,A57,ASIGNACIONES!J:J,C57)=0,"LOCKERT DISPONIBLE","LOCKERT ASIGNADO"))</f>
        <v>LOCKERT ASIGNADO</v>
      </c>
      <c r="E57" s="25">
        <v>1.0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>
      <c r="A58" s="21" t="s">
        <v>196</v>
      </c>
      <c r="B58" s="22" t="s">
        <v>197</v>
      </c>
      <c r="C58" s="23" t="s">
        <v>107</v>
      </c>
      <c r="D58" s="24" t="str">
        <f>IF(A58="VIS","LOCKERT VISITA",IF(COUNTIFS(ASIGNACIONES!E:E,B58,ASIGNACIONES!G:G,A58,ASIGNACIONES!J:J,C58)=0,"LOCKERT DISPONIBLE","LOCKERT ASIGNADO"))</f>
        <v>LOCKERT VISITA</v>
      </c>
      <c r="E58" s="25">
        <v>1.0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>
      <c r="A59" s="21" t="s">
        <v>17</v>
      </c>
      <c r="B59" s="22" t="s">
        <v>198</v>
      </c>
      <c r="C59" s="23" t="s">
        <v>107</v>
      </c>
      <c r="D59" s="24" t="str">
        <f>IF(A59="VIS","LOCKERT VISITA",IF(COUNTIFS(ASIGNACIONES!E:E,B59,ASIGNACIONES!G:G,A59,ASIGNACIONES!J:J,C59)=0,"LOCKERT DISPONIBLE","LOCKERT ASIGNADO"))</f>
        <v>LOCKERT DISPONIBLE</v>
      </c>
      <c r="E59" s="25">
        <v>1.0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>
      <c r="A60" s="21" t="s">
        <v>106</v>
      </c>
      <c r="B60" s="22" t="s">
        <v>186</v>
      </c>
      <c r="C60" s="23" t="s">
        <v>113</v>
      </c>
      <c r="D60" s="24" t="str">
        <f>IF(A60="VIS","LOCKERT VISITA",IF(COUNTIFS(ASIGNACIONES!E:E,B60,ASIGNACIONES!G:G,A60,ASIGNACIONES!J:J,C60)=0,"LOCKERT DISPONIBLE","LOCKERT ASIGNADO"))</f>
        <v>LOCKERT DISPONIBLE</v>
      </c>
      <c r="E60" s="25">
        <v>1.0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>
      <c r="A61" s="21" t="s">
        <v>106</v>
      </c>
      <c r="B61" s="22" t="s">
        <v>187</v>
      </c>
      <c r="C61" s="23" t="s">
        <v>113</v>
      </c>
      <c r="D61" s="24" t="str">
        <f>IF(A61="VIS","LOCKERT VISITA",IF(COUNTIFS(ASIGNACIONES!E:E,B61,ASIGNACIONES!G:G,A61,ASIGNACIONES!J:J,C61)=0,"LOCKERT DISPONIBLE","LOCKERT ASIGNADO"))</f>
        <v>LOCKERT DISPONIBLE</v>
      </c>
      <c r="E61" s="25">
        <v>1.0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>
      <c r="A62" s="21" t="s">
        <v>106</v>
      </c>
      <c r="B62" s="22" t="s">
        <v>105</v>
      </c>
      <c r="C62" s="23" t="s">
        <v>113</v>
      </c>
      <c r="D62" s="24" t="str">
        <f>IF(A62="VIS","LOCKERT VISITA",IF(COUNTIFS(ASIGNACIONES!E:E,B62,ASIGNACIONES!G:G,A62,ASIGNACIONES!J:J,C62)=0,"LOCKERT DISPONIBLE","LOCKERT ASIGNADO"))</f>
        <v>LOCKERT DISPONIBLE</v>
      </c>
      <c r="E62" s="25">
        <v>1.0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>
      <c r="A63" s="21" t="s">
        <v>106</v>
      </c>
      <c r="B63" s="22" t="s">
        <v>188</v>
      </c>
      <c r="C63" s="23" t="s">
        <v>113</v>
      </c>
      <c r="D63" s="24" t="str">
        <f>IF(A63="VIS","LOCKERT VISITA",IF(COUNTIFS(ASIGNACIONES!E:E,B63,ASIGNACIONES!G:G,A63,ASIGNACIONES!J:J,C63)=0,"LOCKERT DISPONIBLE","LOCKERT ASIGNADO"))</f>
        <v>LOCKERT DISPONIBLE</v>
      </c>
      <c r="E63" s="25">
        <v>1.0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>
      <c r="A64" s="21" t="s">
        <v>106</v>
      </c>
      <c r="B64" s="22" t="s">
        <v>199</v>
      </c>
      <c r="C64" s="23" t="s">
        <v>113</v>
      </c>
      <c r="D64" s="24" t="str">
        <f>IF(A64="VIS","LOCKERT VISITA",IF(COUNTIFS(ASIGNACIONES!E:E,B64,ASIGNACIONES!G:G,A64,ASIGNACIONES!J:J,C64)=0,"LOCKERT DISPONIBLE","LOCKERT ASIGNADO"))</f>
        <v>LOCKERT DISPONIBLE</v>
      </c>
      <c r="E64" s="25">
        <v>1.0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</sheetData>
  <autoFilter ref="$A$1:$E$64"/>
  <conditionalFormatting sqref="D2:D64">
    <cfRule type="containsText" dxfId="0" priority="1" operator="containsText" text="DISPONIBLE">
      <formula>NOT(ISERROR(SEARCH(("DISPONIBLE"),(D2))))</formula>
    </cfRule>
  </conditionalFormatting>
  <conditionalFormatting sqref="C2:D64">
    <cfRule type="containsText" dxfId="0" priority="2" operator="containsText" text="Disponible">
      <formula>NOT(ISERROR(SEARCH(("Disponible"),(C2))))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13"/>
    <col customWidth="1" min="2" max="2" width="45.88"/>
    <col customWidth="1" min="3" max="3" width="20.75"/>
    <col customWidth="1" min="4" max="4" width="12.5"/>
    <col customWidth="1" min="5" max="5" width="11.0"/>
    <col customWidth="1" min="6" max="6" width="21.88"/>
    <col customWidth="1" min="7" max="7" width="16.0"/>
    <col customWidth="1" min="8" max="8" width="39.0"/>
    <col customWidth="1" min="9" max="9" width="14.88"/>
    <col customWidth="1" min="10" max="10" width="32.75"/>
  </cols>
  <sheetData>
    <row r="1">
      <c r="A1" s="26" t="s">
        <v>200</v>
      </c>
      <c r="B1" s="26" t="s">
        <v>3</v>
      </c>
      <c r="C1" s="26" t="s">
        <v>5</v>
      </c>
      <c r="D1" s="27" t="s">
        <v>6</v>
      </c>
      <c r="E1" s="27" t="s">
        <v>201</v>
      </c>
      <c r="F1" s="27" t="s">
        <v>9</v>
      </c>
      <c r="G1" s="26" t="s">
        <v>202</v>
      </c>
      <c r="H1" s="27" t="s">
        <v>203</v>
      </c>
      <c r="I1" s="28"/>
      <c r="J1" s="29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0"/>
      <c r="B2" s="31"/>
      <c r="C2" s="32"/>
      <c r="D2" s="33"/>
      <c r="E2" s="33"/>
      <c r="F2" s="34"/>
      <c r="G2" s="24"/>
      <c r="H2" s="24"/>
    </row>
    <row r="3">
      <c r="A3" s="30"/>
      <c r="B3" s="18"/>
      <c r="C3" s="32"/>
      <c r="D3" s="33"/>
      <c r="E3" s="33"/>
      <c r="F3" s="34"/>
      <c r="G3" s="24"/>
      <c r="H3" s="24"/>
    </row>
    <row r="4">
      <c r="A4" s="30" t="s">
        <v>204</v>
      </c>
      <c r="B4" s="18" t="s">
        <v>15</v>
      </c>
      <c r="C4" s="32">
        <v>1.095917149E9</v>
      </c>
      <c r="D4" s="33" t="s">
        <v>17</v>
      </c>
      <c r="E4" s="33" t="s">
        <v>18</v>
      </c>
      <c r="F4" s="34" t="s">
        <v>19</v>
      </c>
      <c r="G4" s="24"/>
      <c r="H4" s="24" t="str">
        <f>IF($B4="","",IF($B4="TRANSCARNES","ACTIVO",IF(COUNTIF(RETIROS!E:E,$B4)=1,"PENDIENTE ELIMINAR",IF(COUNTIFS(ASIGNACIONES!$D:$D,$B4,ASIGNACIONES!$H:$H,E4,ASIGNACIONES!$G:$G,$D4,ASIGNACIONES!$J:$J,$F4)=0,"NUEVO","ACTIVO"))))</f>
        <v>ACTIVO</v>
      </c>
    </row>
    <row r="5">
      <c r="A5" s="30" t="s">
        <v>205</v>
      </c>
      <c r="B5" s="18" t="s">
        <v>22</v>
      </c>
      <c r="C5" s="32">
        <v>1.095909192E9</v>
      </c>
      <c r="D5" s="33" t="s">
        <v>17</v>
      </c>
      <c r="E5" s="33" t="s">
        <v>24</v>
      </c>
      <c r="F5" s="34" t="s">
        <v>19</v>
      </c>
      <c r="G5" s="24"/>
      <c r="H5" s="24" t="str">
        <f>IF($B5="","",IF($B5="TRANSCARNES","ACTIVO",IF(COUNTIF(RETIROS!E:E,$B5)=1,"PENDIENTE ELIMINAR",IF(COUNTIFS(ASIGNACIONES!$D:$D,$B5,ASIGNACIONES!$H:$H,E5,ASIGNACIONES!$G:$G,$D5,ASIGNACIONES!$J:$J,$F5)=0,"NUEVO","ACTIVO"))))</f>
        <v>ACTIVO</v>
      </c>
    </row>
    <row r="6">
      <c r="A6" s="30"/>
      <c r="B6" s="18"/>
      <c r="C6" s="32"/>
      <c r="D6" s="33"/>
      <c r="E6" s="33"/>
      <c r="F6" s="34"/>
      <c r="G6" s="24"/>
      <c r="H6" s="24"/>
    </row>
    <row r="7">
      <c r="A7" s="30" t="s">
        <v>206</v>
      </c>
      <c r="B7" s="31" t="s">
        <v>27</v>
      </c>
      <c r="C7" s="32">
        <v>9.1540171E7</v>
      </c>
      <c r="D7" s="33" t="s">
        <v>17</v>
      </c>
      <c r="E7" s="33" t="s">
        <v>24</v>
      </c>
      <c r="F7" s="34" t="s">
        <v>19</v>
      </c>
      <c r="G7" s="24"/>
      <c r="H7" s="24" t="str">
        <f>IF($B7="","",IF($B7="TRANSCARNES","ACTIVO",IF(COUNTIF(RETIROS!E:E,$B7)=1,"PENDIENTE ELIMINAR",IF(COUNTIFS(ASIGNACIONES!$D:$D,$B7,ASIGNACIONES!$H:$H,E7,ASIGNACIONES!$G:$G,$D7,ASIGNACIONES!$J:$J,$F7)=0,"NUEVO","ACTIVO"))))</f>
        <v>ACTIVO</v>
      </c>
    </row>
    <row r="8">
      <c r="A8" s="30"/>
      <c r="B8" s="31"/>
      <c r="C8" s="32"/>
      <c r="D8" s="33"/>
      <c r="E8" s="33"/>
      <c r="F8" s="34"/>
      <c r="G8" s="24"/>
      <c r="H8" s="24"/>
    </row>
    <row r="9">
      <c r="A9" s="30" t="s">
        <v>207</v>
      </c>
      <c r="B9" s="18" t="s">
        <v>31</v>
      </c>
      <c r="C9" s="32">
        <v>9.1541543E7</v>
      </c>
      <c r="D9" s="33" t="s">
        <v>17</v>
      </c>
      <c r="E9" s="33" t="s">
        <v>24</v>
      </c>
      <c r="F9" s="34" t="s">
        <v>19</v>
      </c>
      <c r="G9" s="24"/>
      <c r="H9" s="24" t="str">
        <f>IF($B9="","",IF($B9="TRANSCARNES","ACTIVO",IF(COUNTIF(RETIROS!E:E,$B9)=1,"PENDIENTE ELIMINAR",IF(COUNTIFS(ASIGNACIONES!$D:$D,$B9,ASIGNACIONES!$H:$H,E9,ASIGNACIONES!$G:$G,$D9,ASIGNACIONES!$J:$J,$F9)=0,"NUEVO","ACTIVO"))))</f>
        <v>ACTIVO</v>
      </c>
    </row>
    <row r="10">
      <c r="A10" s="30"/>
      <c r="B10" s="18"/>
      <c r="C10" s="32"/>
      <c r="D10" s="33"/>
      <c r="E10" s="33"/>
      <c r="F10" s="34"/>
      <c r="G10" s="24"/>
      <c r="H10" s="24"/>
    </row>
    <row r="11">
      <c r="A11" s="30" t="s">
        <v>208</v>
      </c>
      <c r="B11" s="18" t="s">
        <v>35</v>
      </c>
      <c r="C11" s="32">
        <v>1.102726333E9</v>
      </c>
      <c r="D11" s="33" t="s">
        <v>17</v>
      </c>
      <c r="E11" s="33" t="s">
        <v>37</v>
      </c>
      <c r="F11" s="34" t="s">
        <v>19</v>
      </c>
      <c r="G11" s="24"/>
      <c r="H11" s="24" t="str">
        <f>IF($B11="","",IF($B11="TRANSCARNES","ACTIVO",IF(COUNTIF(RETIROS!E:E,$B11)=1,"PENDIENTE ELIMINAR",IF(COUNTIFS(ASIGNACIONES!$D:$D,$B11,ASIGNACIONES!$H:$H,E11,ASIGNACIONES!$G:$G,$D11,ASIGNACIONES!$J:$J,$F11)=0,"NUEVO","ACTIVO"))))</f>
        <v>ACTIVO</v>
      </c>
    </row>
    <row r="12">
      <c r="A12" s="30" t="s">
        <v>209</v>
      </c>
      <c r="B12" s="31" t="s">
        <v>40</v>
      </c>
      <c r="C12" s="32">
        <v>1.098604376E9</v>
      </c>
      <c r="D12" s="33" t="s">
        <v>17</v>
      </c>
      <c r="E12" s="33" t="s">
        <v>18</v>
      </c>
      <c r="F12" s="34" t="s">
        <v>19</v>
      </c>
      <c r="G12" s="24"/>
      <c r="H12" s="24" t="str">
        <f>IF($B12="","",IF($B12="TRANSCARNES","ACTIVO",IF(COUNTIF(RETIROS!E:E,$B12)=1,"PENDIENTE ELIMINAR",IF(COUNTIFS(ASIGNACIONES!$D:$D,$B12,ASIGNACIONES!$H:$H,E12,ASIGNACIONES!$G:$G,$D12,ASIGNACIONES!$J:$J,$F12)=0,"NUEVO","ACTIVO"))))</f>
        <v>ACTIVO</v>
      </c>
    </row>
    <row r="13">
      <c r="A13" s="30"/>
      <c r="B13" s="31"/>
      <c r="C13" s="32"/>
      <c r="D13" s="33"/>
      <c r="E13" s="33"/>
      <c r="F13" s="34"/>
      <c r="G13" s="24"/>
      <c r="H13" s="24"/>
    </row>
    <row r="14">
      <c r="A14" s="30"/>
      <c r="B14" s="18"/>
      <c r="C14" s="32"/>
      <c r="D14" s="33"/>
      <c r="E14" s="33"/>
      <c r="F14" s="34"/>
      <c r="G14" s="24"/>
      <c r="H14" s="24"/>
    </row>
    <row r="15">
      <c r="A15" s="30" t="s">
        <v>210</v>
      </c>
      <c r="B15" s="18" t="s">
        <v>44</v>
      </c>
      <c r="C15" s="32">
        <v>1.0049667E9</v>
      </c>
      <c r="D15" s="33" t="s">
        <v>17</v>
      </c>
      <c r="E15" s="33" t="s">
        <v>37</v>
      </c>
      <c r="F15" s="34" t="s">
        <v>19</v>
      </c>
      <c r="G15" s="24"/>
      <c r="H15" s="24" t="str">
        <f>IF($B15="","",IF($B15="TRANSCARNES","ACTIVO",IF(COUNTIF(RETIROS!E:E,$B15)=1,"PENDIENTE ELIMINAR",IF(COUNTIFS(ASIGNACIONES!$D:$D,$B15,ASIGNACIONES!$H:$H,E15,ASIGNACIONES!$G:$G,$D15,ASIGNACIONES!$J:$J,$F15)=0,"NUEVO","ACTIVO"))))</f>
        <v>ACTIVO</v>
      </c>
    </row>
    <row r="16">
      <c r="A16" s="30" t="s">
        <v>211</v>
      </c>
      <c r="B16" s="18" t="s">
        <v>48</v>
      </c>
      <c r="C16" s="32">
        <v>9.1301967E7</v>
      </c>
      <c r="D16" s="33" t="s">
        <v>17</v>
      </c>
      <c r="E16" s="33" t="s">
        <v>24</v>
      </c>
      <c r="F16" s="34" t="s">
        <v>19</v>
      </c>
      <c r="G16" s="24"/>
      <c r="H16" s="24" t="str">
        <f>IF($B16="","",IF($B16="TRANSCARNES","ACTIVO",IF(COUNTIF(RETIROS!E:E,$B16)=1,"PENDIENTE ELIMINAR",IF(COUNTIFS(ASIGNACIONES!$D:$D,$B16,ASIGNACIONES!$H:$H,E16,ASIGNACIONES!$G:$G,$D16,ASIGNACIONES!$J:$J,$F16)=0,"NUEVO","ACTIVO"))))</f>
        <v>ACTIVO</v>
      </c>
    </row>
    <row r="17">
      <c r="A17" s="30"/>
      <c r="B17" s="18"/>
      <c r="C17" s="32"/>
      <c r="D17" s="33"/>
      <c r="E17" s="33"/>
      <c r="F17" s="34"/>
      <c r="G17" s="24"/>
      <c r="H17" s="24"/>
    </row>
    <row r="18">
      <c r="A18" s="30"/>
      <c r="B18" s="31"/>
      <c r="C18" s="32"/>
      <c r="D18" s="33"/>
      <c r="E18" s="33"/>
      <c r="F18" s="34"/>
      <c r="G18" s="24"/>
      <c r="H18" s="24"/>
    </row>
    <row r="19">
      <c r="A19" s="30"/>
      <c r="B19" s="18"/>
      <c r="C19" s="32"/>
      <c r="D19" s="33"/>
      <c r="E19" s="33"/>
      <c r="F19" s="34"/>
      <c r="G19" s="24"/>
      <c r="H19" s="24"/>
    </row>
    <row r="20">
      <c r="A20" s="30" t="s">
        <v>212</v>
      </c>
      <c r="B20" s="31" t="s">
        <v>52</v>
      </c>
      <c r="C20" s="32">
        <v>1.102360952E9</v>
      </c>
      <c r="D20" s="33" t="s">
        <v>17</v>
      </c>
      <c r="E20" s="33" t="s">
        <v>24</v>
      </c>
      <c r="F20" s="34" t="s">
        <v>19</v>
      </c>
      <c r="G20" s="24"/>
      <c r="H20" s="24" t="str">
        <f>IF($B20="","",IF($B20="TRANSCARNES","ACTIVO",IF(COUNTIF(RETIROS!E:E,$B20)=1,"PENDIENTE ELIMINAR",IF(COUNTIFS(ASIGNACIONES!$D:$D,$B20,ASIGNACIONES!$H:$H,E20,ASIGNACIONES!$G:$G,$D20,ASIGNACIONES!$J:$J,$F20)=0,"NUEVO","ACTIVO"))))</f>
        <v>ACTIVO</v>
      </c>
    </row>
    <row r="21">
      <c r="A21" s="30"/>
      <c r="B21" s="18"/>
      <c r="C21" s="32"/>
      <c r="D21" s="33"/>
      <c r="E21" s="33"/>
      <c r="F21" s="34"/>
      <c r="G21" s="24"/>
      <c r="H21" s="24"/>
    </row>
    <row r="22">
      <c r="A22" s="30" t="s">
        <v>213</v>
      </c>
      <c r="B22" s="31" t="s">
        <v>56</v>
      </c>
      <c r="C22" s="32">
        <v>123456.0</v>
      </c>
      <c r="D22" s="33" t="s">
        <v>58</v>
      </c>
      <c r="E22" s="33" t="s">
        <v>18</v>
      </c>
      <c r="F22" s="34" t="s">
        <v>19</v>
      </c>
      <c r="G22" s="24"/>
      <c r="H22" s="24" t="str">
        <f>IF($B22="","",IF($B22="TRANSCARNES","ACTIVO",IF(COUNTIF(RETIROS!E:E,$B22)=1,"PENDIENTE ELIMINAR",IF(COUNTIFS(ASIGNACIONES!$D:$D,$B22,ASIGNACIONES!$H:$H,E22,ASIGNACIONES!$G:$G,$D22,ASIGNACIONES!$J:$J,$F22)=0,"NUEVO","ACTIVO"))))</f>
        <v>ACTIVO</v>
      </c>
    </row>
    <row r="23">
      <c r="A23" s="30" t="s">
        <v>214</v>
      </c>
      <c r="B23" s="18" t="s">
        <v>61</v>
      </c>
      <c r="C23" s="32">
        <v>123456.0</v>
      </c>
      <c r="D23" s="33" t="s">
        <v>58</v>
      </c>
      <c r="E23" s="33" t="s">
        <v>24</v>
      </c>
      <c r="F23" s="34" t="s">
        <v>19</v>
      </c>
      <c r="G23" s="24"/>
      <c r="H23" s="24" t="str">
        <f>IF($B23="","",IF($B23="TRANSCARNES","ACTIVO",IF(COUNTIF(RETIROS!E:E,$B23)=1,"PENDIENTE ELIMINAR",IF(COUNTIFS(ASIGNACIONES!$D:$D,$B23,ASIGNACIONES!$H:$H,E23,ASIGNACIONES!$G:$G,$D23,ASIGNACIONES!$J:$J,$F23)=0,"NUEVO","ACTIVO"))))</f>
        <v>ACTIVO</v>
      </c>
    </row>
    <row r="24">
      <c r="A24" s="30"/>
      <c r="B24" s="18"/>
      <c r="C24" s="32"/>
      <c r="D24" s="33"/>
      <c r="E24" s="33"/>
      <c r="F24" s="34"/>
      <c r="G24" s="24"/>
      <c r="H24" s="24"/>
    </row>
    <row r="25">
      <c r="A25" s="30" t="s">
        <v>215</v>
      </c>
      <c r="B25" s="18" t="s">
        <v>65</v>
      </c>
      <c r="C25" s="32">
        <v>1.100893469E9</v>
      </c>
      <c r="D25" s="33" t="s">
        <v>17</v>
      </c>
      <c r="E25" s="33" t="s">
        <v>67</v>
      </c>
      <c r="F25" s="34" t="s">
        <v>19</v>
      </c>
      <c r="G25" s="24"/>
      <c r="H25" s="24" t="str">
        <f>IF($B25="","",IF($B25="TRANSCARNES","ACTIVO",IF(COUNTIF(RETIROS!E:E,$B25)=1,"PENDIENTE ELIMINAR",IF(COUNTIFS(ASIGNACIONES!$D:$D,$B25,ASIGNACIONES!$H:$H,E25,ASIGNACIONES!$G:$G,$D25,ASIGNACIONES!$J:$J,$F25)=0,"NUEVO","ACTIVO"))))</f>
        <v>ACTIVO</v>
      </c>
    </row>
    <row r="26">
      <c r="A26" s="30"/>
      <c r="B26" s="18"/>
      <c r="C26" s="32"/>
      <c r="D26" s="33"/>
      <c r="E26" s="33"/>
      <c r="F26" s="34"/>
      <c r="G26" s="24"/>
      <c r="H26" s="24"/>
    </row>
    <row r="27">
      <c r="A27" s="30" t="s">
        <v>216</v>
      </c>
      <c r="B27" s="31" t="s">
        <v>110</v>
      </c>
      <c r="C27" s="32">
        <v>1.095940311E9</v>
      </c>
      <c r="D27" s="33" t="s">
        <v>112</v>
      </c>
      <c r="E27" s="33" t="s">
        <v>67</v>
      </c>
      <c r="F27" s="34" t="s">
        <v>113</v>
      </c>
      <c r="G27" s="24"/>
      <c r="H27" s="24" t="str">
        <f>IF($B27="","",IF($B27="TRANSCARNES","ACTIVO",IF(COUNTIF(RETIROS!E:E,$B27)=1,"PENDIENTE ELIMINAR",IF(COUNTIFS(ASIGNACIONES!$D:$D,$B27,ASIGNACIONES!$H:$H,E27,ASIGNACIONES!$G:$G,$D27,ASIGNACIONES!$J:$J,$F27)=0,"NUEVO","ACTIVO"))))</f>
        <v>ACTIVO</v>
      </c>
    </row>
    <row r="28">
      <c r="A28" s="30" t="s">
        <v>217</v>
      </c>
      <c r="B28" s="18" t="s">
        <v>99</v>
      </c>
      <c r="C28" s="32">
        <v>1.095932394E9</v>
      </c>
      <c r="D28" s="33" t="s">
        <v>101</v>
      </c>
      <c r="E28" s="33" t="s">
        <v>67</v>
      </c>
      <c r="F28" s="34" t="s">
        <v>19</v>
      </c>
      <c r="G28" s="24"/>
      <c r="H28" s="24" t="str">
        <f>IF($B28="","",IF($B28="TRANSCARNES","ACTIVO",IF(COUNTIF(RETIROS!E:E,$B28)=1,"PENDIENTE ELIMINAR",IF(COUNTIFS(ASIGNACIONES!$D:$D,$B28,ASIGNACIONES!$H:$H,E28,ASIGNACIONES!$G:$G,$D28,ASIGNACIONES!$J:$J,$F28)=0,"NUEVO","ACTIVO"))))</f>
        <v>ACTIVO</v>
      </c>
    </row>
    <row r="29">
      <c r="A29" s="30"/>
      <c r="B29" s="18"/>
      <c r="C29" s="32"/>
      <c r="D29" s="33"/>
      <c r="E29" s="33"/>
      <c r="F29" s="34"/>
      <c r="G29" s="24"/>
      <c r="H29" s="24"/>
    </row>
    <row r="30">
      <c r="A30" s="30" t="s">
        <v>218</v>
      </c>
      <c r="B30" s="18" t="s">
        <v>104</v>
      </c>
      <c r="C30" s="32">
        <v>1.095950268E9</v>
      </c>
      <c r="D30" s="33" t="s">
        <v>106</v>
      </c>
      <c r="E30" s="33" t="s">
        <v>67</v>
      </c>
      <c r="F30" s="34" t="s">
        <v>107</v>
      </c>
      <c r="G30" s="24"/>
      <c r="H30" s="24" t="str">
        <f>IF($B30="","",IF($B30="TRANSCARNES","ACTIVO",IF(COUNTIF(RETIROS!E:E,$B30)=1,"PENDIENTE ELIMINAR",IF(COUNTIFS(ASIGNACIONES!$D:$D,$B30,ASIGNACIONES!$H:$H,E30,ASIGNACIONES!$G:$G,$D30,ASIGNACIONES!$J:$J,$F30)=0,"NUEVO","ACTIVO"))))</f>
        <v>ACTIVO</v>
      </c>
    </row>
    <row r="31">
      <c r="A31" s="30"/>
      <c r="B31" s="18"/>
      <c r="C31" s="32"/>
      <c r="D31" s="33"/>
      <c r="E31" s="33"/>
      <c r="F31" s="34"/>
      <c r="G31" s="24"/>
      <c r="H31" s="24"/>
    </row>
    <row r="32">
      <c r="A32" s="30" t="s">
        <v>219</v>
      </c>
      <c r="B32" s="18" t="s">
        <v>70</v>
      </c>
      <c r="C32" s="32">
        <v>1.098725715E9</v>
      </c>
      <c r="D32" s="33" t="s">
        <v>17</v>
      </c>
      <c r="E32" s="33" t="s">
        <v>72</v>
      </c>
      <c r="F32" s="34" t="s">
        <v>19</v>
      </c>
      <c r="G32" s="24"/>
      <c r="H32" s="24" t="str">
        <f>IF($B32="","",IF($B32="TRANSCARNES","ACTIVO",IF(COUNTIF(RETIROS!E:E,$B32)=1,"PENDIENTE ELIMINAR",IF(COUNTIFS(ASIGNACIONES!$D:$D,$B32,ASIGNACIONES!$H:$H,E32,ASIGNACIONES!$G:$G,$D32,ASIGNACIONES!$J:$J,$F32)=0,"NUEVO","ACTIVO"))))</f>
        <v>ACTIVO</v>
      </c>
    </row>
    <row r="33">
      <c r="A33" s="30"/>
      <c r="B33" s="18"/>
      <c r="C33" s="32"/>
      <c r="D33" s="33"/>
      <c r="E33" s="33"/>
      <c r="F33" s="34"/>
      <c r="G33" s="24"/>
      <c r="H33" s="24"/>
    </row>
    <row r="34">
      <c r="A34" s="30"/>
      <c r="B34" s="18"/>
      <c r="C34" s="32"/>
      <c r="D34" s="33"/>
      <c r="E34" s="33"/>
      <c r="F34" s="34"/>
      <c r="G34" s="24"/>
      <c r="H34" s="24"/>
    </row>
    <row r="35">
      <c r="A35" s="30" t="s">
        <v>220</v>
      </c>
      <c r="B35" s="31" t="s">
        <v>75</v>
      </c>
      <c r="C35" s="32">
        <v>1.232892335E9</v>
      </c>
      <c r="D35" s="33" t="s">
        <v>17</v>
      </c>
      <c r="E35" s="33" t="s">
        <v>24</v>
      </c>
      <c r="F35" s="34" t="s">
        <v>19</v>
      </c>
      <c r="G35" s="24"/>
      <c r="H35" s="24" t="str">
        <f>IF($B35="","",IF($B35="TRANSCARNES","ACTIVO",IF(COUNTIF(RETIROS!E:E,$B35)=1,"PENDIENTE ELIMINAR",IF(COUNTIFS(ASIGNACIONES!$D:$D,$B35,ASIGNACIONES!$H:$H,E35,ASIGNACIONES!$G:$G,$D35,ASIGNACIONES!$J:$J,$F35)=0,"NUEVO","ACTIVO"))))</f>
        <v>ACTIVO</v>
      </c>
    </row>
    <row r="36">
      <c r="A36" s="30"/>
      <c r="B36" s="18"/>
      <c r="C36" s="32"/>
      <c r="D36" s="33"/>
      <c r="E36" s="33"/>
      <c r="F36" s="34"/>
      <c r="G36" s="24"/>
      <c r="H36" s="24"/>
    </row>
    <row r="37">
      <c r="A37" s="30"/>
      <c r="B37" s="18"/>
      <c r="C37" s="32"/>
      <c r="D37" s="33"/>
      <c r="E37" s="33"/>
      <c r="F37" s="34"/>
      <c r="G37" s="24"/>
      <c r="H37" s="24"/>
    </row>
    <row r="38">
      <c r="A38" s="30"/>
      <c r="B38" s="18"/>
      <c r="C38" s="32"/>
      <c r="D38" s="33"/>
      <c r="E38" s="33"/>
      <c r="F38" s="34"/>
      <c r="G38" s="24"/>
      <c r="H38" s="24"/>
    </row>
    <row r="39">
      <c r="A39" s="30" t="s">
        <v>221</v>
      </c>
      <c r="B39" s="31" t="s">
        <v>79</v>
      </c>
      <c r="C39" s="32">
        <v>1.095940767E9</v>
      </c>
      <c r="D39" s="33" t="s">
        <v>17</v>
      </c>
      <c r="E39" s="33" t="s">
        <v>24</v>
      </c>
      <c r="F39" s="34" t="s">
        <v>19</v>
      </c>
      <c r="G39" s="24"/>
      <c r="H39" s="24" t="str">
        <f>IF($B39="","",IF($B39="TRANSCARNES","ACTIVO",IF(COUNTIF(RETIROS!E:E,$B39)=1,"PENDIENTE ELIMINAR",IF(COUNTIFS(ASIGNACIONES!$D:$D,$B39,ASIGNACIONES!$H:$H,E39,ASIGNACIONES!$G:$G,$D39,ASIGNACIONES!$J:$J,$F39)=0,"NUEVO","ACTIVO"))))</f>
        <v>ACTIVO</v>
      </c>
    </row>
    <row r="40">
      <c r="A40" s="30" t="s">
        <v>222</v>
      </c>
      <c r="B40" s="18" t="s">
        <v>83</v>
      </c>
      <c r="C40" s="32">
        <v>9.1525181E7</v>
      </c>
      <c r="D40" s="33" t="s">
        <v>17</v>
      </c>
      <c r="E40" s="33" t="s">
        <v>24</v>
      </c>
      <c r="F40" s="34" t="s">
        <v>19</v>
      </c>
      <c r="G40" s="24"/>
      <c r="H40" s="24" t="str">
        <f>IF($B40="","",IF($B40="TRANSCARNES","ACTIVO",IF(COUNTIF(RETIROS!E:E,$B40)=1,"PENDIENTE ELIMINAR",IF(COUNTIFS(ASIGNACIONES!$D:$D,$B40,ASIGNACIONES!$H:$H,E40,ASIGNACIONES!$G:$G,$D40,ASIGNACIONES!$J:$J,$F40)=0,"NUEVO","ACTIVO"))))</f>
        <v>ACTIVO</v>
      </c>
    </row>
    <row r="41">
      <c r="A41" s="30" t="s">
        <v>223</v>
      </c>
      <c r="B41" s="31" t="s">
        <v>87</v>
      </c>
      <c r="C41" s="32">
        <v>1.098802219E9</v>
      </c>
      <c r="D41" s="33" t="s">
        <v>17</v>
      </c>
      <c r="E41" s="33" t="s">
        <v>37</v>
      </c>
      <c r="F41" s="34" t="s">
        <v>19</v>
      </c>
      <c r="G41" s="24"/>
      <c r="H41" s="24" t="str">
        <f>IF($B41="","",IF($B41="TRANSCARNES","ACTIVO",IF(COUNTIF(RETIROS!E:E,$B41)=1,"PENDIENTE ELIMINAR",IF(COUNTIFS(ASIGNACIONES!$D:$D,$B41,ASIGNACIONES!$H:$H,E41,ASIGNACIONES!$G:$G,$D41,ASIGNACIONES!$J:$J,$F41)=0,"NUEVO","ACTIVO"))))</f>
        <v>ACTIVO</v>
      </c>
    </row>
    <row r="42">
      <c r="A42" s="30" t="s">
        <v>224</v>
      </c>
      <c r="B42" s="18" t="s">
        <v>91</v>
      </c>
      <c r="C42" s="32">
        <v>9.1539339E7</v>
      </c>
      <c r="D42" s="33" t="s">
        <v>17</v>
      </c>
      <c r="E42" s="33" t="s">
        <v>24</v>
      </c>
      <c r="F42" s="34" t="s">
        <v>19</v>
      </c>
      <c r="G42" s="24"/>
      <c r="H42" s="24" t="str">
        <f>IF($B42="","",IF($B42="TRANSCARNES","ACTIVO",IF(COUNTIF(RETIROS!E:E,$B42)=1,"PENDIENTE ELIMINAR",IF(COUNTIFS(ASIGNACIONES!$D:$D,$B42,ASIGNACIONES!$H:$H,E42,ASIGNACIONES!$G:$G,$D42,ASIGNACIONES!$J:$J,$F42)=0,"NUEVO","ACTIVO"))))</f>
        <v>ACTIVO</v>
      </c>
    </row>
    <row r="43">
      <c r="A43" s="30" t="s">
        <v>225</v>
      </c>
      <c r="B43" s="31" t="s">
        <v>226</v>
      </c>
      <c r="C43" s="32">
        <v>123456.0</v>
      </c>
      <c r="D43" s="33" t="s">
        <v>189</v>
      </c>
      <c r="E43" s="33" t="s">
        <v>18</v>
      </c>
      <c r="F43" s="34" t="s">
        <v>19</v>
      </c>
      <c r="G43" s="24"/>
      <c r="H43" s="24" t="str">
        <f>IF($B43="","",IF($B43="TRANSCARNES","ACTIVO",IF(COUNTIF(RETIROS!E:E,$B43)=1,"PENDIENTE ELIMINAR",IF(COUNTIFS(ASIGNACIONES!$D:$D,$B43,ASIGNACIONES!$H:$H,E43,ASIGNACIONES!$G:$G,$D43,ASIGNACIONES!$J:$J,$F43)=0,"NUEVO","ACTIVO"))))</f>
        <v>NUEVO</v>
      </c>
    </row>
    <row r="44">
      <c r="A44" s="30"/>
      <c r="B44" s="18"/>
      <c r="C44" s="32"/>
      <c r="D44" s="33"/>
      <c r="E44" s="33"/>
      <c r="F44" s="34"/>
      <c r="G44" s="24"/>
      <c r="H44" s="24"/>
    </row>
    <row r="45">
      <c r="A45" s="30" t="s">
        <v>227</v>
      </c>
      <c r="B45" s="18" t="s">
        <v>95</v>
      </c>
      <c r="C45" s="32">
        <v>9.1477701E7</v>
      </c>
      <c r="D45" s="33" t="s">
        <v>17</v>
      </c>
      <c r="E45" s="33" t="s">
        <v>67</v>
      </c>
      <c r="F45" s="34" t="s">
        <v>19</v>
      </c>
      <c r="G45" s="24"/>
      <c r="H45" s="24" t="str">
        <f>IF($B45="","",IF($B45="TRANSCARNES","ACTIVO",IF(COUNTIF(RETIROS!E:E,$B45)=1,"PENDIENTE ELIMINAR",IF(COUNTIFS(ASIGNACIONES!$D:$D,$B45,ASIGNACIONES!$H:$H,E45,ASIGNACIONES!$G:$G,$D45,ASIGNACIONES!$J:$J,$F45)=0,"NUEVO","ACTIVO"))))</f>
        <v>ACTIVO</v>
      </c>
    </row>
    <row r="46">
      <c r="A46" s="30" t="s">
        <v>228</v>
      </c>
      <c r="B46" s="18" t="s">
        <v>116</v>
      </c>
      <c r="C46" s="32">
        <v>1.005154159E9</v>
      </c>
      <c r="D46" s="33" t="s">
        <v>101</v>
      </c>
      <c r="E46" s="33" t="s">
        <v>24</v>
      </c>
      <c r="F46" s="34" t="s">
        <v>19</v>
      </c>
      <c r="G46" s="24"/>
      <c r="H46" s="24" t="str">
        <f>IF($B46="","",IF($B46="TRANSCARNES","ACTIVO",IF(COUNTIF(RETIROS!E:E,$B46)=1,"PENDIENTE ELIMINAR",IF(COUNTIFS(ASIGNACIONES!$D:$D,$B46,ASIGNACIONES!$H:$H,E46,ASIGNACIONES!$G:$G,$D46,ASIGNACIONES!$J:$J,$F46)=0,"NUEVO","ACTIVO"))))</f>
        <v>ACTIVO</v>
      </c>
    </row>
    <row r="47">
      <c r="A47" s="30"/>
      <c r="B47" s="18"/>
      <c r="C47" s="32"/>
      <c r="D47" s="33"/>
      <c r="E47" s="33"/>
      <c r="F47" s="34"/>
      <c r="G47" s="24"/>
      <c r="H47" s="24"/>
    </row>
    <row r="48">
      <c r="A48" s="30" t="s">
        <v>229</v>
      </c>
      <c r="B48" s="31" t="s">
        <v>120</v>
      </c>
      <c r="C48" s="32">
        <v>1.00554077E9</v>
      </c>
      <c r="D48" s="33" t="s">
        <v>17</v>
      </c>
      <c r="E48" s="33" t="s">
        <v>18</v>
      </c>
      <c r="F48" s="34" t="s">
        <v>19</v>
      </c>
      <c r="G48" s="24"/>
      <c r="H48" s="24" t="str">
        <f>IF($B48="","",IF($B48="TRANSCARNES","ACTIVO",IF(COUNTIF(RETIROS!E:E,$B48)=1,"PENDIENTE ELIMINAR",IF(COUNTIFS(ASIGNACIONES!$D:$D,$B48,ASIGNACIONES!$H:$H,E48,ASIGNACIONES!$G:$G,$D48,ASIGNACIONES!$J:$J,$F48)=0,"NUEVO","ACTIVO"))))</f>
        <v>ACTIVO</v>
      </c>
    </row>
    <row r="49">
      <c r="A49" s="30"/>
      <c r="B49" s="18"/>
      <c r="C49" s="32"/>
      <c r="D49" s="33"/>
      <c r="E49" s="33"/>
      <c r="F49" s="34"/>
      <c r="G49" s="24"/>
      <c r="H49" s="24"/>
    </row>
    <row r="50">
      <c r="A50" s="30"/>
      <c r="B50" s="31"/>
      <c r="C50" s="32"/>
      <c r="D50" s="33"/>
      <c r="E50" s="33"/>
      <c r="F50" s="34"/>
      <c r="G50" s="24"/>
      <c r="H50" s="24"/>
    </row>
    <row r="51">
      <c r="A51" s="30" t="s">
        <v>230</v>
      </c>
      <c r="B51" s="18" t="s">
        <v>124</v>
      </c>
      <c r="C51" s="32">
        <v>1.098725439E9</v>
      </c>
      <c r="D51" s="33" t="s">
        <v>17</v>
      </c>
      <c r="E51" s="33" t="s">
        <v>18</v>
      </c>
      <c r="F51" s="34" t="s">
        <v>19</v>
      </c>
      <c r="G51" s="24"/>
      <c r="H51" s="24" t="str">
        <f>IF($B51="","",IF($B51="TRANSCARNES","ACTIVO",IF(COUNTIF(RETIROS!E:E,$B51)=1,"PENDIENTE ELIMINAR",IF(COUNTIFS(ASIGNACIONES!$D:$D,$B51,ASIGNACIONES!$H:$H,E51,ASIGNACIONES!$G:$G,$D51,ASIGNACIONES!$J:$J,$F51)=0,"NUEVO","ACTIVO"))))</f>
        <v>ACTIVO</v>
      </c>
    </row>
    <row r="52">
      <c r="A52" s="30"/>
      <c r="B52" s="18"/>
      <c r="C52" s="32"/>
      <c r="D52" s="33"/>
      <c r="E52" s="33"/>
      <c r="F52" s="34"/>
      <c r="G52" s="24"/>
      <c r="H52" s="24"/>
    </row>
    <row r="53">
      <c r="A53" s="30" t="s">
        <v>231</v>
      </c>
      <c r="B53" s="18" t="s">
        <v>128</v>
      </c>
      <c r="C53" s="32">
        <v>1.098743062E9</v>
      </c>
      <c r="D53" s="33" t="s">
        <v>17</v>
      </c>
      <c r="E53" s="33" t="s">
        <v>67</v>
      </c>
      <c r="F53" s="34" t="s">
        <v>19</v>
      </c>
      <c r="G53" s="24"/>
      <c r="H53" s="24" t="str">
        <f>IF($B53="","",IF($B53="TRANSCARNES","ACTIVO",IF(COUNTIF(RETIROS!E:E,$B53)=1,"PENDIENTE ELIMINAR",IF(COUNTIFS(ASIGNACIONES!$D:$D,$B53,ASIGNACIONES!$H:$H,E53,ASIGNACIONES!$G:$G,$D53,ASIGNACIONES!$J:$J,$F53)=0,"NUEVO","ACTIVO"))))</f>
        <v>ACTIVO</v>
      </c>
    </row>
    <row r="54">
      <c r="A54" s="30"/>
      <c r="B54" s="31"/>
      <c r="C54" s="32"/>
      <c r="D54" s="33"/>
      <c r="E54" s="33"/>
      <c r="F54" s="34"/>
      <c r="G54" s="24"/>
      <c r="H54" s="24"/>
    </row>
    <row r="55">
      <c r="A55" s="30" t="s">
        <v>232</v>
      </c>
      <c r="B55" s="31" t="s">
        <v>132</v>
      </c>
      <c r="C55" s="32">
        <v>9.1539846E7</v>
      </c>
      <c r="D55" s="33" t="s">
        <v>17</v>
      </c>
      <c r="E55" s="33" t="s">
        <v>18</v>
      </c>
      <c r="F55" s="34" t="s">
        <v>19</v>
      </c>
      <c r="G55" s="24"/>
      <c r="H55" s="24" t="str">
        <f>IF($B55="","",IF($B55="TRANSCARNES","ACTIVO",IF(COUNTIF(RETIROS!E:E,$B55)=1,"PENDIENTE ELIMINAR",IF(COUNTIFS(ASIGNACIONES!$D:$D,$B55,ASIGNACIONES!$H:$H,E55,ASIGNACIONES!$G:$G,$D55,ASIGNACIONES!$J:$J,$F55)=0,"NUEVO","ACTIVO"))))</f>
        <v>ACTIVO</v>
      </c>
    </row>
    <row r="56">
      <c r="A56" s="30"/>
      <c r="B56" s="31"/>
      <c r="C56" s="32"/>
      <c r="D56" s="33"/>
      <c r="E56" s="33"/>
      <c r="F56" s="34"/>
      <c r="G56" s="24"/>
      <c r="H56" s="24"/>
    </row>
    <row r="57">
      <c r="A57" s="30" t="s">
        <v>233</v>
      </c>
      <c r="B57" s="31" t="s">
        <v>136</v>
      </c>
      <c r="C57" s="32">
        <v>1.095837427E9</v>
      </c>
      <c r="D57" s="33" t="s">
        <v>106</v>
      </c>
      <c r="E57" s="33" t="s">
        <v>18</v>
      </c>
      <c r="F57" s="34" t="s">
        <v>107</v>
      </c>
      <c r="G57" s="24"/>
      <c r="H57" s="24" t="str">
        <f>IF($B57="","",IF($B57="TRANSCARNES","ACTIVO",IF(COUNTIF(RETIROS!E:E,$B57)=1,"PENDIENTE ELIMINAR",IF(COUNTIFS(ASIGNACIONES!$D:$D,$B57,ASIGNACIONES!$H:$H,E57,ASIGNACIONES!$G:$G,$D57,ASIGNACIONES!$J:$J,$F57)=0,"NUEVO","ACTIVO"))))</f>
        <v>ACTIVO</v>
      </c>
    </row>
    <row r="58">
      <c r="A58" s="30" t="s">
        <v>234</v>
      </c>
      <c r="B58" s="31" t="s">
        <v>139</v>
      </c>
      <c r="C58" s="32">
        <v>5227620.0</v>
      </c>
      <c r="D58" s="33" t="s">
        <v>101</v>
      </c>
      <c r="E58" s="33" t="s">
        <v>24</v>
      </c>
      <c r="F58" s="34" t="s">
        <v>19</v>
      </c>
      <c r="G58" s="24"/>
      <c r="H58" s="24" t="str">
        <f>IF($B58="","",IF($B58="TRANSCARNES","ACTIVO",IF(COUNTIF(RETIROS!E:E,$B58)=1,"PENDIENTE ELIMINAR",IF(COUNTIFS(ASIGNACIONES!$D:$D,$B58,ASIGNACIONES!$H:$H,E58,ASIGNACIONES!$G:$G,$D58,ASIGNACIONES!$J:$J,$F58)=0,"NUEVO","ACTIVO"))))</f>
        <v>ACTIVO</v>
      </c>
    </row>
    <row r="59">
      <c r="A59" s="30"/>
      <c r="B59" s="18"/>
      <c r="C59" s="32"/>
      <c r="D59" s="33"/>
      <c r="E59" s="33"/>
      <c r="F59" s="34"/>
      <c r="G59" s="24"/>
      <c r="H59" s="24"/>
    </row>
    <row r="60">
      <c r="A60" s="30"/>
      <c r="B60" s="31"/>
      <c r="C60" s="32"/>
      <c r="D60" s="33"/>
      <c r="E60" s="33"/>
      <c r="F60" s="34"/>
      <c r="G60" s="24"/>
      <c r="H60" s="24"/>
    </row>
    <row r="61">
      <c r="A61" s="30"/>
      <c r="B61" s="18"/>
      <c r="C61" s="32"/>
      <c r="D61" s="33"/>
      <c r="E61" s="33"/>
      <c r="F61" s="34"/>
      <c r="G61" s="24"/>
      <c r="H61" s="24"/>
    </row>
    <row r="62">
      <c r="A62" s="30" t="s">
        <v>235</v>
      </c>
      <c r="B62" s="18" t="s">
        <v>143</v>
      </c>
      <c r="C62" s="32">
        <v>1.005259826E9</v>
      </c>
      <c r="D62" s="33" t="s">
        <v>101</v>
      </c>
      <c r="E62" s="33" t="s">
        <v>24</v>
      </c>
      <c r="F62" s="34" t="s">
        <v>19</v>
      </c>
      <c r="G62" s="24"/>
      <c r="H62" s="24" t="str">
        <f>IF($B62="","",IF($B62="TRANSCARNES","ACTIVO",IF(COUNTIF(RETIROS!E:E,$B62)=1,"PENDIENTE ELIMINAR",IF(COUNTIFS(ASIGNACIONES!$D:$D,$B62,ASIGNACIONES!$H:$H,E62,ASIGNACIONES!$G:$G,$D62,ASIGNACIONES!$J:$J,$F62)=0,"NUEVO","ACTIVO"))))</f>
        <v>ACTIVO</v>
      </c>
    </row>
    <row r="63">
      <c r="A63" s="30" t="s">
        <v>236</v>
      </c>
      <c r="B63" s="31" t="s">
        <v>147</v>
      </c>
      <c r="C63" s="32">
        <v>1.097492171E9</v>
      </c>
      <c r="D63" s="33" t="s">
        <v>101</v>
      </c>
      <c r="E63" s="33" t="s">
        <v>24</v>
      </c>
      <c r="F63" s="34" t="s">
        <v>19</v>
      </c>
      <c r="G63" s="24"/>
      <c r="H63" s="24" t="str">
        <f>IF($B63="","",IF($B63="TRANSCARNES","ACTIVO",IF(COUNTIF(RETIROS!E:E,$B63)=1,"PENDIENTE ELIMINAR",IF(COUNTIFS(ASIGNACIONES!$D:$D,$B63,ASIGNACIONES!$H:$H,E63,ASIGNACIONES!$G:$G,$D63,ASIGNACIONES!$J:$J,$F63)=0,"NUEVO","ACTIVO"))))</f>
        <v>ACTIVO</v>
      </c>
    </row>
    <row r="64">
      <c r="A64" s="30"/>
      <c r="B64" s="18"/>
      <c r="C64" s="32"/>
      <c r="D64" s="33"/>
      <c r="E64" s="33"/>
      <c r="F64" s="34"/>
      <c r="G64" s="24"/>
      <c r="H64" s="24"/>
    </row>
    <row r="65">
      <c r="A65" s="30" t="s">
        <v>237</v>
      </c>
      <c r="B65" s="31" t="s">
        <v>151</v>
      </c>
      <c r="C65" s="32">
        <v>1.095948014E9</v>
      </c>
      <c r="D65" s="33" t="s">
        <v>17</v>
      </c>
      <c r="E65" s="33" t="s">
        <v>18</v>
      </c>
      <c r="F65" s="34" t="s">
        <v>19</v>
      </c>
      <c r="G65" s="24"/>
      <c r="H65" s="24" t="str">
        <f>IF($B65="","",IF($B65="TRANSCARNES","ACTIVO",IF(COUNTIF(RETIROS!E:E,$B65)=1,"PENDIENTE ELIMINAR",IF(COUNTIFS(ASIGNACIONES!$D:$D,$B65,ASIGNACIONES!$H:$H,E65,ASIGNACIONES!$G:$G,$D65,ASIGNACIONES!$J:$J,$F65)=0,"NUEVO","ACTIVO"))))</f>
        <v>ACTIVO</v>
      </c>
    </row>
    <row r="66">
      <c r="A66" s="30" t="s">
        <v>238</v>
      </c>
      <c r="B66" s="18" t="s">
        <v>155</v>
      </c>
      <c r="C66" s="32">
        <v>1.098780114E9</v>
      </c>
      <c r="D66" s="33" t="s">
        <v>17</v>
      </c>
      <c r="E66" s="33" t="s">
        <v>24</v>
      </c>
      <c r="F66" s="34" t="s">
        <v>19</v>
      </c>
      <c r="G66" s="24"/>
      <c r="H66" s="24" t="str">
        <f>IF($B66="","",IF($B66="TRANSCARNES","ACTIVO",IF(COUNTIF(RETIROS!E:E,$B66)=1,"PENDIENTE ELIMINAR",IF(COUNTIFS(ASIGNACIONES!$D:$D,$B66,ASIGNACIONES!$H:$H,E66,ASIGNACIONES!$G:$G,$D66,ASIGNACIONES!$J:$J,$F66)=0,"NUEVO","ACTIVO"))))</f>
        <v>ACTIVO</v>
      </c>
    </row>
    <row r="67">
      <c r="A67" s="30" t="s">
        <v>239</v>
      </c>
      <c r="B67" s="18" t="s">
        <v>159</v>
      </c>
      <c r="C67" s="32">
        <v>1.09591308E9</v>
      </c>
      <c r="D67" s="33" t="s">
        <v>17</v>
      </c>
      <c r="E67" s="33" t="s">
        <v>24</v>
      </c>
      <c r="F67" s="34" t="s">
        <v>19</v>
      </c>
      <c r="G67" s="24"/>
      <c r="H67" s="24" t="str">
        <f>IF($B67="","",IF($B67="TRANSCARNES","ACTIVO",IF(COUNTIF(RETIROS!E:E,$B67)=1,"PENDIENTE ELIMINAR",IF(COUNTIFS(ASIGNACIONES!$D:$D,$B67,ASIGNACIONES!$H:$H,E67,ASIGNACIONES!$G:$G,$D67,ASIGNACIONES!$J:$J,$F67)=0,"NUEVO","ACTIVO"))))</f>
        <v>ACTIVO</v>
      </c>
    </row>
    <row r="68">
      <c r="A68" s="30"/>
      <c r="B68" s="18"/>
      <c r="C68" s="32"/>
      <c r="D68" s="33"/>
      <c r="E68" s="33"/>
      <c r="F68" s="34"/>
      <c r="G68" s="24"/>
      <c r="H68" s="24"/>
    </row>
    <row r="69">
      <c r="A69" s="30" t="s">
        <v>240</v>
      </c>
      <c r="B69" s="18" t="s">
        <v>241</v>
      </c>
      <c r="C69" s="32">
        <v>1.010032387E9</v>
      </c>
      <c r="D69" s="33" t="s">
        <v>106</v>
      </c>
      <c r="E69" s="33" t="s">
        <v>24</v>
      </c>
      <c r="F69" s="34" t="s">
        <v>19</v>
      </c>
      <c r="G69" s="24"/>
      <c r="H69" s="24" t="str">
        <f>IF($B69="","",IF($B69="TRANSCARNES","ACTIVO",IF(COUNTIF(RETIROS!E:E,$B69)=1,"PENDIENTE ELIMINAR",IF(COUNTIFS(ASIGNACIONES!$D:$D,$B69,ASIGNACIONES!$H:$H,E69,ASIGNACIONES!$G:$G,$D69,ASIGNACIONES!$J:$J,$F69)=0,"NUEVO","ACTIVO"))))</f>
        <v>NUEVO</v>
      </c>
    </row>
    <row r="70">
      <c r="A70" s="30" t="s">
        <v>242</v>
      </c>
      <c r="B70" s="18" t="s">
        <v>163</v>
      </c>
      <c r="C70" s="32">
        <v>1.005449575E9</v>
      </c>
      <c r="D70" s="33" t="s">
        <v>106</v>
      </c>
      <c r="E70" s="33" t="s">
        <v>164</v>
      </c>
      <c r="F70" s="34" t="s">
        <v>107</v>
      </c>
      <c r="G70" s="24"/>
      <c r="H70" s="24" t="str">
        <f>IF($B70="","",IF($B70="TRANSCARNES","ACTIVO",IF(COUNTIF(RETIROS!E:E,$B70)=1,"PENDIENTE ELIMINAR",IF(COUNTIFS(ASIGNACIONES!$D:$D,$B70,ASIGNACIONES!$H:$H,E70,ASIGNACIONES!$G:$G,$D70,ASIGNACIONES!$J:$J,$F70)=0,"NUEVO","ACTIVO"))))</f>
        <v>ACTIVO</v>
      </c>
    </row>
    <row r="71">
      <c r="A71" s="30" t="s">
        <v>243</v>
      </c>
      <c r="B71" s="18" t="s">
        <v>244</v>
      </c>
      <c r="C71" s="32">
        <v>1.099362991E9</v>
      </c>
      <c r="D71" s="33" t="s">
        <v>17</v>
      </c>
      <c r="E71" s="33" t="s">
        <v>24</v>
      </c>
      <c r="F71" s="34" t="s">
        <v>19</v>
      </c>
      <c r="G71" s="24"/>
      <c r="H71" s="24" t="str">
        <f>IF($B71="","",IF($B71="TRANSCARNES","ACTIVO",IF(COUNTIF(RETIROS!E:E,$B71)=1,"PENDIENTE ELIMINAR",IF(COUNTIFS(ASIGNACIONES!$D:$D,$B71,ASIGNACIONES!$H:$H,E71,ASIGNACIONES!$G:$G,$D71,ASIGNACIONES!$J:$J,$F71)=0,"NUEVO","ACTIVO"))))</f>
        <v>NUEVO</v>
      </c>
    </row>
    <row r="72">
      <c r="A72" s="30"/>
      <c r="B72" s="18"/>
      <c r="C72" s="32"/>
      <c r="D72" s="33"/>
      <c r="E72" s="33"/>
      <c r="F72" s="34"/>
      <c r="G72" s="24"/>
      <c r="H72" s="24"/>
    </row>
    <row r="73">
      <c r="A73" s="30"/>
      <c r="B73" s="35"/>
      <c r="C73" s="32"/>
      <c r="D73" s="36"/>
      <c r="E73" s="36"/>
      <c r="F73" s="34"/>
      <c r="G73" s="24"/>
      <c r="H73" s="24" t="str">
        <f>IF($B73="","",IF($B73="TRANSCARNES","ACTIVO",IF(COUNTIF(RETIROS!E:E,$B73)=1,"PENDIENTE ELIMINAR",IF(COUNTIFS(ASIGNACIONES!$D:$D,$B73,ASIGNACIONES!$H:$H,E73,ASIGNACIONES!$G:$G,$D73,ASIGNACIONES!$J:$J,$F73)=0,"NUEVO","ACTIVO"))))</f>
        <v/>
      </c>
    </row>
    <row r="74">
      <c r="A74" s="30"/>
      <c r="B74" s="35"/>
      <c r="C74" s="32"/>
      <c r="D74" s="36"/>
      <c r="E74" s="36"/>
      <c r="F74" s="34"/>
      <c r="G74" s="24"/>
      <c r="H74" s="24" t="str">
        <f>IF($B74="","",IF($B74="TRANSCARNES","ACTIVO",IF(COUNTIF(RETIROS!E:E,$B74)=1,"PENDIENTE ELIMINAR",IF(COUNTIFS(ASIGNACIONES!$D:$D,$B74,ASIGNACIONES!$H:$H,E74,ASIGNACIONES!$G:$G,$D74,ASIGNACIONES!$J:$J,$F74)=0,"NUEVO","ACTIVO"))))</f>
        <v/>
      </c>
    </row>
    <row r="75">
      <c r="A75" s="30"/>
      <c r="B75" s="37"/>
      <c r="C75" s="32"/>
      <c r="D75" s="36"/>
      <c r="E75" s="36"/>
      <c r="F75" s="34"/>
      <c r="G75" s="24"/>
      <c r="H75" s="24" t="str">
        <f>IF($B75="","",IF($B75="TRANSCARNES","ACTIVO",IF(COUNTIF(RETIROS!E:E,$B75)=1,"PENDIENTE ELIMINAR",IF(COUNTIFS(ASIGNACIONES!$D:$D,$B75,ASIGNACIONES!$H:$H,E75,ASIGNACIONES!$G:$G,$D75,ASIGNACIONES!$J:$J,$F75)=0,"NUEVO","ACTIVO"))))</f>
        <v/>
      </c>
    </row>
    <row r="76">
      <c r="A76" s="30"/>
      <c r="B76" s="31"/>
      <c r="C76" s="32"/>
      <c r="D76" s="36"/>
      <c r="E76" s="36"/>
      <c r="F76" s="34"/>
      <c r="G76" s="24"/>
      <c r="H76" s="24" t="str">
        <f>IF($B76="","",IF($B76="TRANSCARNES","ACTIVO",IF(COUNTIF(RETIROS!E:E,$B76)=1,"PENDIENTE ELIMINAR",IF(COUNTIFS(ASIGNACIONES!$D:$D,$B76,ASIGNACIONES!$H:$H,E76,ASIGNACIONES!$G:$G,$D76,ASIGNACIONES!$J:$J,$F76)=0,"NUEVO","ACTIVO"))))</f>
        <v/>
      </c>
    </row>
    <row r="77">
      <c r="A77" s="30"/>
      <c r="B77" s="35"/>
      <c r="C77" s="32"/>
      <c r="D77" s="36"/>
      <c r="E77" s="36"/>
      <c r="F77" s="34"/>
      <c r="G77" s="24"/>
      <c r="H77" s="24" t="str">
        <f>IF($B77="","",IF($B77="TRANSCARNES","ACTIVO",IF(COUNTIF(RETIROS!E:E,$B77)=1,"PENDIENTE ELIMINAR",IF(COUNTIFS(ASIGNACIONES!$D:$D,$B77,ASIGNACIONES!$H:$H,E77,ASIGNACIONES!$G:$G,$D77,ASIGNACIONES!$J:$J,$F77)=0,"NUEVO","ACTIVO"))))</f>
        <v/>
      </c>
    </row>
    <row r="78">
      <c r="A78" s="30"/>
      <c r="B78" s="18"/>
      <c r="C78" s="32"/>
      <c r="D78" s="36"/>
      <c r="E78" s="36"/>
      <c r="F78" s="34"/>
      <c r="G78" s="24"/>
      <c r="H78" s="24" t="str">
        <f>IF($B78="","",IF($B78="TRANSCARNES","ACTIVO",IF(COUNTIF(RETIROS!E:E,$B78)=1,"PENDIENTE ELIMINAR",IF(COUNTIFS(ASIGNACIONES!$D:$D,$B78,ASIGNACIONES!$H:$H,E78,ASIGNACIONES!$G:$G,$D78,ASIGNACIONES!$J:$J,$F78)=0,"NUEVO","ACTIVO"))))</f>
        <v/>
      </c>
    </row>
    <row r="79">
      <c r="A79" s="30"/>
      <c r="B79" s="31"/>
      <c r="C79" s="32"/>
      <c r="D79" s="36"/>
      <c r="E79" s="36"/>
      <c r="F79" s="34"/>
      <c r="G79" s="24"/>
      <c r="H79" s="24" t="str">
        <f>IF($B79="","",IF($B79="TRANSCARNES","ACTIVO",IF(COUNTIF(RETIROS!E:E,$B79)=1,"PENDIENTE ELIMINAR",IF(COUNTIFS(ASIGNACIONES!$D:$D,$B79,ASIGNACIONES!$H:$H,E79,ASIGNACIONES!$G:$G,$D79,ASIGNACIONES!$J:$J,$F79)=0,"NUEVO","ACTIVO"))))</f>
        <v/>
      </c>
    </row>
    <row r="80">
      <c r="A80" s="30"/>
      <c r="B80" s="18"/>
      <c r="C80" s="32"/>
      <c r="D80" s="36"/>
      <c r="E80" s="36"/>
      <c r="F80" s="34"/>
      <c r="G80" s="24"/>
      <c r="H80" s="24" t="str">
        <f>IF($B80="","",IF($B80="TRANSCARNES","ACTIVO",IF(COUNTIF(RETIROS!E:E,$B80)=1,"PENDIENTE ELIMINAR",IF(COUNTIFS(ASIGNACIONES!$D:$D,$B80,ASIGNACIONES!$H:$H,E80,ASIGNACIONES!$G:$G,$D80,ASIGNACIONES!$J:$J,$F80)=0,"NUEVO","ACTIVO"))))</f>
        <v/>
      </c>
    </row>
    <row r="81">
      <c r="A81" s="30"/>
      <c r="B81" s="31"/>
      <c r="C81" s="32"/>
      <c r="D81" s="36"/>
      <c r="E81" s="36"/>
      <c r="F81" s="34"/>
      <c r="G81" s="24"/>
      <c r="H81" s="24" t="str">
        <f>IF($B81="","",IF($B81="TRANSCARNES","ACTIVO",IF(COUNTIF(RETIROS!E:E,$B81)=1,"PENDIENTE ELIMINAR",IF(COUNTIFS(ASIGNACIONES!$D:$D,$B81,ASIGNACIONES!$H:$H,E81,ASIGNACIONES!$G:$G,$D81,ASIGNACIONES!$J:$J,$F81)=0,"NUEVO","ACTIVO"))))</f>
        <v/>
      </c>
    </row>
    <row r="82">
      <c r="A82" s="30"/>
      <c r="B82" s="35"/>
      <c r="C82" s="32"/>
      <c r="D82" s="36"/>
      <c r="E82" s="36"/>
      <c r="F82" s="34"/>
      <c r="G82" s="24"/>
      <c r="H82" s="24" t="str">
        <f>IF($B82="","",IF($B82="TRANSCARNES","ACTIVO",IF(COUNTIF(RETIROS!E:E,$B82)=1,"PENDIENTE ELIMINAR",IF(COUNTIFS(ASIGNACIONES!$D:$D,$B82,ASIGNACIONES!$H:$H,E82,ASIGNACIONES!$G:$G,$D82,ASIGNACIONES!$J:$J,$F82)=0,"NUEVO","ACTIVO"))))</f>
        <v/>
      </c>
    </row>
    <row r="83">
      <c r="A83" s="30"/>
      <c r="B83" s="35"/>
      <c r="C83" s="32"/>
      <c r="D83" s="36"/>
      <c r="E83" s="36"/>
      <c r="F83" s="34"/>
      <c r="G83" s="24"/>
      <c r="H83" s="24" t="str">
        <f>IF($B83="","",IF($B83="TRANSCARNES","ACTIVO",IF(COUNTIF(RETIROS!E:E,$B83)=1,"PENDIENTE ELIMINAR",IF(COUNTIFS(ASIGNACIONES!$D:$D,$B83,ASIGNACIONES!$H:$H,E83,ASIGNACIONES!$G:$G,$D83,ASIGNACIONES!$J:$J,$F83)=0,"NUEVO","ACTIVO"))))</f>
        <v/>
      </c>
    </row>
    <row r="84">
      <c r="A84" s="30"/>
      <c r="B84" s="31"/>
      <c r="C84" s="32"/>
      <c r="D84" s="36"/>
      <c r="E84" s="36"/>
      <c r="F84" s="34"/>
      <c r="G84" s="24"/>
      <c r="H84" s="24" t="str">
        <f>IF($B84="","",IF($B84="TRANSCARNES","ACTIVO",IF(COUNTIF(RETIROS!E:E,$B84)=1,"PENDIENTE ELIMINAR",IF(COUNTIFS(ASIGNACIONES!$D:$D,$B84,ASIGNACIONES!$H:$H,E84,ASIGNACIONES!$G:$G,$D84,ASIGNACIONES!$J:$J,$F84)=0,"NUEVO","ACTIVO"))))</f>
        <v/>
      </c>
    </row>
    <row r="85">
      <c r="A85" s="30"/>
      <c r="B85" s="18"/>
      <c r="C85" s="32"/>
      <c r="D85" s="33"/>
      <c r="E85" s="33"/>
      <c r="F85" s="34"/>
      <c r="G85" s="24"/>
      <c r="H85" s="24" t="str">
        <f>IF($B85="","",IF($B85="TRANSCARNES","ACTIVO",IF(COUNTIF(RETIROS!E:E,$B85)=1,"PENDIENTE ELIMINAR",IF(COUNTIFS(ASIGNACIONES!$D:$D,$B85,ASIGNACIONES!$H:$H,E85,ASIGNACIONES!$G:$G,$D85,ASIGNACIONES!$J:$J,$F85)=0,"NUEVO","ACTIVO"))))</f>
        <v/>
      </c>
    </row>
    <row r="86">
      <c r="A86" s="30"/>
      <c r="B86" s="18"/>
      <c r="C86" s="32"/>
      <c r="D86" s="36"/>
      <c r="E86" s="36"/>
      <c r="F86" s="34"/>
      <c r="G86" s="24"/>
      <c r="H86" s="24" t="str">
        <f>IF($B86="","",IF($B86="TRANSCARNES","ACTIVO",IF(COUNTIF(RETIROS!E:E,$B86)=1,"PENDIENTE ELIMINAR",IF(COUNTIFS(ASIGNACIONES!$D:$D,$B86,ASIGNACIONES!$H:$H,E86,ASIGNACIONES!$G:$G,$D86,ASIGNACIONES!$J:$J,$F86)=0,"NUEVO","ACTIVO"))))</f>
        <v/>
      </c>
    </row>
    <row r="87">
      <c r="A87" s="30"/>
      <c r="B87" s="18"/>
      <c r="C87" s="32"/>
      <c r="D87" s="33"/>
      <c r="E87" s="33"/>
      <c r="F87" s="34"/>
      <c r="G87" s="24"/>
      <c r="H87" s="24" t="str">
        <f>IF($B87="","",IF($B87="TRANSCARNES","ACTIVO",IF(COUNTIF(RETIROS!E:E,$B87)=1,"PENDIENTE ELIMINAR",IF(COUNTIFS(ASIGNACIONES!$D:$D,$B87,ASIGNACIONES!$H:$H,E87,ASIGNACIONES!$G:$G,$D87,ASIGNACIONES!$J:$J,$F87)=0,"NUEVO","ACTIVO"))))</f>
        <v/>
      </c>
    </row>
    <row r="88">
      <c r="A88" s="30"/>
      <c r="B88" s="31"/>
      <c r="C88" s="32"/>
      <c r="D88" s="36"/>
      <c r="E88" s="36"/>
      <c r="F88" s="34"/>
      <c r="G88" s="24"/>
      <c r="H88" s="24" t="str">
        <f>IF($B88="","",IF($B88="TRANSCARNES","ACTIVO",IF(COUNTIF(RETIROS!E:E,$B88)=1,"PENDIENTE ELIMINAR",IF(COUNTIFS(ASIGNACIONES!$D:$D,$B88,ASIGNACIONES!$H:$H,E88,ASIGNACIONES!$G:$G,$D88,ASIGNACIONES!$J:$J,$F88)=0,"NUEVO","ACTIVO"))))</f>
        <v/>
      </c>
    </row>
    <row r="89">
      <c r="A89" s="30"/>
      <c r="B89" s="18"/>
      <c r="C89" s="32"/>
      <c r="D89" s="36"/>
      <c r="E89" s="36"/>
      <c r="F89" s="34"/>
      <c r="G89" s="24"/>
      <c r="H89" s="24" t="str">
        <f>IF($B89="","",IF($B89="TRANSCARNES","ACTIVO",IF(COUNTIF(RETIROS!E:E,$B89)=1,"PENDIENTE ELIMINAR",IF(COUNTIFS(ASIGNACIONES!$D:$D,$B89,ASIGNACIONES!$H:$H,E89,ASIGNACIONES!$G:$G,$D89,ASIGNACIONES!$J:$J,$F89)=0,"NUEVO","ACTIVO"))))</f>
        <v/>
      </c>
    </row>
    <row r="90">
      <c r="A90" s="30"/>
      <c r="B90" s="31"/>
      <c r="C90" s="32"/>
      <c r="D90" s="36"/>
      <c r="E90" s="36"/>
      <c r="F90" s="34"/>
      <c r="G90" s="24"/>
      <c r="H90" s="24" t="str">
        <f>IF($B90="","",IF($B90="TRANSCARNES","ACTIVO",IF(COUNTIF(RETIROS!E:E,$B90)=1,"PENDIENTE ELIMINAR",IF(COUNTIFS(ASIGNACIONES!$D:$D,$B90,ASIGNACIONES!$H:$H,E90,ASIGNACIONES!$G:$G,$D90,ASIGNACIONES!$J:$J,$F90)=0,"NUEVO","ACTIVO"))))</f>
        <v/>
      </c>
    </row>
    <row r="91">
      <c r="A91" s="30"/>
      <c r="B91" s="31"/>
      <c r="C91" s="32"/>
      <c r="D91" s="36"/>
      <c r="E91" s="36"/>
      <c r="F91" s="34"/>
      <c r="G91" s="24"/>
      <c r="H91" s="24" t="str">
        <f>IF($B91="","",IF($B91="TRANSCARNES","ACTIVO",IF(COUNTIF(RETIROS!E:E,$B91)=1,"PENDIENTE ELIMINAR",IF(COUNTIFS(ASIGNACIONES!$D:$D,$B91,ASIGNACIONES!$H:$H,E91,ASIGNACIONES!$G:$G,$D91,ASIGNACIONES!$J:$J,$F91)=0,"NUEVO","ACTIVO"))))</f>
        <v/>
      </c>
    </row>
    <row r="92">
      <c r="A92" s="30"/>
      <c r="B92" s="18"/>
      <c r="C92" s="32"/>
      <c r="D92" s="36"/>
      <c r="E92" s="36"/>
      <c r="F92" s="34"/>
      <c r="G92" s="24"/>
      <c r="H92" s="24" t="str">
        <f>IF($B92="","",IF($B92="TRANSCARNES","ACTIVO",IF(COUNTIF(RETIROS!E:E,$B92)=1,"PENDIENTE ELIMINAR",IF(COUNTIFS(ASIGNACIONES!$D:$D,$B92,ASIGNACIONES!$H:$H,E92,ASIGNACIONES!$G:$G,$D92,ASIGNACIONES!$J:$J,$F92)=0,"NUEVO","ACTIVO"))))</f>
        <v/>
      </c>
    </row>
    <row r="93">
      <c r="A93" s="30"/>
      <c r="B93" s="31"/>
      <c r="C93" s="32"/>
      <c r="D93" s="36"/>
      <c r="E93" s="36"/>
      <c r="F93" s="34"/>
      <c r="G93" s="24"/>
      <c r="H93" s="24" t="str">
        <f>IF($B93="","",IF($B93="TRANSCARNES","ACTIVO",IF(COUNTIF(RETIROS!E:E,$B93)=1,"PENDIENTE ELIMINAR",IF(COUNTIFS(ASIGNACIONES!$D:$D,$B93,ASIGNACIONES!$H:$H,E93,ASIGNACIONES!$G:$G,$D93,ASIGNACIONES!$J:$J,$F93)=0,"NUEVO","ACTIVO"))))</f>
        <v/>
      </c>
    </row>
    <row r="94">
      <c r="A94" s="30"/>
      <c r="B94" s="31"/>
      <c r="C94" s="32"/>
      <c r="D94" s="36"/>
      <c r="E94" s="36"/>
      <c r="F94" s="34"/>
      <c r="G94" s="24"/>
      <c r="H94" s="24" t="str">
        <f>IF($B94="","",IF($B94="TRANSCARNES","ACTIVO",IF(COUNTIF(RETIROS!E:E,$B94)=1,"PENDIENTE ELIMINAR",IF(COUNTIFS(ASIGNACIONES!$D:$D,$B94,ASIGNACIONES!$H:$H,E94,ASIGNACIONES!$G:$G,$D94,ASIGNACIONES!$J:$J,$F94)=0,"NUEVO","ACTIVO"))))</f>
        <v/>
      </c>
    </row>
    <row r="95">
      <c r="A95" s="30"/>
      <c r="B95" s="37"/>
      <c r="C95" s="32"/>
      <c r="D95" s="36"/>
      <c r="E95" s="36"/>
      <c r="F95" s="34"/>
      <c r="G95" s="24"/>
      <c r="H95" s="24" t="str">
        <f>IF($B95="","",IF($B95="TRANSCARNES","ACTIVO",IF(COUNTIF(RETIROS!E:E,$B95)=1,"PENDIENTE ELIMINAR",IF(COUNTIFS(ASIGNACIONES!$D:$D,$B95,ASIGNACIONES!$H:$H,E95,ASIGNACIONES!$G:$G,$D95,ASIGNACIONES!$J:$J,$F95)=0,"NUEVO","ACTIVO"))))</f>
        <v/>
      </c>
    </row>
    <row r="96">
      <c r="A96" s="30"/>
      <c r="B96" s="31"/>
      <c r="C96" s="32"/>
      <c r="D96" s="36"/>
      <c r="E96" s="36"/>
      <c r="F96" s="34"/>
      <c r="G96" s="38"/>
      <c r="H96" s="24" t="str">
        <f>IF($B96="","",IF($B96="TRANSCARNES","ACTIVO",IF(COUNTIF(RETIROS!E:E,$B96)=1,"PENDIENTE ELIMINAR",IF(COUNTIFS(ASIGNACIONES!$D:$D,$B96,ASIGNACIONES!$H:$H,E96,ASIGNACIONES!$G:$G,$D96,ASIGNACIONES!$J:$J,$F96)=0,"NUEVO","ACTIVO"))))</f>
        <v/>
      </c>
    </row>
    <row r="97">
      <c r="A97" s="30"/>
      <c r="B97" s="18"/>
      <c r="C97" s="32"/>
      <c r="D97" s="36"/>
      <c r="E97" s="36"/>
      <c r="F97" s="34"/>
      <c r="G97" s="24"/>
      <c r="H97" s="24" t="str">
        <f>IF($B97="","",IF($B97="TRANSCARNES","ACTIVO",IF(COUNTIF(RETIROS!E:E,$B97)=1,"PENDIENTE ELIMINAR",IF(COUNTIFS(ASIGNACIONES!$D:$D,$B97,ASIGNACIONES!$H:$H,E97,ASIGNACIONES!$G:$G,$D97,ASIGNACIONES!$J:$J,$F97)=0,"NUEVO","ACTIVO"))))</f>
        <v/>
      </c>
    </row>
    <row r="98">
      <c r="A98" s="30"/>
      <c r="B98" s="18"/>
      <c r="C98" s="32"/>
      <c r="D98" s="33"/>
      <c r="E98" s="33"/>
      <c r="F98" s="34"/>
      <c r="G98" s="24"/>
      <c r="H98" s="24" t="str">
        <f>IF($B98="","",IF($B98="TRANSCARNES","ACTIVO",IF(COUNTIF(RETIROS!E:E,$B98)=1,"PENDIENTE ELIMINAR",IF(COUNTIFS(ASIGNACIONES!$D:$D,$B98,ASIGNACIONES!$H:$H,E98,ASIGNACIONES!$G:$G,$D98,ASIGNACIONES!$J:$J,$F98)=0,"NUEVO","ACTIVO"))))</f>
        <v/>
      </c>
    </row>
    <row r="99">
      <c r="A99" s="30"/>
      <c r="B99" s="31"/>
      <c r="C99" s="32"/>
      <c r="D99" s="36"/>
      <c r="E99" s="36"/>
      <c r="F99" s="34"/>
      <c r="G99" s="24"/>
      <c r="H99" s="24" t="str">
        <f>IF($B99="","",IF($B99="TRANSCARNES","ACTIVO",IF(COUNTIF(RETIROS!E:E,$B99)=1,"PENDIENTE ELIMINAR",IF(COUNTIFS(ASIGNACIONES!$D:$D,$B99,ASIGNACIONES!$H:$H,E99,ASIGNACIONES!$G:$G,$D99,ASIGNACIONES!$J:$J,$F99)=0,"NUEVO","ACTIVO"))))</f>
        <v/>
      </c>
    </row>
    <row r="100">
      <c r="A100" s="30"/>
      <c r="B100" s="18"/>
      <c r="C100" s="32"/>
      <c r="D100" s="33"/>
      <c r="E100" s="33"/>
      <c r="F100" s="34"/>
      <c r="G100" s="24"/>
      <c r="H100" s="24" t="str">
        <f>IF($B100="","",IF($B100="TRANSCARNES","ACTIVO",IF(COUNTIF(RETIROS!E:E,$B100)=1,"PENDIENTE ELIMINAR",IF(COUNTIFS(ASIGNACIONES!$D:$D,$B100,ASIGNACIONES!$H:$H,E100,ASIGNACIONES!$G:$G,$D100,ASIGNACIONES!$J:$J,$F100)=0,"NUEVO","ACTIVO"))))</f>
        <v/>
      </c>
    </row>
    <row r="101">
      <c r="A101" s="30"/>
      <c r="B101" s="18"/>
      <c r="C101" s="32"/>
      <c r="D101" s="33"/>
      <c r="E101" s="33"/>
      <c r="F101" s="34"/>
      <c r="G101" s="24"/>
      <c r="H101" s="24" t="str">
        <f>IF($B101="","",IF($B101="TRANSCARNES","ACTIVO",IF(COUNTIF(RETIROS!E:E,$B101)=1,"PENDIENTE ELIMINAR",IF(COUNTIFS(ASIGNACIONES!$D:$D,$B101,ASIGNACIONES!$H:$H,E101,ASIGNACIONES!$G:$G,$D101,ASIGNACIONES!$J:$J,$F101)=0,"NUEVO","ACTIVO"))))</f>
        <v/>
      </c>
    </row>
    <row r="102">
      <c r="A102" s="30"/>
      <c r="B102" s="35"/>
      <c r="C102" s="32"/>
      <c r="D102" s="36"/>
      <c r="E102" s="36"/>
      <c r="F102" s="34"/>
      <c r="G102" s="24"/>
      <c r="H102" s="24" t="str">
        <f>IF($B102="","",IF($B102="TRANSCARNES","ACTIVO",IF(COUNTIF(RETIROS!E:E,$B102)=1,"PENDIENTE ELIMINAR",IF(COUNTIFS(ASIGNACIONES!$D:$D,$B102,ASIGNACIONES!$H:$H,E102,ASIGNACIONES!$G:$G,$D102,ASIGNACIONES!$J:$J,$F102)=0,"NUEVO","ACTIVO"))))</f>
        <v/>
      </c>
    </row>
    <row r="103">
      <c r="A103" s="30"/>
      <c r="B103" s="18"/>
      <c r="C103" s="32"/>
      <c r="D103" s="33"/>
      <c r="E103" s="33"/>
      <c r="F103" s="34"/>
      <c r="G103" s="24"/>
      <c r="H103" s="24" t="str">
        <f>IF($B103="","",IF($B103="TRANSCARNES","ACTIVO",IF(COUNTIF(RETIROS!E:E,$B103)=1,"PENDIENTE ELIMINAR",IF(COUNTIFS(ASIGNACIONES!$D:$D,$B103,ASIGNACIONES!$H:$H,E103,ASIGNACIONES!$G:$G,$D103,ASIGNACIONES!$J:$J,$F103)=0,"NUEVO","ACTIVO"))))</f>
        <v/>
      </c>
    </row>
    <row r="104">
      <c r="A104" s="30"/>
      <c r="B104" s="35"/>
      <c r="C104" s="32"/>
      <c r="D104" s="36"/>
      <c r="E104" s="36"/>
      <c r="F104" s="34"/>
      <c r="G104" s="24"/>
      <c r="H104" s="24" t="str">
        <f>IF($B104="","",IF($B104="TRANSCARNES","ACTIVO",IF(COUNTIF(RETIROS!E:E,$B104)=1,"PENDIENTE ELIMINAR",IF(COUNTIFS(ASIGNACIONES!$D:$D,$B104,ASIGNACIONES!$H:$H,E104,ASIGNACIONES!$G:$G,$D104,ASIGNACIONES!$J:$J,$F104)=0,"NUEVO","ACTIVO"))))</f>
        <v/>
      </c>
    </row>
    <row r="105">
      <c r="A105" s="30"/>
      <c r="B105" s="31"/>
      <c r="C105" s="32"/>
      <c r="D105" s="36"/>
      <c r="E105" s="36"/>
      <c r="F105" s="34"/>
      <c r="G105" s="24"/>
      <c r="H105" s="24" t="str">
        <f>IF($B105="","",IF($B105="TRANSCARNES","ACTIVO",IF(COUNTIF(RETIROS!E:E,$B105)=1,"PENDIENTE ELIMINAR",IF(COUNTIFS(ASIGNACIONES!$D:$D,$B105,ASIGNACIONES!$H:$H,E105,ASIGNACIONES!$G:$G,$D105,ASIGNACIONES!$J:$J,$F105)=0,"NUEVO","ACTIVO"))))</f>
        <v/>
      </c>
    </row>
    <row r="106">
      <c r="A106" s="30"/>
      <c r="B106" s="18"/>
      <c r="C106" s="32"/>
      <c r="D106" s="33"/>
      <c r="E106" s="33"/>
      <c r="F106" s="34"/>
      <c r="G106" s="24"/>
      <c r="H106" s="24" t="str">
        <f>IF($B106="","",IF($B106="TRANSCARNES","ACTIVO",IF(COUNTIF(RETIROS!E:E,$B106)=1,"PENDIENTE ELIMINAR",IF(COUNTIFS(ASIGNACIONES!$D:$D,$B106,ASIGNACIONES!$H:$H,E106,ASIGNACIONES!$G:$G,$D106,ASIGNACIONES!$J:$J,$F106)=0,"NUEVO","ACTIVO"))))</f>
        <v/>
      </c>
    </row>
    <row r="107">
      <c r="A107" s="30"/>
      <c r="B107" s="18"/>
      <c r="C107" s="32"/>
      <c r="D107" s="33"/>
      <c r="E107" s="33"/>
      <c r="F107" s="34"/>
      <c r="G107" s="24"/>
      <c r="H107" s="24" t="str">
        <f>IF($B107="","",IF($B107="TRANSCARNES","ACTIVO",IF(COUNTIF(RETIROS!E:E,$B107)=1,"PENDIENTE ELIMINAR",IF(COUNTIFS(ASIGNACIONES!$D:$D,$B107,ASIGNACIONES!$H:$H,E107,ASIGNACIONES!$G:$G,$D107,ASIGNACIONES!$J:$J,$F107)=0,"NUEVO","ACTIVO"))))</f>
        <v/>
      </c>
    </row>
    <row r="108">
      <c r="A108" s="30"/>
      <c r="B108" s="14"/>
      <c r="C108" s="32"/>
      <c r="D108" s="33"/>
      <c r="E108" s="33"/>
      <c r="F108" s="34"/>
      <c r="G108" s="24"/>
      <c r="H108" s="24" t="str">
        <f>IF($B108="","",IF($B108="TRANSCARNES","ACTIVO",IF(COUNTIF(RETIROS!E:E,$B108)=1,"PENDIENTE ELIMINAR",IF(COUNTIFS(ASIGNACIONES!$D:$D,$B108,ASIGNACIONES!$H:$H,E108,ASIGNACIONES!$G:$G,$D108,ASIGNACIONES!$J:$J,$F108)=0,"NUEVO","ACTIVO"))))</f>
        <v/>
      </c>
    </row>
    <row r="109">
      <c r="A109" s="30"/>
      <c r="B109" s="18"/>
      <c r="C109" s="32"/>
      <c r="D109" s="33"/>
      <c r="E109" s="33"/>
      <c r="F109" s="34"/>
      <c r="G109" s="24"/>
      <c r="H109" s="24" t="str">
        <f>IF($B109="","",IF($B109="TRANSCARNES","ACTIVO",IF(COUNTIF(RETIROS!E:E,$B109)=1,"PENDIENTE ELIMINAR",IF(COUNTIFS(ASIGNACIONES!$D:$D,$B109,ASIGNACIONES!$H:$H,E109,ASIGNACIONES!$G:$G,$D109,ASIGNACIONES!$J:$J,$F109)=0,"NUEVO","ACTIVO"))))</f>
        <v/>
      </c>
    </row>
    <row r="110">
      <c r="A110" s="30"/>
      <c r="B110" s="31"/>
      <c r="C110" s="32"/>
      <c r="D110" s="36"/>
      <c r="E110" s="36"/>
      <c r="F110" s="34"/>
      <c r="G110" s="24"/>
      <c r="H110" s="24" t="str">
        <f>IF($B110="","",IF($B110="TRANSCARNES","ACTIVO",IF(COUNTIF(RETIROS!E:E,$B110)=1,"PENDIENTE ELIMINAR",IF(COUNTIFS(ASIGNACIONES!$D:$D,$B110,ASIGNACIONES!$H:$H,E110,ASIGNACIONES!$G:$G,$D110,ASIGNACIONES!$J:$J,$F110)=0,"NUEVO","ACTIVO"))))</f>
        <v/>
      </c>
    </row>
    <row r="111">
      <c r="A111" s="30"/>
      <c r="B111" s="18"/>
      <c r="C111" s="32"/>
      <c r="D111" s="36"/>
      <c r="E111" s="36"/>
      <c r="F111" s="34"/>
      <c r="G111" s="24"/>
      <c r="H111" s="24" t="str">
        <f>IF($B111="","",IF($B111="TRANSCARNES","ACTIVO",IF(COUNTIF(RETIROS!E:E,$B111)=1,"PENDIENTE ELIMINAR",IF(COUNTIFS(ASIGNACIONES!$D:$D,$B111,ASIGNACIONES!$H:$H,E111,ASIGNACIONES!$G:$G,$D111,ASIGNACIONES!$J:$J,$F111)=0,"NUEVO","ACTIVO"))))</f>
        <v/>
      </c>
    </row>
    <row r="112">
      <c r="A112" s="30"/>
      <c r="B112" s="18"/>
      <c r="C112" s="32"/>
      <c r="D112" s="36"/>
      <c r="E112" s="36"/>
      <c r="F112" s="34"/>
      <c r="G112" s="24"/>
      <c r="H112" s="24" t="str">
        <f>IF($B112="","",IF($B112="TRANSCARNES","ACTIVO",IF(COUNTIF(RETIROS!E:E,$B112)=1,"PENDIENTE ELIMINAR",IF(COUNTIFS(ASIGNACIONES!$D:$D,$B112,ASIGNACIONES!$H:$H,E112,ASIGNACIONES!$G:$G,$D112,ASIGNACIONES!$J:$J,$F112)=0,"NUEVO","ACTIVO"))))</f>
        <v/>
      </c>
    </row>
    <row r="113">
      <c r="A113" s="30"/>
      <c r="B113" s="35"/>
      <c r="C113" s="32"/>
      <c r="D113" s="36"/>
      <c r="E113" s="36"/>
      <c r="F113" s="34"/>
      <c r="G113" s="24"/>
      <c r="H113" s="24" t="str">
        <f>IF($B113="","",IF($B113="TRANSCARNES","ACTIVO",IF(COUNTIF(RETIROS!E:E,$B113)=1,"PENDIENTE ELIMINAR",IF(COUNTIFS(ASIGNACIONES!$D:$D,$B113,ASIGNACIONES!$H:$H,E113,ASIGNACIONES!$G:$G,$D113,ASIGNACIONES!$J:$J,$F113)=0,"NUEVO","ACTIVO"))))</f>
        <v/>
      </c>
    </row>
    <row r="114">
      <c r="A114" s="30"/>
      <c r="B114" s="35"/>
      <c r="C114" s="32"/>
      <c r="D114" s="36"/>
      <c r="E114" s="36"/>
      <c r="F114" s="34"/>
      <c r="G114" s="24"/>
      <c r="H114" s="24" t="str">
        <f>IF($B114="","",IF($B114="TRANSCARNES","ACTIVO",IF(COUNTIF(RETIROS!E:E,$B114)=1,"PENDIENTE ELIMINAR",IF(COUNTIFS(ASIGNACIONES!$D:$D,$B114,ASIGNACIONES!$H:$H,E114,ASIGNACIONES!$G:$G,$D114,ASIGNACIONES!$J:$J,$F114)=0,"NUEVO","ACTIVO"))))</f>
        <v/>
      </c>
    </row>
    <row r="115">
      <c r="A115" s="30"/>
      <c r="B115" s="37"/>
      <c r="C115" s="32"/>
      <c r="D115" s="36"/>
      <c r="E115" s="36"/>
      <c r="F115" s="34"/>
      <c r="G115" s="24"/>
      <c r="H115" s="24" t="str">
        <f>IF($B115="","",IF($B115="TRANSCARNES","ACTIVO",IF(COUNTIF(RETIROS!E:E,$B115)=1,"PENDIENTE ELIMINAR",IF(COUNTIFS(ASIGNACIONES!$D:$D,$B115,ASIGNACIONES!$H:$H,E115,ASIGNACIONES!$G:$G,$D115,ASIGNACIONES!$J:$J,$F115)=0,"NUEVO","ACTIVO"))))</f>
        <v/>
      </c>
    </row>
    <row r="116">
      <c r="A116" s="30"/>
      <c r="B116" s="18"/>
      <c r="C116" s="32"/>
      <c r="D116" s="33"/>
      <c r="E116" s="33"/>
      <c r="F116" s="34"/>
      <c r="G116" s="24"/>
      <c r="H116" s="24" t="str">
        <f>IF($B116="","",IF($B116="TRANSCARNES","ACTIVO",IF(COUNTIF(RETIROS!E:E,$B116)=1,"PENDIENTE ELIMINAR",IF(COUNTIFS(ASIGNACIONES!$D:$D,$B116,ASIGNACIONES!$H:$H,E116,ASIGNACIONES!$G:$G,$D116,ASIGNACIONES!$J:$J,$F116)=0,"NUEVO","ACTIVO"))))</f>
        <v/>
      </c>
    </row>
    <row r="117">
      <c r="A117" s="30"/>
      <c r="B117" s="31"/>
      <c r="C117" s="32"/>
      <c r="D117" s="36"/>
      <c r="E117" s="36"/>
      <c r="F117" s="34"/>
      <c r="G117" s="24"/>
      <c r="H117" s="24" t="str">
        <f>IF($B117="","",IF($B117="TRANSCARNES","ACTIVO",IF(COUNTIF(RETIROS!E:E,$B117)=1,"PENDIENTE ELIMINAR",IF(COUNTIFS(ASIGNACIONES!$D:$D,$B117,ASIGNACIONES!$H:$H,E117,ASIGNACIONES!$G:$G,$D117,ASIGNACIONES!$J:$J,$F117)=0,"NUEVO","ACTIVO"))))</f>
        <v/>
      </c>
    </row>
    <row r="118">
      <c r="A118" s="30"/>
      <c r="B118" s="31"/>
      <c r="C118" s="32"/>
      <c r="D118" s="36"/>
      <c r="E118" s="36"/>
      <c r="F118" s="34"/>
      <c r="G118" s="24"/>
      <c r="H118" s="24" t="str">
        <f>IF($B118="","",IF($B118="TRANSCARNES","ACTIVO",IF(COUNTIF(RETIROS!E:E,$B118)=1,"PENDIENTE ELIMINAR",IF(COUNTIFS(ASIGNACIONES!$D:$D,$B118,ASIGNACIONES!$H:$H,E118,ASIGNACIONES!$G:$G,$D118,ASIGNACIONES!$J:$J,$F118)=0,"NUEVO","ACTIVO"))))</f>
        <v/>
      </c>
    </row>
    <row r="119">
      <c r="A119" s="30"/>
      <c r="B119" s="18"/>
      <c r="C119" s="32"/>
      <c r="D119" s="33"/>
      <c r="E119" s="33"/>
      <c r="F119" s="34"/>
      <c r="G119" s="24"/>
      <c r="H119" s="24" t="str">
        <f>IF($B119="","",IF($B119="TRANSCARNES","ACTIVO",IF(COUNTIF(RETIROS!E:E,$B119)=1,"PENDIENTE ELIMINAR",IF(COUNTIFS(ASIGNACIONES!$D:$D,$B119,ASIGNACIONES!$H:$H,E119,ASIGNACIONES!$G:$G,$D119,ASIGNACIONES!$J:$J,$F119)=0,"NUEVO","ACTIVO"))))</f>
        <v/>
      </c>
    </row>
    <row r="120">
      <c r="A120" s="30"/>
      <c r="B120" s="18"/>
      <c r="C120" s="32"/>
      <c r="D120" s="33"/>
      <c r="E120" s="33"/>
      <c r="F120" s="34"/>
      <c r="G120" s="24"/>
      <c r="H120" s="24" t="str">
        <f>IF($B120="","",IF($B120="TRANSCARNES","ACTIVO",IF(COUNTIF(RETIROS!E:E,$B120)=1,"PENDIENTE ELIMINAR",IF(COUNTIFS(ASIGNACIONES!$D:$D,$B120,ASIGNACIONES!$H:$H,E120,ASIGNACIONES!$G:$G,$D120,ASIGNACIONES!$J:$J,$F120)=0,"NUEVO","ACTIVO"))))</f>
        <v/>
      </c>
    </row>
    <row r="121">
      <c r="A121" s="30"/>
      <c r="B121" s="35"/>
      <c r="C121" s="32"/>
      <c r="D121" s="36"/>
      <c r="E121" s="36"/>
      <c r="F121" s="34"/>
      <c r="G121" s="24"/>
      <c r="H121" s="24" t="str">
        <f>IF($B121="","",IF($B121="TRANSCARNES","ACTIVO",IF(COUNTIF(RETIROS!E:E,$B121)=1,"PENDIENTE ELIMINAR",IF(COUNTIFS(ASIGNACIONES!$D:$D,$B121,ASIGNACIONES!$H:$H,E121,ASIGNACIONES!$G:$G,$D121,ASIGNACIONES!$J:$J,$F121)=0,"NUEVO","ACTIVO"))))</f>
        <v/>
      </c>
    </row>
    <row r="122">
      <c r="A122" s="30"/>
      <c r="B122" s="18"/>
      <c r="C122" s="32"/>
      <c r="D122" s="33"/>
      <c r="E122" s="33"/>
      <c r="F122" s="34"/>
      <c r="G122" s="24"/>
      <c r="H122" s="24" t="str">
        <f>IF($B122="","",IF($B122="TRANSCARNES","ACTIVO",IF(COUNTIF(RETIROS!E:E,$B122)=1,"PENDIENTE ELIMINAR",IF(COUNTIFS(ASIGNACIONES!$D:$D,$B122,ASIGNACIONES!$H:$H,E122,ASIGNACIONES!$G:$G,$D122,ASIGNACIONES!$J:$J,$F122)=0,"NUEVO","ACTIVO"))))</f>
        <v/>
      </c>
    </row>
    <row r="123">
      <c r="A123" s="30"/>
      <c r="B123" s="31"/>
      <c r="C123" s="32"/>
      <c r="D123" s="36"/>
      <c r="E123" s="36"/>
      <c r="F123" s="34"/>
      <c r="G123" s="24"/>
      <c r="H123" s="24" t="str">
        <f>IF($B123="","",IF($B123="TRANSCARNES","ACTIVO",IF(COUNTIF(RETIROS!E:E,$B123)=1,"PENDIENTE ELIMINAR",IF(COUNTIFS(ASIGNACIONES!$D:$D,$B123,ASIGNACIONES!$H:$H,E123,ASIGNACIONES!$G:$G,$D123,ASIGNACIONES!$J:$J,$F123)=0,"NUEVO","ACTIVO"))))</f>
        <v/>
      </c>
    </row>
    <row r="124">
      <c r="A124" s="30"/>
      <c r="B124" s="31"/>
      <c r="C124" s="32"/>
      <c r="D124" s="36"/>
      <c r="E124" s="36"/>
      <c r="F124" s="34"/>
      <c r="G124" s="24"/>
      <c r="H124" s="24" t="str">
        <f>IF($B124="","",IF($B124="TRANSCARNES","ACTIVO",IF(COUNTIF(RETIROS!E:E,$B124)=1,"PENDIENTE ELIMINAR",IF(COUNTIFS(ASIGNACIONES!$D:$D,$B124,ASIGNACIONES!$H:$H,E124,ASIGNACIONES!$G:$G,$D124,ASIGNACIONES!$J:$J,$F124)=0,"NUEVO","ACTIVO"))))</f>
        <v/>
      </c>
    </row>
    <row r="125">
      <c r="A125" s="30"/>
      <c r="B125" s="18"/>
      <c r="C125" s="32"/>
      <c r="D125" s="36"/>
      <c r="E125" s="36"/>
      <c r="F125" s="34"/>
      <c r="G125" s="24"/>
      <c r="H125" s="24" t="str">
        <f>IF($B125="","",IF($B125="TRANSCARNES","ACTIVO",IF(COUNTIF(RETIROS!E:E,$B125)=1,"PENDIENTE ELIMINAR",IF(COUNTIFS(ASIGNACIONES!$D:$D,$B125,ASIGNACIONES!$H:$H,E125,ASIGNACIONES!$G:$G,$D125,ASIGNACIONES!$J:$J,$F125)=0,"NUEVO","ACTIVO"))))</f>
        <v/>
      </c>
    </row>
    <row r="126">
      <c r="A126" s="30"/>
      <c r="B126" s="18"/>
      <c r="C126" s="32"/>
      <c r="D126" s="33"/>
      <c r="E126" s="33"/>
      <c r="F126" s="34"/>
      <c r="G126" s="24"/>
      <c r="H126" s="24" t="str">
        <f>IF($B126="","",IF($B126="TRANSCARNES","ACTIVO",IF(COUNTIF(RETIROS!E:E,$B126)=1,"PENDIENTE ELIMINAR",IF(COUNTIFS(ASIGNACIONES!$D:$D,$B126,ASIGNACIONES!$H:$H,E126,ASIGNACIONES!$G:$G,$D126,ASIGNACIONES!$J:$J,$F126)=0,"NUEVO","ACTIVO"))))</f>
        <v/>
      </c>
    </row>
    <row r="127">
      <c r="A127" s="30"/>
      <c r="B127" s="31"/>
      <c r="C127" s="32"/>
      <c r="D127" s="36"/>
      <c r="E127" s="36"/>
      <c r="F127" s="34"/>
      <c r="G127" s="24"/>
      <c r="H127" s="24" t="str">
        <f>IF($B127="","",IF($B127="TRANSCARNES","ACTIVO",IF(COUNTIF(RETIROS!E:E,$B127)=1,"PENDIENTE ELIMINAR",IF(COUNTIFS(ASIGNACIONES!$D:$D,$B127,ASIGNACIONES!$H:$H,E127,ASIGNACIONES!$G:$G,$D127,ASIGNACIONES!$J:$J,$F127)=0,"NUEVO","ACTIVO"))))</f>
        <v/>
      </c>
    </row>
    <row r="128">
      <c r="A128" s="30"/>
      <c r="B128" s="35"/>
      <c r="C128" s="32"/>
      <c r="D128" s="36"/>
      <c r="E128" s="36"/>
      <c r="F128" s="34"/>
      <c r="G128" s="24"/>
      <c r="H128" s="24" t="str">
        <f>IF($B128="","",IF($B128="TRANSCARNES","ACTIVO",IF(COUNTIF(RETIROS!E:E,$B128)=1,"PENDIENTE ELIMINAR",IF(COUNTIFS(ASIGNACIONES!$D:$D,$B128,ASIGNACIONES!$H:$H,E128,ASIGNACIONES!$G:$G,$D128,ASIGNACIONES!$J:$J,$F128)=0,"NUEVO","ACTIVO"))))</f>
        <v/>
      </c>
    </row>
    <row r="129">
      <c r="A129" s="30"/>
      <c r="B129" s="35"/>
      <c r="C129" s="32"/>
      <c r="D129" s="36"/>
      <c r="E129" s="36"/>
      <c r="F129" s="34"/>
      <c r="G129" s="24"/>
      <c r="H129" s="24" t="str">
        <f>IF($B129="","",IF($B129="TRANSCARNES","ACTIVO",IF(COUNTIF(RETIROS!E:E,$B129)=1,"PENDIENTE ELIMINAR",IF(COUNTIFS(ASIGNACIONES!$D:$D,$B129,ASIGNACIONES!$H:$H,E129,ASIGNACIONES!$G:$G,$D129,ASIGNACIONES!$J:$J,$F129)=0,"NUEVO","ACTIVO"))))</f>
        <v/>
      </c>
    </row>
    <row r="130">
      <c r="A130" s="30"/>
      <c r="B130" s="18"/>
      <c r="C130" s="32"/>
      <c r="D130" s="33"/>
      <c r="E130" s="33"/>
      <c r="F130" s="34"/>
      <c r="G130" s="24"/>
      <c r="H130" s="24" t="str">
        <f>IF($B130="","",IF($B130="TRANSCARNES","ACTIVO",IF(COUNTIF(RETIROS!E:E,$B130)=1,"PENDIENTE ELIMINAR",IF(COUNTIFS(ASIGNACIONES!$D:$D,$B130,ASIGNACIONES!$H:$H,E130,ASIGNACIONES!$G:$G,$D130,ASIGNACIONES!$J:$J,$F130)=0,"NUEVO","ACTIVO"))))</f>
        <v/>
      </c>
    </row>
    <row r="131">
      <c r="A131" s="30"/>
      <c r="B131" s="18"/>
      <c r="C131" s="32"/>
      <c r="D131" s="36"/>
      <c r="E131" s="36"/>
      <c r="F131" s="34"/>
      <c r="G131" s="24"/>
      <c r="H131" s="24" t="str">
        <f>IF($B131="","",IF($B131="TRANSCARNES","ACTIVO",IF(COUNTIF(RETIROS!E:E,$B131)=1,"PENDIENTE ELIMINAR",IF(COUNTIFS(ASIGNACIONES!$D:$D,$B131,ASIGNACIONES!$H:$H,E131,ASIGNACIONES!$G:$G,$D131,ASIGNACIONES!$J:$J,$F131)=0,"NUEVO","ACTIVO"))))</f>
        <v/>
      </c>
    </row>
    <row r="132">
      <c r="A132" s="30"/>
      <c r="B132" s="31"/>
      <c r="C132" s="32"/>
      <c r="D132" s="36"/>
      <c r="E132" s="36"/>
      <c r="F132" s="34"/>
      <c r="G132" s="24"/>
      <c r="H132" s="24" t="str">
        <f>IF($B132="","",IF($B132="TRANSCARNES","ACTIVO",IF(COUNTIF(RETIROS!E:E,$B132)=1,"PENDIENTE ELIMINAR",IF(COUNTIFS(ASIGNACIONES!$D:$D,$B132,ASIGNACIONES!$H:$H,E132,ASIGNACIONES!$G:$G,$D132,ASIGNACIONES!$J:$J,$F132)=0,"NUEVO","ACTIVO"))))</f>
        <v/>
      </c>
    </row>
    <row r="133">
      <c r="A133" s="30"/>
      <c r="B133" s="18"/>
      <c r="C133" s="32"/>
      <c r="D133" s="33"/>
      <c r="E133" s="33"/>
      <c r="F133" s="34"/>
      <c r="G133" s="24"/>
      <c r="H133" s="24" t="str">
        <f>IF($B133="","",IF($B133="TRANSCARNES","ACTIVO",IF(COUNTIF(RETIROS!E:E,$B133)=1,"PENDIENTE ELIMINAR",IF(COUNTIFS(ASIGNACIONES!$D:$D,$B133,ASIGNACIONES!$H:$H,E133,ASIGNACIONES!$G:$G,$D133,ASIGNACIONES!$J:$J,$F133)=0,"NUEVO","ACTIVO"))))</f>
        <v/>
      </c>
    </row>
    <row r="134">
      <c r="A134" s="30"/>
      <c r="B134" s="31"/>
      <c r="C134" s="32"/>
      <c r="D134" s="36"/>
      <c r="E134" s="36"/>
      <c r="F134" s="34"/>
      <c r="G134" s="24"/>
      <c r="H134" s="24" t="str">
        <f>IF($B134="","",IF($B134="TRANSCARNES","ACTIVO",IF(COUNTIF(RETIROS!E:E,$B134)=1,"PENDIENTE ELIMINAR",IF(COUNTIFS(ASIGNACIONES!$D:$D,$B134,ASIGNACIONES!$H:$H,E134,ASIGNACIONES!$G:$G,$D134,ASIGNACIONES!$J:$J,$F134)=0,"NUEVO","ACTIVO"))))</f>
        <v/>
      </c>
    </row>
    <row r="135">
      <c r="A135" s="30"/>
      <c r="B135" s="18"/>
      <c r="C135" s="32"/>
      <c r="D135" s="33"/>
      <c r="E135" s="33"/>
      <c r="F135" s="34"/>
      <c r="G135" s="24"/>
      <c r="H135" s="24" t="str">
        <f>IF($B135="","",IF($B135="TRANSCARNES","ACTIVO",IF(COUNTIF(RETIROS!E:E,$B135)=1,"PENDIENTE ELIMINAR",IF(COUNTIFS(ASIGNACIONES!$D:$D,$B135,ASIGNACIONES!$H:$H,E135,ASIGNACIONES!$G:$G,$D135,ASIGNACIONES!$J:$J,$F135)=0,"NUEVO","ACTIVO"))))</f>
        <v/>
      </c>
    </row>
    <row r="136">
      <c r="A136" s="30"/>
      <c r="B136" s="31"/>
      <c r="C136" s="32"/>
      <c r="D136" s="36"/>
      <c r="E136" s="36"/>
      <c r="F136" s="34"/>
      <c r="G136" s="24"/>
      <c r="H136" s="24" t="str">
        <f>IF($B136="","",IF($B136="TRANSCARNES","ACTIVO",IF(COUNTIF(RETIROS!E:E,$B136)=1,"PENDIENTE ELIMINAR",IF(COUNTIFS(ASIGNACIONES!$D:$D,$B136,ASIGNACIONES!$H:$H,E136,ASIGNACIONES!$G:$G,$D136,ASIGNACIONES!$J:$J,$F136)=0,"NUEVO","ACTIVO"))))</f>
        <v/>
      </c>
    </row>
    <row r="137">
      <c r="A137" s="30"/>
      <c r="B137" s="31"/>
      <c r="C137" s="32"/>
      <c r="D137" s="36"/>
      <c r="E137" s="36"/>
      <c r="F137" s="34"/>
      <c r="G137" s="24"/>
      <c r="H137" s="24" t="str">
        <f>IF($B137="","",IF($B137="TRANSCARNES","ACTIVO",IF(COUNTIF(RETIROS!E:E,$B137)=1,"PENDIENTE ELIMINAR",IF(COUNTIFS(ASIGNACIONES!$D:$D,$B137,ASIGNACIONES!$H:$H,E137,ASIGNACIONES!$G:$G,$D137,ASIGNACIONES!$J:$J,$F137)=0,"NUEVO","ACTIVO"))))</f>
        <v/>
      </c>
    </row>
    <row r="138">
      <c r="A138" s="30"/>
      <c r="B138" s="18"/>
      <c r="C138" s="32"/>
      <c r="D138" s="36"/>
      <c r="E138" s="36"/>
      <c r="F138" s="34"/>
      <c r="G138" s="24"/>
      <c r="H138" s="24" t="str">
        <f>IF($B138="","",IF($B138="TRANSCARNES","ACTIVO",IF(COUNTIF(RETIROS!E:E,$B138)=1,"PENDIENTE ELIMINAR",IF(COUNTIFS(ASIGNACIONES!$D:$D,$B138,ASIGNACIONES!$H:$H,E138,ASIGNACIONES!$G:$G,$D138,ASIGNACIONES!$J:$J,$F138)=0,"NUEVO","ACTIVO"))))</f>
        <v/>
      </c>
    </row>
    <row r="139">
      <c r="A139" s="30"/>
      <c r="B139" s="18"/>
      <c r="C139" s="32"/>
      <c r="D139" s="33"/>
      <c r="E139" s="33"/>
      <c r="F139" s="34"/>
      <c r="G139" s="24"/>
      <c r="H139" s="24" t="str">
        <f>IF($B139="","",IF($B139="TRANSCARNES","ACTIVO",IF(COUNTIF(RETIROS!E:E,$B139)=1,"PENDIENTE ELIMINAR",IF(COUNTIFS(ASIGNACIONES!$D:$D,$B139,ASIGNACIONES!$H:$H,E139,ASIGNACIONES!$G:$G,$D139,ASIGNACIONES!$J:$J,$F139)=0,"NUEVO","ACTIVO"))))</f>
        <v/>
      </c>
    </row>
    <row r="140">
      <c r="A140" s="30"/>
      <c r="B140" s="18"/>
      <c r="C140" s="32"/>
      <c r="D140" s="36"/>
      <c r="E140" s="36"/>
      <c r="F140" s="34"/>
      <c r="G140" s="24"/>
      <c r="H140" s="24" t="str">
        <f>IF($B140="","",IF($B140="TRANSCARNES","ACTIVO",IF(COUNTIF(RETIROS!E:E,$B140)=1,"PENDIENTE ELIMINAR",IF(COUNTIFS(ASIGNACIONES!$D:$D,$B140,ASIGNACIONES!$H:$H,E140,ASIGNACIONES!$G:$G,$D140,ASIGNACIONES!$J:$J,$F140)=0,"NUEVO","ACTIVO"))))</f>
        <v/>
      </c>
    </row>
    <row r="141">
      <c r="A141" s="30"/>
      <c r="B141" s="37"/>
      <c r="C141" s="32"/>
      <c r="D141" s="33"/>
      <c r="E141" s="33"/>
      <c r="F141" s="34"/>
      <c r="G141" s="24"/>
      <c r="H141" s="24" t="str">
        <f>IF($B141="","",IF($B141="TRANSCARNES","ACTIVO",IF(COUNTIF(RETIROS!E:E,$B141)=1,"PENDIENTE ELIMINAR",IF(COUNTIFS(ASIGNACIONES!$D:$D,$B141,ASIGNACIONES!$H:$H,E141,ASIGNACIONES!$G:$G,$D141,ASIGNACIONES!$J:$J,$F141)=0,"NUEVO","ACTIVO"))))</f>
        <v/>
      </c>
    </row>
    <row r="142">
      <c r="A142" s="30"/>
      <c r="B142" s="18"/>
      <c r="C142" s="32"/>
      <c r="D142" s="33"/>
      <c r="E142" s="33"/>
      <c r="F142" s="34"/>
      <c r="G142" s="24"/>
      <c r="H142" s="24" t="str">
        <f>IF($B142="","",IF($B142="TRANSCARNES","ACTIVO",IF(COUNTIF(RETIROS!E:E,$B142)=1,"PENDIENTE ELIMINAR",IF(COUNTIFS(ASIGNACIONES!$D:$D,$B142,ASIGNACIONES!$H:$H,E142,ASIGNACIONES!$G:$G,$D142,ASIGNACIONES!$J:$J,$F142)=0,"NUEVO","ACTIVO"))))</f>
        <v/>
      </c>
    </row>
    <row r="143">
      <c r="A143" s="30"/>
      <c r="B143" s="18"/>
      <c r="C143" s="32"/>
      <c r="D143" s="36"/>
      <c r="E143" s="36"/>
      <c r="F143" s="34"/>
      <c r="G143" s="24"/>
      <c r="H143" s="24" t="str">
        <f>IF($B143="","",IF($B143="TRANSCARNES","ACTIVO",IF(COUNTIF(RETIROS!E:E,$B143)=1,"PENDIENTE ELIMINAR",IF(COUNTIFS(ASIGNACIONES!$D:$D,$B143,ASIGNACIONES!$H:$H,E143,ASIGNACIONES!$G:$G,$D143,ASIGNACIONES!$J:$J,$F143)=0,"NUEVO","ACTIVO"))))</f>
        <v/>
      </c>
    </row>
    <row r="144">
      <c r="A144" s="30"/>
      <c r="B144" s="18"/>
      <c r="C144" s="32"/>
      <c r="D144" s="36"/>
      <c r="E144" s="36"/>
      <c r="F144" s="34"/>
      <c r="G144" s="24"/>
      <c r="H144" s="24" t="str">
        <f>IF($B144="","",IF($B144="TRANSCARNES","ACTIVO",IF(COUNTIF(RETIROS!E:E,$B144)=1,"PENDIENTE ELIMINAR",IF(COUNTIFS(ASIGNACIONES!$D:$D,$B144,ASIGNACIONES!$H:$H,E144,ASIGNACIONES!$G:$G,$D144,ASIGNACIONES!$J:$J,$F144)=0,"NUEVO","ACTIVO"))))</f>
        <v/>
      </c>
    </row>
    <row r="145">
      <c r="A145" s="30"/>
      <c r="B145" s="18"/>
      <c r="C145" s="32"/>
      <c r="D145" s="36"/>
      <c r="E145" s="36"/>
      <c r="F145" s="34"/>
      <c r="G145" s="24"/>
      <c r="H145" s="24" t="str">
        <f>IF($B145="","",IF($B145="TRANSCARNES","ACTIVO",IF(COUNTIF(RETIROS!E:E,$B145)=1,"PENDIENTE ELIMINAR",IF(COUNTIFS(ASIGNACIONES!$D:$D,$B145,ASIGNACIONES!$H:$H,E145,ASIGNACIONES!$G:$G,$D145,ASIGNACIONES!$J:$J,$F145)=0,"NUEVO","ACTIVO"))))</f>
        <v/>
      </c>
    </row>
    <row r="146">
      <c r="A146" s="30"/>
      <c r="B146" s="18"/>
      <c r="C146" s="32"/>
      <c r="D146" s="36"/>
      <c r="E146" s="36"/>
      <c r="F146" s="34"/>
      <c r="G146" s="24"/>
      <c r="H146" s="24" t="str">
        <f>IF($B146="","",IF($B146="TRANSCARNES","ACTIVO",IF(COUNTIF(RETIROS!E:E,$B146)=1,"PENDIENTE ELIMINAR",IF(COUNTIFS(ASIGNACIONES!$D:$D,$B146,ASIGNACIONES!$H:$H,E146,ASIGNACIONES!$G:$G,$D146,ASIGNACIONES!$J:$J,$F146)=0,"NUEVO","ACTIVO"))))</f>
        <v/>
      </c>
    </row>
    <row r="147">
      <c r="A147" s="30"/>
      <c r="B147" s="18"/>
      <c r="C147" s="32"/>
      <c r="D147" s="33"/>
      <c r="E147" s="33"/>
      <c r="F147" s="34"/>
      <c r="G147" s="24"/>
      <c r="H147" s="24" t="str">
        <f>IF($B147="","",IF($B147="TRANSCARNES","ACTIVO",IF(COUNTIF(RETIROS!E:E,$B147)=1,"PENDIENTE ELIMINAR",IF(COUNTIFS(ASIGNACIONES!$D:$D,$B147,ASIGNACIONES!$H:$H,E147,ASIGNACIONES!$G:$G,$D147,ASIGNACIONES!$J:$J,$F147)=0,"NUEVO","ACTIVO"))))</f>
        <v/>
      </c>
    </row>
    <row r="148">
      <c r="A148" s="30"/>
      <c r="B148" s="18"/>
      <c r="C148" s="32"/>
      <c r="D148" s="33"/>
      <c r="E148" s="33"/>
      <c r="F148" s="34"/>
      <c r="G148" s="24"/>
      <c r="H148" s="24"/>
    </row>
    <row r="149">
      <c r="A149" s="30"/>
      <c r="B149" s="18"/>
      <c r="C149" s="32"/>
      <c r="D149" s="33"/>
      <c r="E149" s="33"/>
      <c r="F149" s="34"/>
      <c r="G149" s="24"/>
      <c r="H149" s="24" t="str">
        <f>IF($B149="","",IF($B149="TRANSCARNES","ACTIVO",IF(COUNTIF(RETIROS!E:E,$B149)=1,"PENDIENTE ELIMINAR",IF(COUNTIFS(ASIGNACIONES!$D:$D,$B149,ASIGNACIONES!$H:$H,E149,ASIGNACIONES!$G:$G,$D149,ASIGNACIONES!$J:$J,$F149)=0,"NUEVO","ACTIVO"))))</f>
        <v/>
      </c>
    </row>
    <row r="150">
      <c r="A150" s="30"/>
      <c r="B150" s="18"/>
      <c r="C150" s="32"/>
      <c r="D150" s="36"/>
      <c r="E150" s="36"/>
      <c r="F150" s="34"/>
      <c r="G150" s="24"/>
      <c r="H150" s="24" t="str">
        <f>IF($B150="","",IF($B150="TRANSCARNES","ACTIVO",IF(COUNTIF(RETIROS!E:E,$B150)=1,"PENDIENTE ELIMINAR",IF(COUNTIFS(ASIGNACIONES!$D:$D,$B150,ASIGNACIONES!$H:$H,E150,ASIGNACIONES!$G:$G,$D150,ASIGNACIONES!$J:$J,$F150)=0,"NUEVO","ACTIVO"))))</f>
        <v/>
      </c>
    </row>
    <row r="151">
      <c r="A151" s="30"/>
      <c r="B151" s="31"/>
      <c r="C151" s="32"/>
      <c r="D151" s="36"/>
      <c r="E151" s="36"/>
      <c r="F151" s="34"/>
      <c r="G151" s="24"/>
      <c r="H151" s="24" t="str">
        <f>IF($B151="","",IF($B151="TRANSCARNES","ACTIVO",IF(COUNTIF(RETIROS!E:E,$B151)=1,"PENDIENTE ELIMINAR",IF(COUNTIFS(ASIGNACIONES!$D:$D,$B151,ASIGNACIONES!$H:$H,E151,ASIGNACIONES!$G:$G,$D151,ASIGNACIONES!$J:$J,$F151)=0,"NUEVO","ACTIVO"))))</f>
        <v/>
      </c>
    </row>
    <row r="152">
      <c r="A152" s="30"/>
      <c r="B152" s="18"/>
      <c r="C152" s="32"/>
      <c r="D152" s="36"/>
      <c r="E152" s="36"/>
      <c r="F152" s="34"/>
      <c r="G152" s="24"/>
      <c r="H152" s="24" t="str">
        <f>IF($B152="","",IF($B152="TRANSCARNES","ACTIVO",IF(COUNTIF(RETIROS!E:E,$B152)=1,"PENDIENTE ELIMINAR",IF(COUNTIFS(ASIGNACIONES!$D:$D,$B152,ASIGNACIONES!$H:$H,E152,ASIGNACIONES!$G:$G,$D152,ASIGNACIONES!$J:$J,$F152)=0,"NUEVO","ACTIVO"))))</f>
        <v/>
      </c>
    </row>
    <row r="153">
      <c r="A153" s="30"/>
      <c r="B153" s="31"/>
      <c r="C153" s="32"/>
      <c r="D153" s="36"/>
      <c r="E153" s="36"/>
      <c r="F153" s="34"/>
      <c r="G153" s="24"/>
      <c r="H153" s="24" t="str">
        <f>IF($B153="","",IF($B153="TRANSCARNES","ACTIVO",IF(COUNTIF(RETIROS!E:E,$B153)=1,"PENDIENTE ELIMINAR",IF(COUNTIFS(ASIGNACIONES!$D:$D,$B153,ASIGNACIONES!$H:$H,E153,ASIGNACIONES!$G:$G,$D153,ASIGNACIONES!$J:$J,$F153)=0,"NUEVO","ACTIVO"))))</f>
        <v/>
      </c>
    </row>
    <row r="154">
      <c r="A154" s="30"/>
      <c r="B154" s="18"/>
      <c r="C154" s="32"/>
      <c r="D154" s="33"/>
      <c r="E154" s="33"/>
      <c r="F154" s="34"/>
      <c r="G154" s="24"/>
      <c r="H154" s="24" t="str">
        <f>IF($B154="","",IF($B154="TRANSCARNES","ACTIVO",IF(COUNTIF(RETIROS!E:E,$B154)=1,"PENDIENTE ELIMINAR",IF(COUNTIFS(ASIGNACIONES!$D:$D,$B154,ASIGNACIONES!$H:$H,E154,ASIGNACIONES!$G:$G,$D154,ASIGNACIONES!$J:$J,$F154)=0,"NUEVO","ACTIVO"))))</f>
        <v/>
      </c>
    </row>
    <row r="155">
      <c r="A155" s="30"/>
      <c r="B155" s="39"/>
      <c r="C155" s="32"/>
      <c r="D155" s="33"/>
      <c r="E155" s="33"/>
      <c r="F155" s="34"/>
      <c r="G155" s="24"/>
      <c r="H155" s="24" t="str">
        <f>IF($B155="","",IF($B155="TRANSCARNES","ACTIVO",IF(COUNTIF(RETIROS!E:E,$B155)=1,"PENDIENTE ELIMINAR",IF(COUNTIFS(ASIGNACIONES!$D:$D,$B155,ASIGNACIONES!$H:$H,E155,ASIGNACIONES!$G:$G,$D155,ASIGNACIONES!$J:$J,$F155)=0,"NUEVO","ACTIVO"))))</f>
        <v/>
      </c>
    </row>
    <row r="156">
      <c r="A156" s="30"/>
      <c r="B156" s="18"/>
      <c r="C156" s="32"/>
      <c r="D156" s="36"/>
      <c r="E156" s="36"/>
      <c r="F156" s="34"/>
      <c r="G156" s="24"/>
      <c r="H156" s="24" t="str">
        <f>IF($B156="","",IF($B156="TRANSCARNES","ACTIVO",IF(COUNTIF(RETIROS!E:E,$B156)=1,"PENDIENTE ELIMINAR",IF(COUNTIFS(ASIGNACIONES!$D:$D,$B156,ASIGNACIONES!$H:$H,E156,ASIGNACIONES!$G:$G,$D156,ASIGNACIONES!$J:$J,$F156)=0,"NUEVO","ACTIVO"))))</f>
        <v/>
      </c>
    </row>
    <row r="157">
      <c r="A157" s="30"/>
      <c r="B157" s="37"/>
      <c r="C157" s="32"/>
      <c r="D157" s="36"/>
      <c r="E157" s="36"/>
      <c r="F157" s="34"/>
      <c r="G157" s="24"/>
      <c r="H157" s="24" t="str">
        <f>IF($B157="","",IF($B157="TRANSCARNES","ACTIVO",IF(COUNTIF(RETIROS!E:E,$B157)=1,"PENDIENTE ELIMINAR",IF(COUNTIFS(ASIGNACIONES!$D:$D,$B157,ASIGNACIONES!$H:$H,E157,ASIGNACIONES!$G:$G,$D157,ASIGNACIONES!$J:$J,$F157)=0,"NUEVO","ACTIVO"))))</f>
        <v/>
      </c>
    </row>
    <row r="158">
      <c r="A158" s="30"/>
      <c r="B158" s="18"/>
      <c r="C158" s="32"/>
      <c r="D158" s="36"/>
      <c r="E158" s="36"/>
      <c r="F158" s="34"/>
      <c r="G158" s="24"/>
      <c r="H158" s="24" t="str">
        <f>IF($B158="","",IF($B158="TRANSCARNES","ACTIVO",IF(COUNTIF(RETIROS!E:E,$B158)=1,"PENDIENTE ELIMINAR",IF(COUNTIFS(ASIGNACIONES!$D:$D,$B158,ASIGNACIONES!$H:$H,E158,ASIGNACIONES!$G:$G,$D158,ASIGNACIONES!$J:$J,$F158)=0,"NUEVO","ACTIVO"))))</f>
        <v/>
      </c>
    </row>
    <row r="159">
      <c r="A159" s="30"/>
      <c r="B159" s="18"/>
      <c r="C159" s="32"/>
      <c r="D159" s="36"/>
      <c r="E159" s="36"/>
      <c r="F159" s="34"/>
      <c r="G159" s="24"/>
      <c r="H159" s="24" t="str">
        <f>IF($B159="","",IF($B159="TRANSCARNES","ACTIVO",IF(COUNTIF(RETIROS!E:E,$B159)=1,"PENDIENTE ELIMINAR",IF(COUNTIFS(ASIGNACIONES!$D:$D,$B159,ASIGNACIONES!$H:$H,E159,ASIGNACIONES!$G:$G,$D159,ASIGNACIONES!$J:$J,$F159)=0,"NUEVO","ACTIVO"))))</f>
        <v/>
      </c>
    </row>
    <row r="160">
      <c r="A160" s="30"/>
      <c r="B160" s="18"/>
      <c r="C160" s="32"/>
      <c r="D160" s="33"/>
      <c r="E160" s="33"/>
      <c r="F160" s="34"/>
      <c r="G160" s="24"/>
      <c r="H160" s="24" t="str">
        <f>IF($B160="","",IF($B160="TRANSCARNES","ACTIVO",IF(COUNTIF(RETIROS!E:E,$B160)=1,"PENDIENTE ELIMINAR",IF(COUNTIFS(ASIGNACIONES!$D:$D,$B160,ASIGNACIONES!$H:$H,E160,ASIGNACIONES!$G:$G,$D160,ASIGNACIONES!$J:$J,$F160)=0,"NUEVO","ACTIVO"))))</f>
        <v/>
      </c>
    </row>
    <row r="161">
      <c r="A161" s="30"/>
      <c r="B161" s="18"/>
      <c r="C161" s="32"/>
      <c r="D161" s="33"/>
      <c r="E161" s="33"/>
      <c r="F161" s="34"/>
      <c r="G161" s="24"/>
      <c r="H161" s="24" t="str">
        <f>IF($B161="","",IF($B161="TRANSCARNES","ACTIVO",IF(COUNTIF(RETIROS!E:E,$B161)=1,"PENDIENTE ELIMINAR",IF(COUNTIFS(ASIGNACIONES!$D:$D,$B161,ASIGNACIONES!$H:$H,E161,ASIGNACIONES!$G:$G,$D161,ASIGNACIONES!$J:$J,$F161)=0,"NUEVO","ACTIVO"))))</f>
        <v/>
      </c>
    </row>
    <row r="162">
      <c r="A162" s="30"/>
      <c r="B162" s="35"/>
      <c r="C162" s="32"/>
      <c r="D162" s="36"/>
      <c r="E162" s="36"/>
      <c r="F162" s="34"/>
      <c r="G162" s="24"/>
      <c r="H162" s="24" t="str">
        <f>IF($B162="","",IF($B162="TRANSCARNES","ACTIVO",IF(COUNTIF(RETIROS!E:E,$B162)=1,"PENDIENTE ELIMINAR",IF(COUNTIFS(ASIGNACIONES!$D:$D,$B162,ASIGNACIONES!$H:$H,E162,ASIGNACIONES!$G:$G,$D162,ASIGNACIONES!$J:$J,$F162)=0,"NUEVO","ACTIVO"))))</f>
        <v/>
      </c>
    </row>
    <row r="163">
      <c r="A163" s="30"/>
      <c r="B163" s="18"/>
      <c r="C163" s="32"/>
      <c r="D163" s="36"/>
      <c r="E163" s="36"/>
      <c r="F163" s="34"/>
      <c r="G163" s="24"/>
      <c r="H163" s="24" t="str">
        <f>IF($B163="","",IF($B163="TRANSCARNES","ACTIVO",IF(COUNTIF(RETIROS!E:E,$B163)=1,"PENDIENTE ELIMINAR",IF(COUNTIFS(ASIGNACIONES!$D:$D,$B163,ASIGNACIONES!$H:$H,E163,ASIGNACIONES!$G:$G,$D163,ASIGNACIONES!$J:$J,$F163)=0,"NUEVO","ACTIVO"))))</f>
        <v/>
      </c>
    </row>
    <row r="164">
      <c r="A164" s="30"/>
      <c r="B164" s="31"/>
      <c r="C164" s="32"/>
      <c r="D164" s="36"/>
      <c r="E164" s="36"/>
      <c r="F164" s="34"/>
      <c r="G164" s="24"/>
      <c r="H164" s="24" t="str">
        <f>IF($B164="","",IF($B164="TRANSCARNES","ACTIVO",IF(COUNTIF(RETIROS!E:E,$B164)=1,"PENDIENTE ELIMINAR",IF(COUNTIFS(ASIGNACIONES!$D:$D,$B164,ASIGNACIONES!$H:$H,E164,ASIGNACIONES!$G:$G,$D164,ASIGNACIONES!$J:$J,$F164)=0,"NUEVO","ACTIVO"))))</f>
        <v/>
      </c>
    </row>
    <row r="165">
      <c r="A165" s="30"/>
      <c r="B165" s="35"/>
      <c r="C165" s="32"/>
      <c r="D165" s="36"/>
      <c r="E165" s="36"/>
      <c r="F165" s="34"/>
      <c r="G165" s="24"/>
      <c r="H165" s="24" t="str">
        <f>IF($B165="","",IF($B165="TRANSCARNES","ACTIVO",IF(COUNTIF(RETIROS!E:E,$B165)=1,"PENDIENTE ELIMINAR",IF(COUNTIFS(ASIGNACIONES!$D:$D,$B165,ASIGNACIONES!$H:$H,E165,ASIGNACIONES!$G:$G,$D165,ASIGNACIONES!$J:$J,$F165)=0,"NUEVO","ACTIVO"))))</f>
        <v/>
      </c>
    </row>
    <row r="166">
      <c r="A166" s="30"/>
      <c r="B166" s="18"/>
      <c r="C166" s="32"/>
      <c r="D166" s="33"/>
      <c r="E166" s="33"/>
      <c r="F166" s="34"/>
      <c r="G166" s="24"/>
      <c r="H166" s="24" t="str">
        <f>IF($B166="","",IF($B166="TRANSCARNES","ACTIVO",IF(COUNTIF(RETIROS!E:E,$B166)=1,"PENDIENTE ELIMINAR",IF(COUNTIFS(ASIGNACIONES!$D:$D,$B166,ASIGNACIONES!$H:$H,E166,ASIGNACIONES!$G:$G,$D166,ASIGNACIONES!$J:$J,$F166)=0,"NUEVO","ACTIVO"))))</f>
        <v/>
      </c>
    </row>
    <row r="167">
      <c r="A167" s="30"/>
      <c r="B167" s="37"/>
      <c r="C167" s="32"/>
      <c r="D167" s="36"/>
      <c r="E167" s="36"/>
      <c r="F167" s="34"/>
      <c r="G167" s="24"/>
      <c r="H167" s="24" t="str">
        <f>IF($B167="","",IF($B167="TRANSCARNES","ACTIVO",IF(COUNTIF(RETIROS!E:E,$B167)=1,"PENDIENTE ELIMINAR",IF(COUNTIFS(ASIGNACIONES!$D:$D,$B167,ASIGNACIONES!$H:$H,E167,ASIGNACIONES!$G:$G,$D167,ASIGNACIONES!$J:$J,$F167)=0,"NUEVO","ACTIVO"))))</f>
        <v/>
      </c>
    </row>
    <row r="168">
      <c r="A168" s="30"/>
      <c r="B168" s="31"/>
      <c r="C168" s="32"/>
      <c r="D168" s="36"/>
      <c r="E168" s="36"/>
      <c r="F168" s="34"/>
      <c r="G168" s="24"/>
      <c r="H168" s="24" t="str">
        <f>IF($B168="","",IF($B168="TRANSCARNES","ACTIVO",IF(COUNTIF(RETIROS!E:E,$B168)=1,"PENDIENTE ELIMINAR",IF(COUNTIFS(ASIGNACIONES!$D:$D,$B168,ASIGNACIONES!$H:$H,E168,ASIGNACIONES!$G:$G,$D168,ASIGNACIONES!$J:$J,$F168)=0,"NUEVO","ACTIVO"))))</f>
        <v/>
      </c>
    </row>
    <row r="169">
      <c r="A169" s="30"/>
      <c r="B169" s="18"/>
      <c r="C169" s="32"/>
      <c r="D169" s="33"/>
      <c r="E169" s="33"/>
      <c r="F169" s="34"/>
      <c r="G169" s="24"/>
      <c r="H169" s="24" t="str">
        <f>IF($B169="","",IF($B169="TRANSCARNES","ACTIVO",IF(COUNTIF(RETIROS!E:E,$B169)=1,"PENDIENTE ELIMINAR",IF(COUNTIFS(ASIGNACIONES!$D:$D,$B169,ASIGNACIONES!$H:$H,E169,ASIGNACIONES!$G:$G,$D169,ASIGNACIONES!$J:$J,$F169)=0,"NUEVO","ACTIVO"))))</f>
        <v/>
      </c>
    </row>
    <row r="170">
      <c r="A170" s="30"/>
      <c r="B170" s="31"/>
      <c r="C170" s="32"/>
      <c r="D170" s="36"/>
      <c r="E170" s="36"/>
      <c r="F170" s="34"/>
      <c r="G170" s="24"/>
      <c r="H170" s="24" t="str">
        <f>IF($B170="","",IF($B170="TRANSCARNES","ACTIVO",IF(COUNTIF(RETIROS!E:E,$B170)=1,"PENDIENTE ELIMINAR",IF(COUNTIFS(ASIGNACIONES!$D:$D,$B170,ASIGNACIONES!$H:$H,E170,ASIGNACIONES!$G:$G,$D170,ASIGNACIONES!$J:$J,$F170)=0,"NUEVO","ACTIVO"))))</f>
        <v/>
      </c>
    </row>
    <row r="171">
      <c r="A171" s="30"/>
      <c r="B171" s="31"/>
      <c r="C171" s="32"/>
      <c r="D171" s="36"/>
      <c r="E171" s="36"/>
      <c r="F171" s="34"/>
      <c r="G171" s="24"/>
      <c r="H171" s="24" t="str">
        <f>IF($B171="","",IF($B171="TRANSCARNES","ACTIVO",IF(COUNTIF(RETIROS!E:E,$B171)=1,"PENDIENTE ELIMINAR",IF(COUNTIFS(ASIGNACIONES!$D:$D,$B171,ASIGNACIONES!$H:$H,E171,ASIGNACIONES!$G:$G,$D171,ASIGNACIONES!$J:$J,$F171)=0,"NUEVO","ACTIVO"))))</f>
        <v/>
      </c>
    </row>
    <row r="172">
      <c r="A172" s="30"/>
      <c r="B172" s="18"/>
      <c r="C172" s="32"/>
      <c r="D172" s="33"/>
      <c r="E172" s="33"/>
      <c r="F172" s="34"/>
      <c r="G172" s="24"/>
      <c r="H172" s="24" t="str">
        <f>IF($B172="","",IF($B172="TRANSCARNES","ACTIVO",IF(COUNTIF(RETIROS!E:E,$B172)=1,"PENDIENTE ELIMINAR",IF(COUNTIFS(ASIGNACIONES!$D:$D,$B172,ASIGNACIONES!$H:$H,E172,ASIGNACIONES!$G:$G,$D172,ASIGNACIONES!$J:$J,$F172)=0,"NUEVO","ACTIVO"))))</f>
        <v/>
      </c>
    </row>
    <row r="173">
      <c r="A173" s="30"/>
      <c r="B173" s="18"/>
      <c r="C173" s="32"/>
      <c r="D173" s="33"/>
      <c r="E173" s="33"/>
      <c r="F173" s="34"/>
      <c r="G173" s="24"/>
      <c r="H173" s="24" t="str">
        <f>IF($B173="","",IF($B173="TRANSCARNES","ACTIVO",IF(COUNTIF(RETIROS!E:E,$B173)=1,"PENDIENTE ELIMINAR",IF(COUNTIFS(ASIGNACIONES!$D:$D,$B173,ASIGNACIONES!$H:$H,E173,ASIGNACIONES!$G:$G,$D173,ASIGNACIONES!$J:$J,$F173)=0,"NUEVO","ACTIVO"))))</f>
        <v/>
      </c>
    </row>
    <row r="174">
      <c r="A174" s="30"/>
      <c r="B174" s="18"/>
      <c r="C174" s="32"/>
      <c r="D174" s="33"/>
      <c r="E174" s="33"/>
      <c r="F174" s="34"/>
      <c r="G174" s="24"/>
      <c r="H174" s="24" t="str">
        <f>IF($B174="","",IF($B174="TRANSCARNES","ACTIVO",IF(COUNTIF(RETIROS!E:E,$B174)=1,"PENDIENTE ELIMINAR",IF(COUNTIFS(ASIGNACIONES!$D:$D,$B174,ASIGNACIONES!$H:$H,E174,ASIGNACIONES!$G:$G,$D174,ASIGNACIONES!$J:$J,$F174)=0,"NUEVO","ACTIVO"))))</f>
        <v/>
      </c>
    </row>
    <row r="175">
      <c r="A175" s="30"/>
      <c r="B175" s="18"/>
      <c r="C175" s="32"/>
      <c r="D175" s="33"/>
      <c r="E175" s="33"/>
      <c r="F175" s="34"/>
      <c r="G175" s="24"/>
      <c r="H175" s="24" t="str">
        <f>IF($B175="","",IF($B175="TRANSCARNES","ACTIVO",IF(COUNTIF(RETIROS!E:E,$B175)=1,"PENDIENTE ELIMINAR",IF(COUNTIFS(ASIGNACIONES!$D:$D,$B175,ASIGNACIONES!$H:$H,E175,ASIGNACIONES!$G:$G,$D175,ASIGNACIONES!$J:$J,$F175)=0,"NUEVO","ACTIVO"))))</f>
        <v/>
      </c>
    </row>
    <row r="176">
      <c r="A176" s="30"/>
      <c r="B176" s="18"/>
      <c r="C176" s="32"/>
      <c r="D176" s="33"/>
      <c r="E176" s="33"/>
      <c r="F176" s="34"/>
      <c r="G176" s="24"/>
      <c r="H176" s="24" t="str">
        <f>IF($B176="","",IF($B176="TRANSCARNES","ACTIVO",IF(COUNTIF(RETIROS!E:E,$B176)=1,"PENDIENTE ELIMINAR",IF(COUNTIFS(ASIGNACIONES!$D:$D,$B176,ASIGNACIONES!$H:$H,E176,ASIGNACIONES!$G:$G,$D176,ASIGNACIONES!$J:$J,$F176)=0,"NUEVO","ACTIVO"))))</f>
        <v/>
      </c>
    </row>
    <row r="177">
      <c r="A177" s="30"/>
      <c r="B177" s="18"/>
      <c r="C177" s="32"/>
      <c r="D177" s="33"/>
      <c r="E177" s="33"/>
      <c r="F177" s="34"/>
      <c r="G177" s="24"/>
      <c r="H177" s="24" t="str">
        <f>IF($B177="","",IF($B177="TRANSCARNES","ACTIVO",IF(COUNTIF(RETIROS!E:E,$B177)=1,"PENDIENTE ELIMINAR",IF(COUNTIFS(ASIGNACIONES!$D:$D,$B177,ASIGNACIONES!$H:$H,E177,ASIGNACIONES!$G:$G,$D177,ASIGNACIONES!$J:$J,$F177)=0,"NUEVO","ACTIVO"))))</f>
        <v/>
      </c>
    </row>
    <row r="178">
      <c r="A178" s="30"/>
      <c r="B178" s="31"/>
      <c r="C178" s="32"/>
      <c r="D178" s="36"/>
      <c r="E178" s="36"/>
      <c r="F178" s="34"/>
      <c r="G178" s="24"/>
      <c r="H178" s="24" t="str">
        <f>IF($B178="","",IF($B178="TRANSCARNES","ACTIVO",IF(COUNTIF(RETIROS!E:E,$B178)=1,"PENDIENTE ELIMINAR",IF(COUNTIFS(ASIGNACIONES!$D:$D,$B178,ASIGNACIONES!$H:$H,E178,ASIGNACIONES!$G:$G,$D178,ASIGNACIONES!$J:$J,$F178)=0,"NUEVO","ACTIVO"))))</f>
        <v/>
      </c>
    </row>
    <row r="179">
      <c r="A179" s="30"/>
      <c r="B179" s="18"/>
      <c r="C179" s="32"/>
      <c r="D179" s="36"/>
      <c r="E179" s="36"/>
      <c r="F179" s="34"/>
      <c r="G179" s="24"/>
      <c r="H179" s="24" t="str">
        <f>IF($B179="","",IF($B179="TRANSCARNES","ACTIVO",IF(COUNTIF(RETIROS!E:E,$B179)=1,"PENDIENTE ELIMINAR",IF(COUNTIFS(ASIGNACIONES!$D:$D,$B179,ASIGNACIONES!$H:$H,E179,ASIGNACIONES!$G:$G,$D179,ASIGNACIONES!$J:$J,$F179)=0,"NUEVO","ACTIVO"))))</f>
        <v/>
      </c>
    </row>
    <row r="180">
      <c r="A180" s="30"/>
      <c r="B180" s="37"/>
      <c r="C180" s="32"/>
      <c r="D180" s="33"/>
      <c r="E180" s="33"/>
      <c r="F180" s="34"/>
      <c r="G180" s="24"/>
      <c r="H180" s="24" t="str">
        <f>IF($B180="","",IF($B180="TRANSCARNES","ACTIVO",IF(COUNTIF(RETIROS!E:E,$B180)=1,"PENDIENTE ELIMINAR",IF(COUNTIFS(ASIGNACIONES!$D:$D,$B180,ASIGNACIONES!$H:$H,E180,ASIGNACIONES!$G:$G,$D180,ASIGNACIONES!$J:$J,$F180)=0,"NUEVO","ACTIVO"))))</f>
        <v/>
      </c>
    </row>
    <row r="181">
      <c r="A181" s="30"/>
      <c r="B181" s="31"/>
      <c r="C181" s="32"/>
      <c r="D181" s="36"/>
      <c r="E181" s="36"/>
      <c r="F181" s="34"/>
      <c r="G181" s="24"/>
      <c r="H181" s="24"/>
    </row>
    <row r="182">
      <c r="A182" s="30"/>
      <c r="B182" s="18"/>
      <c r="C182" s="32"/>
      <c r="D182" s="33"/>
      <c r="E182" s="33"/>
      <c r="F182" s="34"/>
      <c r="G182" s="24"/>
      <c r="H182" s="24" t="str">
        <f>IF($B182="","",IF($B182="TRANSCARNES","ACTIVO",IF(COUNTIF(RETIROS!E:E,$B182)=1,"PENDIENTE ELIMINAR",IF(COUNTIFS(ASIGNACIONES!$D:$D,$B182,ASIGNACIONES!$H:$H,E182,ASIGNACIONES!$G:$G,$D182,ASIGNACIONES!$J:$J,$F182)=0,"NUEVO","ACTIVO"))))</f>
        <v/>
      </c>
    </row>
    <row r="183">
      <c r="A183" s="30"/>
      <c r="B183" s="31"/>
      <c r="C183" s="32"/>
      <c r="D183" s="36"/>
      <c r="E183" s="36"/>
      <c r="F183" s="34"/>
      <c r="G183" s="24"/>
      <c r="H183" s="24" t="str">
        <f>IF($B183="","",IF($B183="TRANSCARNES","ACTIVO",IF(COUNTIF(RETIROS!E:E,$B183)=1,"PENDIENTE ELIMINAR",IF(COUNTIFS(ASIGNACIONES!$D:$D,$B183,ASIGNACIONES!$H:$H,E183,ASIGNACIONES!$G:$G,$D183,ASIGNACIONES!$J:$J,$F183)=0,"NUEVO","ACTIVO"))))</f>
        <v/>
      </c>
    </row>
    <row r="184">
      <c r="A184" s="30"/>
      <c r="B184" s="35"/>
      <c r="C184" s="32"/>
      <c r="D184" s="36"/>
      <c r="E184" s="36"/>
      <c r="F184" s="34"/>
      <c r="G184" s="24"/>
      <c r="H184" s="24" t="str">
        <f>IF($B184="","",IF($B184="TRANSCARNES","ACTIVO",IF(COUNTIF(RETIROS!E:E,$B184)=1,"PENDIENTE ELIMINAR",IF(COUNTIFS(ASIGNACIONES!$D:$D,$B184,ASIGNACIONES!$H:$H,E184,ASIGNACIONES!$G:$G,$D184,ASIGNACIONES!$J:$J,$F184)=0,"NUEVO","ACTIVO"))))</f>
        <v/>
      </c>
    </row>
    <row r="185">
      <c r="A185" s="30"/>
      <c r="B185" s="31"/>
      <c r="C185" s="32"/>
      <c r="D185" s="36"/>
      <c r="E185" s="36"/>
      <c r="F185" s="34"/>
      <c r="G185" s="24"/>
      <c r="H185" s="24" t="str">
        <f>IF($B185="","",IF($B185="TRANSCARNES","ACTIVO",IF(COUNTIF(RETIROS!E:E,$B185)=1,"PENDIENTE ELIMINAR",IF(COUNTIFS(ASIGNACIONES!$D:$D,$B185,ASIGNACIONES!$H:$H,E185,ASIGNACIONES!$G:$G,$D185,ASIGNACIONES!$J:$J,$F185)=0,"NUEVO","ACTIVO"))))</f>
        <v/>
      </c>
    </row>
    <row r="186">
      <c r="A186" s="30"/>
      <c r="B186" s="31"/>
      <c r="C186" s="32"/>
      <c r="D186" s="36"/>
      <c r="E186" s="36"/>
      <c r="F186" s="34"/>
      <c r="G186" s="24"/>
      <c r="H186" s="24" t="str">
        <f>IF($B186="","",IF($B186="TRANSCARNES","ACTIVO",IF(COUNTIF(RETIROS!E:E,$B186)=1,"PENDIENTE ELIMINAR",IF(COUNTIFS(ASIGNACIONES!$D:$D,$B186,ASIGNACIONES!$H:$H,E186,ASIGNACIONES!$G:$G,$D186,ASIGNACIONES!$J:$J,$F186)=0,"NUEVO","ACTIVO"))))</f>
        <v/>
      </c>
    </row>
    <row r="187">
      <c r="A187" s="30"/>
      <c r="B187" s="18"/>
      <c r="C187" s="32"/>
      <c r="D187" s="33"/>
      <c r="E187" s="33"/>
      <c r="F187" s="34"/>
      <c r="G187" s="24"/>
      <c r="H187" s="24" t="str">
        <f>IF($B187="","",IF($B187="TRANSCARNES","ACTIVO",IF(COUNTIF(RETIROS!E:E,$B187)=1,"PENDIENTE ELIMINAR",IF(COUNTIFS(ASIGNACIONES!$D:$D,$B187,ASIGNACIONES!$H:$H,E187,ASIGNACIONES!$G:$G,$D187,ASIGNACIONES!$J:$J,$F187)=0,"NUEVO","ACTIVO"))))</f>
        <v/>
      </c>
    </row>
    <row r="188">
      <c r="A188" s="30"/>
      <c r="B188" s="18"/>
      <c r="C188" s="32"/>
      <c r="D188" s="33"/>
      <c r="E188" s="33"/>
      <c r="F188" s="34"/>
      <c r="G188" s="24"/>
      <c r="H188" s="24" t="str">
        <f>IF($B188="","",IF($B188="TRANSCARNES","ACTIVO",IF(COUNTIF(RETIROS!E:E,$B188)=1,"PENDIENTE ELIMINAR",IF(COUNTIFS(ASIGNACIONES!$D:$D,$B188,ASIGNACIONES!$H:$H,E188,ASIGNACIONES!$G:$G,$D188,ASIGNACIONES!$J:$J,$F188)=0,"NUEVO","ACTIVO"))))</f>
        <v/>
      </c>
    </row>
    <row r="189">
      <c r="A189" s="30"/>
      <c r="B189" s="18"/>
      <c r="C189" s="32"/>
      <c r="D189" s="33"/>
      <c r="E189" s="33"/>
      <c r="F189" s="34"/>
      <c r="G189" s="24"/>
      <c r="H189" s="24"/>
    </row>
    <row r="190">
      <c r="A190" s="30"/>
      <c r="B190" s="18"/>
      <c r="C190" s="32"/>
      <c r="D190" s="33"/>
      <c r="E190" s="33"/>
      <c r="F190" s="34"/>
      <c r="G190" s="24"/>
      <c r="H190" s="24" t="str">
        <f>IF($B190="","",IF($B190="TRANSCARNES","ACTIVO",IF(COUNTIF(RETIROS!E:E,$B190)=1,"PENDIENTE ELIMINAR",IF(COUNTIFS(ASIGNACIONES!$D:$D,$B190,ASIGNACIONES!$H:$H,E190,ASIGNACIONES!$G:$G,$D190,ASIGNACIONES!$J:$J,$F190)=0,"NUEVO","ACTIVO"))))</f>
        <v/>
      </c>
    </row>
    <row r="191">
      <c r="A191" s="30"/>
      <c r="B191" s="18"/>
      <c r="C191" s="32"/>
      <c r="D191" s="33"/>
      <c r="E191" s="33"/>
      <c r="F191" s="34"/>
      <c r="G191" s="24"/>
      <c r="H191" s="24" t="str">
        <f>IF($B191="","",IF($B191="TRANSCARNES","ACTIVO",IF(COUNTIF(RETIROS!E:E,$B191)=1,"PENDIENTE ELIMINAR",IF(COUNTIFS(ASIGNACIONES!$D:$D,$B191,ASIGNACIONES!$H:$H,E191,ASIGNACIONES!$G:$G,$D191,ASIGNACIONES!$J:$J,$F191)=0,"NUEVO","ACTIVO"))))</f>
        <v/>
      </c>
    </row>
    <row r="192">
      <c r="A192" s="30"/>
      <c r="B192" s="18"/>
      <c r="C192" s="32"/>
      <c r="D192" s="33"/>
      <c r="E192" s="33"/>
      <c r="F192" s="34"/>
      <c r="G192" s="24"/>
      <c r="H192" s="24" t="str">
        <f>IF($B192="","",IF($B192="TRANSCARNES","ACTIVO",IF(COUNTIF(RETIROS!E:E,$B192)=1,"PENDIENTE ELIMINAR",IF(COUNTIFS(ASIGNACIONES!$D:$D,$B192,ASIGNACIONES!$H:$H,E192,ASIGNACIONES!$G:$G,$D192,ASIGNACIONES!$J:$J,$F192)=0,"NUEVO","ACTIVO"))))</f>
        <v/>
      </c>
    </row>
    <row r="193">
      <c r="A193" s="30"/>
      <c r="B193" s="18"/>
      <c r="C193" s="32"/>
      <c r="D193" s="33"/>
      <c r="E193" s="33"/>
      <c r="F193" s="34"/>
      <c r="G193" s="24"/>
      <c r="H193" s="24" t="str">
        <f>IF($B193="","",IF($B193="TRANSCARNES","ACTIVO",IF(COUNTIF(RETIROS!E:E,$B193)=1,"PENDIENTE ELIMINAR",IF(COUNTIFS(ASIGNACIONES!$D:$D,$B193,ASIGNACIONES!$H:$H,E193,ASIGNACIONES!$G:$G,$D193,ASIGNACIONES!$J:$J,$F193)=0,"NUEVO","ACTIVO"))))</f>
        <v/>
      </c>
    </row>
    <row r="194">
      <c r="A194" s="30"/>
      <c r="B194" s="18"/>
      <c r="C194" s="32"/>
      <c r="D194" s="33"/>
      <c r="E194" s="33"/>
      <c r="F194" s="34"/>
      <c r="G194" s="24"/>
      <c r="H194" s="24" t="str">
        <f>IF($B194="","",IF($B194="TRANSCARNES","ACTIVO",IF(COUNTIF(RETIROS!E:E,$B194)=1,"PENDIENTE ELIMINAR",IF(COUNTIFS(ASIGNACIONES!$D:$D,$B194,ASIGNACIONES!$H:$H,E194,ASIGNACIONES!$G:$G,$D194,ASIGNACIONES!$J:$J,$F194)=0,"NUEVO","ACTIVO"))))</f>
        <v/>
      </c>
    </row>
    <row r="195">
      <c r="A195" s="30"/>
      <c r="B195" s="18"/>
      <c r="C195" s="32"/>
      <c r="D195" s="33"/>
      <c r="E195" s="33"/>
      <c r="F195" s="34"/>
      <c r="G195" s="24"/>
      <c r="H195" s="24" t="str">
        <f>IF($B195="","",IF($B195="TRANSCARNES","ACTIVO",IF(COUNTIF(RETIROS!E:E,$B195)=1,"PENDIENTE ELIMINAR",IF(COUNTIFS(ASIGNACIONES!$D:$D,$B195,ASIGNACIONES!$H:$H,E195,ASIGNACIONES!$G:$G,$D195,ASIGNACIONES!$J:$J,$F195)=0,"NUEVO","ACTIVO"))))</f>
        <v/>
      </c>
    </row>
    <row r="196">
      <c r="A196" s="30"/>
      <c r="B196" s="18"/>
      <c r="C196" s="32"/>
      <c r="D196" s="33"/>
      <c r="E196" s="33"/>
      <c r="F196" s="34"/>
      <c r="G196" s="24"/>
      <c r="H196" s="24" t="str">
        <f>IF($B196="","",IF($B196="TRANSCARNES","ACTIVO",IF(COUNTIF(RETIROS!E:E,$B196)=1,"PENDIENTE ELIMINAR",IF(COUNTIFS(ASIGNACIONES!$D:$D,$B196,ASIGNACIONES!$H:$H,E196,ASIGNACIONES!$G:$G,$D196,ASIGNACIONES!$J:$J,$F196)=0,"NUEVO","ACTIVO"))))</f>
        <v/>
      </c>
    </row>
    <row r="197">
      <c r="A197" s="30"/>
      <c r="B197" s="18"/>
      <c r="C197" s="32"/>
      <c r="D197" s="33"/>
      <c r="E197" s="33"/>
      <c r="F197" s="34"/>
      <c r="G197" s="24"/>
      <c r="H197" s="24" t="str">
        <f>IF($B197="","",IF($B197="TRANSCARNES","ACTIVO",IF(COUNTIF(RETIROS!E:E,$B197)=1,"PENDIENTE ELIMINAR",IF(COUNTIFS(ASIGNACIONES!$D:$D,$B197,ASIGNACIONES!$H:$H,E197,ASIGNACIONES!$G:$G,$D197,ASIGNACIONES!$J:$J,$F197)=0,"NUEVO","ACTIVO"))))</f>
        <v/>
      </c>
    </row>
    <row r="198">
      <c r="A198" s="30"/>
      <c r="B198" s="18"/>
      <c r="C198" s="32"/>
      <c r="D198" s="33"/>
      <c r="E198" s="33"/>
      <c r="F198" s="34"/>
      <c r="G198" s="24"/>
      <c r="H198" s="24" t="str">
        <f>IF($B198="","",IF($B198="TRANSCARNES","ACTIVO",IF(COUNTIF(RETIROS!E:E,$B198)=1,"PENDIENTE ELIMINAR",IF(COUNTIFS(ASIGNACIONES!$D:$D,$B198,ASIGNACIONES!$H:$H,E198,ASIGNACIONES!$G:$G,$D198,ASIGNACIONES!$J:$J,$F198)=0,"NUEVO","ACTIVO"))))</f>
        <v/>
      </c>
    </row>
    <row r="199">
      <c r="A199" s="30"/>
      <c r="B199" s="40"/>
      <c r="C199" s="32"/>
      <c r="D199" s="33"/>
      <c r="E199" s="33"/>
      <c r="F199" s="34"/>
      <c r="G199" s="24"/>
      <c r="H199" s="24" t="str">
        <f>IF($B199="","",IF($B199="TRANSCARNES","ACTIVO",IF(COUNTIF(RETIROS!E:E,$B199)=1,"PENDIENTE ELIMINAR",IF(COUNTIFS(ASIGNACIONES!$D:$D,$B199,ASIGNACIONES!$H:$H,E199,ASIGNACIONES!$G:$G,$D199,ASIGNACIONES!$J:$J,$F199)=0,"NUEVO","ACTIVO"))))</f>
        <v/>
      </c>
    </row>
    <row r="200">
      <c r="A200" s="30"/>
      <c r="B200" s="40"/>
      <c r="C200" s="32"/>
      <c r="D200" s="33"/>
      <c r="E200" s="33"/>
      <c r="F200" s="34"/>
      <c r="G200" s="24"/>
      <c r="H200" s="24" t="str">
        <f>IF($B200="","",IF($B200="TRANSCARNES","ACTIVO",IF(COUNTIF(RETIROS!E:E,$B200)=1,"PENDIENTE ELIMINAR",IF(COUNTIFS(ASIGNACIONES!$D:$D,$B200,ASIGNACIONES!$H:$H,E200,ASIGNACIONES!$G:$G,$D200,ASIGNACIONES!$J:$J,$F200)=0,"NUEVO","ACTIVO"))))</f>
        <v/>
      </c>
    </row>
    <row r="201">
      <c r="A201" s="30"/>
      <c r="B201" s="18"/>
      <c r="C201" s="32"/>
      <c r="D201" s="33"/>
      <c r="E201" s="33"/>
      <c r="F201" s="34"/>
      <c r="G201" s="24"/>
      <c r="H201" s="24" t="str">
        <f>IF($B201="","",IF($B201="TRANSCARNES","ACTIVO",IF(COUNTIF(RETIROS!E:E,$B201)=1,"PENDIENTE ELIMINAR",IF(COUNTIFS(ASIGNACIONES!$D:$D,$B201,ASIGNACIONES!$H:$H,E201,ASIGNACIONES!$G:$G,$D201,ASIGNACIONES!$J:$J,$F201)=0,"NUEVO","ACTIVO"))))</f>
        <v/>
      </c>
    </row>
    <row r="202">
      <c r="A202" s="30"/>
      <c r="B202" s="18"/>
      <c r="C202" s="32"/>
      <c r="D202" s="33"/>
      <c r="E202" s="33"/>
      <c r="F202" s="34"/>
      <c r="G202" s="24"/>
      <c r="H202" s="24" t="str">
        <f>IF($B202="","",IF($B202="TRANSCARNES","ACTIVO",IF(COUNTIF(RETIROS!E:E,$B202)=1,"PENDIENTE ELIMINAR",IF(COUNTIFS(ASIGNACIONES!$D:$D,$B202,ASIGNACIONES!$H:$H,E202,ASIGNACIONES!$G:$G,$D202,ASIGNACIONES!$J:$J,$F202)=0,"NUEVO","ACTIVO"))))</f>
        <v/>
      </c>
    </row>
    <row r="203">
      <c r="A203" s="30"/>
      <c r="B203" s="18"/>
      <c r="C203" s="32"/>
      <c r="D203" s="33"/>
      <c r="E203" s="33"/>
      <c r="F203" s="34"/>
      <c r="G203" s="24"/>
      <c r="H203" s="24" t="str">
        <f>IF($B203="","",IF($B203="TRANSCARNES","ACTIVO",IF(COUNTIF(RETIROS!E:E,$B203)=1,"PENDIENTE ELIMINAR",IF(COUNTIFS(ASIGNACIONES!$D:$D,$B203,ASIGNACIONES!$H:$H,E203,ASIGNACIONES!$G:$G,$D203,ASIGNACIONES!$J:$J,$F203)=0,"NUEVO","ACTIVO"))))</f>
        <v/>
      </c>
    </row>
    <row r="204">
      <c r="A204" s="30"/>
      <c r="B204" s="18"/>
      <c r="C204" s="32"/>
      <c r="D204" s="33"/>
      <c r="E204" s="33"/>
      <c r="F204" s="34"/>
      <c r="G204" s="24"/>
      <c r="H204" s="24" t="str">
        <f>IF($B204="","",IF($B204="TRANSCARNES","ACTIVO",IF(COUNTIF(RETIROS!E:E,$B204)=1,"PENDIENTE ELIMINAR",IF(COUNTIFS(ASIGNACIONES!$D:$D,$B204,ASIGNACIONES!$H:$H,E204,ASIGNACIONES!$G:$G,$D204,ASIGNACIONES!$J:$J,$F204)=0,"NUEVO","ACTIVO"))))</f>
        <v/>
      </c>
    </row>
    <row r="205">
      <c r="A205" s="30"/>
      <c r="B205" s="18"/>
      <c r="C205" s="32"/>
      <c r="D205" s="33"/>
      <c r="E205" s="33"/>
      <c r="F205" s="34"/>
      <c r="G205" s="24"/>
      <c r="H205" s="24" t="str">
        <f>IF($B205="","",IF($B205="TRANSCARNES","ACTIVO",IF(COUNTIF(RETIROS!E:E,$B205)=1,"PENDIENTE ELIMINAR",IF(COUNTIFS(ASIGNACIONES!$D:$D,$B205,ASIGNACIONES!$H:$H,E205,ASIGNACIONES!$G:$G,$D205,ASIGNACIONES!$J:$J,$F205)=0,"NUEVO","ACTIVO"))))</f>
        <v/>
      </c>
    </row>
    <row r="206">
      <c r="A206" s="30"/>
      <c r="B206" s="18"/>
      <c r="C206" s="32"/>
      <c r="D206" s="33"/>
      <c r="E206" s="33"/>
      <c r="F206" s="34"/>
      <c r="G206" s="24"/>
      <c r="H206" s="24" t="str">
        <f>IF($B206="","",IF($B206="TRANSCARNES","ACTIVO",IF(COUNTIF(RETIROS!E:E,$B206)=1,"PENDIENTE ELIMINAR",IF(COUNTIFS(ASIGNACIONES!$D:$D,$B206,ASIGNACIONES!$H:$H,E206,ASIGNACIONES!$G:$G,$D206,ASIGNACIONES!$J:$J,$F206)=0,"NUEVO","ACTIVO"))))</f>
        <v/>
      </c>
    </row>
    <row r="207">
      <c r="A207" s="30"/>
      <c r="B207" s="18"/>
      <c r="C207" s="32"/>
      <c r="D207" s="33"/>
      <c r="E207" s="33"/>
      <c r="F207" s="34"/>
      <c r="G207" s="24"/>
      <c r="H207" s="24" t="str">
        <f>IF($B207="","",IF($B207="TRANSCARNES","ACTIVO",IF(COUNTIF(RETIROS!E:E,$B207)=1,"PENDIENTE ELIMINAR",IF(COUNTIFS(ASIGNACIONES!$D:$D,$B207,ASIGNACIONES!$H:$H,E207,ASIGNACIONES!$G:$G,$D207,ASIGNACIONES!$J:$J,$F207)=0,"NUEVO","ACTIVO"))))</f>
        <v/>
      </c>
    </row>
    <row r="208">
      <c r="A208" s="30"/>
      <c r="B208" s="18"/>
      <c r="C208" s="32"/>
      <c r="D208" s="33"/>
      <c r="E208" s="33"/>
      <c r="F208" s="34"/>
      <c r="G208" s="24"/>
      <c r="H208" s="24" t="str">
        <f>IF($B208="","",IF($B208="TRANSCARNES","ACTIVO",IF(COUNTIF(RETIROS!E:E,$B208)=1,"PENDIENTE ELIMINAR",IF(COUNTIFS(ASIGNACIONES!$D:$D,$B208,ASIGNACIONES!$H:$H,E208,ASIGNACIONES!$G:$G,$D208,ASIGNACIONES!$J:$J,$F208)=0,"NUEVO","ACTIVO"))))</f>
        <v/>
      </c>
    </row>
    <row r="209">
      <c r="A209" s="30"/>
      <c r="B209" s="37"/>
      <c r="C209" s="32"/>
      <c r="D209" s="33"/>
      <c r="E209" s="33"/>
      <c r="F209" s="34"/>
      <c r="G209" s="24"/>
      <c r="H209" s="24" t="str">
        <f>IF($B209="","",IF($B209="TRANSCARNES","ACTIVO",IF(COUNTIF(RETIROS!E:E,$B209)=1,"PENDIENTE ELIMINAR",IF(COUNTIFS(ASIGNACIONES!$D:$D,$B209,ASIGNACIONES!$H:$H,E209,ASIGNACIONES!$G:$G,$D209,ASIGNACIONES!$J:$J,$F209)=0,"NUEVO","ACTIVO"))))</f>
        <v/>
      </c>
    </row>
    <row r="210">
      <c r="A210" s="30"/>
      <c r="B210" s="18"/>
      <c r="C210" s="32"/>
      <c r="D210" s="33"/>
      <c r="E210" s="33"/>
      <c r="F210" s="34"/>
      <c r="G210" s="24"/>
      <c r="H210" s="24" t="str">
        <f>IF($B210="","",IF($B210="TRANSCARNES","ACTIVO",IF(COUNTIF(RETIROS!E:E,$B210)=1,"PENDIENTE ELIMINAR",IF(COUNTIFS(ASIGNACIONES!$D:$D,$B210,ASIGNACIONES!$H:$H,E210,ASIGNACIONES!$G:$G,$D210,ASIGNACIONES!$J:$J,$F210)=0,"NUEVO","ACTIVO"))))</f>
        <v/>
      </c>
    </row>
    <row r="211">
      <c r="A211" s="30"/>
      <c r="B211" s="18"/>
      <c r="C211" s="32"/>
      <c r="D211" s="33"/>
      <c r="E211" s="33"/>
      <c r="F211" s="34"/>
      <c r="G211" s="24"/>
      <c r="H211" s="24" t="str">
        <f>IF($B211="","",IF($B211="TRANSCARNES","ACTIVO",IF(COUNTIF(RETIROS!E:E,$B211)=1,"PENDIENTE ELIMINAR",IF(COUNTIFS(ASIGNACIONES!$D:$D,$B211,ASIGNACIONES!$H:$H,E211,ASIGNACIONES!$G:$G,$D211,ASIGNACIONES!$J:$J,$F211)=0,"NUEVO","ACTIVO"))))</f>
        <v/>
      </c>
    </row>
    <row r="212">
      <c r="A212" s="30"/>
      <c r="B212" s="41"/>
      <c r="C212" s="32"/>
      <c r="D212" s="33"/>
      <c r="E212" s="33"/>
      <c r="F212" s="34"/>
      <c r="G212" s="24"/>
      <c r="H212" s="24" t="str">
        <f>IF($B212="","",IF($B212="TRANSCARNES","ACTIVO",IF(COUNTIF(RETIROS!E:E,$B212)=1,"PENDIENTE ELIMINAR",IF(COUNTIFS(ASIGNACIONES!$D:$D,$B212,ASIGNACIONES!$H:$H,E212,ASIGNACIONES!$G:$G,$D212,ASIGNACIONES!$J:$J,$F212)=0,"NUEVO","ACTIVO"))))</f>
        <v/>
      </c>
    </row>
    <row r="213">
      <c r="A213" s="30"/>
      <c r="B213" s="18"/>
      <c r="C213" s="32"/>
      <c r="D213" s="33"/>
      <c r="E213" s="33"/>
      <c r="F213" s="34"/>
      <c r="G213" s="24"/>
      <c r="H213" s="24" t="str">
        <f>IF($B213="","",IF($B213="TRANSCARNES","ACTIVO",IF(COUNTIF(RETIROS!E:E,$B213)=1,"PENDIENTE ELIMINAR",IF(COUNTIFS(ASIGNACIONES!$D:$D,$B213,ASIGNACIONES!$H:$H,E213,ASIGNACIONES!$G:$G,$D213,ASIGNACIONES!$J:$J,$F213)=0,"NUEVO","ACTIVO"))))</f>
        <v/>
      </c>
    </row>
    <row r="214">
      <c r="A214" s="30"/>
      <c r="B214" s="18"/>
      <c r="C214" s="32"/>
      <c r="D214" s="33"/>
      <c r="E214" s="33"/>
      <c r="F214" s="34"/>
      <c r="G214" s="24"/>
      <c r="H214" s="24" t="str">
        <f>IF($B214="","",IF($B214="TRANSCARNES","ACTIVO",IF(COUNTIF(RETIROS!E:E,$B214)=1,"PENDIENTE ELIMINAR",IF(COUNTIFS(ASIGNACIONES!$D:$D,$B214,ASIGNACIONES!$H:$H,E214,ASIGNACIONES!$G:$G,$D214,ASIGNACIONES!$J:$J,$F214)=0,"NUEVO","ACTIVO"))))</f>
        <v/>
      </c>
    </row>
    <row r="215">
      <c r="A215" s="30"/>
      <c r="B215" s="18"/>
      <c r="C215" s="32"/>
      <c r="D215" s="33"/>
      <c r="E215" s="33"/>
      <c r="F215" s="34"/>
      <c r="G215" s="24"/>
      <c r="H215" s="24"/>
    </row>
    <row r="216">
      <c r="A216" s="30"/>
      <c r="B216" s="14"/>
      <c r="C216" s="32"/>
      <c r="D216" s="33"/>
      <c r="E216" s="33"/>
      <c r="F216" s="34"/>
      <c r="G216" s="24"/>
      <c r="H216" s="24" t="str">
        <f>IF($B216="","",IF($B216="TRANSCARNES","ACTIVO",IF(COUNTIF(RETIROS!E:E,$B216)=1,"PENDIENTE ELIMINAR",IF(COUNTIFS(ASIGNACIONES!$D:$D,$B216,ASIGNACIONES!$H:$H,E216,ASIGNACIONES!$G:$G,$D216,ASIGNACIONES!$J:$J,$F216)=0,"NUEVO","ACTIVO"))))</f>
        <v/>
      </c>
    </row>
    <row r="217">
      <c r="A217" s="30"/>
      <c r="B217" s="18"/>
      <c r="C217" s="32"/>
      <c r="D217" s="33"/>
      <c r="E217" s="33"/>
      <c r="F217" s="34"/>
      <c r="G217" s="24"/>
      <c r="H217" s="24" t="str">
        <f>IF($B217="","",IF($B217="TRANSCARNES","ACTIVO",IF(COUNTIF(RETIROS!E:E,$B217)=1,"PENDIENTE ELIMINAR",IF(COUNTIFS(ASIGNACIONES!$D:$D,$B217,ASIGNACIONES!$H:$H,E217,ASIGNACIONES!$G:$G,$D217,ASIGNACIONES!$J:$J,$F217)=0,"NUEVO","ACTIVO"))))</f>
        <v/>
      </c>
    </row>
    <row r="218">
      <c r="A218" s="30"/>
      <c r="B218" s="18"/>
      <c r="C218" s="32"/>
      <c r="D218" s="33"/>
      <c r="E218" s="33"/>
      <c r="F218" s="34"/>
      <c r="G218" s="24"/>
      <c r="H218" s="24" t="str">
        <f>IF($B218="","",IF($B218="TRANSCARNES","ACTIVO",IF(COUNTIF(RETIROS!E:E,$B218)=1,"PENDIENTE ELIMINAR",IF(COUNTIFS(ASIGNACIONES!$D:$D,$B218,ASIGNACIONES!$H:$H,E218,ASIGNACIONES!$G:$G,$D218,ASIGNACIONES!$J:$J,$F218)=0,"NUEVO","ACTIVO"))))</f>
        <v/>
      </c>
    </row>
    <row r="219">
      <c r="A219" s="30"/>
      <c r="B219" s="18"/>
      <c r="C219" s="32"/>
      <c r="D219" s="33"/>
      <c r="E219" s="33"/>
      <c r="F219" s="34"/>
      <c r="G219" s="24"/>
      <c r="H219" s="24" t="str">
        <f>IF($B219="","",IF($B219="TRANSCARNES","ACTIVO",IF(COUNTIF(RETIROS!E:E,$B219)=1,"PENDIENTE ELIMINAR",IF(COUNTIFS(ASIGNACIONES!$D:$D,$B219,ASIGNACIONES!$H:$H,E219,ASIGNACIONES!$G:$G,$D219,ASIGNACIONES!$J:$J,$F219)=0,"NUEVO","ACTIVO"))))</f>
        <v/>
      </c>
    </row>
    <row r="220">
      <c r="A220" s="30"/>
      <c r="B220" s="18"/>
      <c r="C220" s="32"/>
      <c r="D220" s="33"/>
      <c r="E220" s="33"/>
      <c r="F220" s="34"/>
      <c r="G220" s="24"/>
      <c r="H220" s="24" t="str">
        <f>IF($B220="","",IF($B220="TRANSCARNES","ACTIVO",IF(COUNTIF(RETIROS!E:E,$B220)=1,"PENDIENTE ELIMINAR",IF(COUNTIFS(ASIGNACIONES!$D:$D,$B220,ASIGNACIONES!$H:$H,E220,ASIGNACIONES!$G:$G,$D220,ASIGNACIONES!$J:$J,$F220)=0,"NUEVO","ACTIVO"))))</f>
        <v/>
      </c>
    </row>
    <row r="221">
      <c r="A221" s="30"/>
      <c r="B221" s="18"/>
      <c r="C221" s="32"/>
      <c r="D221" s="33"/>
      <c r="E221" s="33"/>
      <c r="F221" s="34"/>
      <c r="G221" s="24"/>
      <c r="H221" s="24"/>
    </row>
    <row r="222">
      <c r="A222" s="30"/>
      <c r="B222" s="35"/>
      <c r="C222" s="32"/>
      <c r="D222" s="36"/>
      <c r="E222" s="36"/>
      <c r="F222" s="34"/>
      <c r="G222" s="24"/>
      <c r="H222" s="24" t="str">
        <f>IF($B222="","",IF($B222="TRANSCARNES","ACTIVO",IF(COUNTIF(RETIROS!E:E,$B222)=1,"PENDIENTE ELIMINAR",IF(COUNTIFS(ASIGNACIONES!$D:$D,$B222,ASIGNACIONES!$H:$H,E222,ASIGNACIONES!$G:$G,$D222,ASIGNACIONES!$J:$J,$F222)=0,"NUEVO","ACTIVO"))))</f>
        <v/>
      </c>
    </row>
    <row r="223">
      <c r="A223" s="30"/>
      <c r="B223" s="35"/>
      <c r="C223" s="32"/>
      <c r="D223" s="36"/>
      <c r="E223" s="36"/>
      <c r="F223" s="34"/>
      <c r="G223" s="24"/>
      <c r="H223" s="24" t="str">
        <f>IF($B223="","",IF($B223="TRANSCARNES","ACTIVO",IF(COUNTIF(RETIROS!E:E,$B223)=1,"PENDIENTE ELIMINAR",IF(COUNTIFS(ASIGNACIONES!$D:$D,$B223,ASIGNACIONES!$H:$H,E223,ASIGNACIONES!$G:$G,$D223,ASIGNACIONES!$J:$J,$F223)=0,"NUEVO","ACTIVO"))))</f>
        <v/>
      </c>
    </row>
    <row r="224">
      <c r="A224" s="30"/>
      <c r="B224" s="35"/>
      <c r="C224" s="32"/>
      <c r="D224" s="36"/>
      <c r="E224" s="36"/>
      <c r="F224" s="34"/>
      <c r="G224" s="24"/>
      <c r="H224" s="24" t="str">
        <f>IF($B224="","",IF($B224="TRANSCARNES","ACTIVO",IF(COUNTIF(RETIROS!E:E,$B224)=1,"PENDIENTE ELIMINAR",IF(COUNTIFS(ASIGNACIONES!$D:$D,$B224,ASIGNACIONES!$H:$H,E224,ASIGNACIONES!$G:$G,$D224,ASIGNACIONES!$J:$J,$F224)=0,"NUEVO","ACTIVO"))))</f>
        <v/>
      </c>
    </row>
    <row r="225">
      <c r="A225" s="30"/>
      <c r="B225" s="35"/>
      <c r="C225" s="32"/>
      <c r="D225" s="36"/>
      <c r="E225" s="36"/>
      <c r="F225" s="34"/>
      <c r="G225" s="24"/>
      <c r="H225" s="24" t="str">
        <f>IF($B225="","",IF($B225="TRANSCARNES","ACTIVO",IF(COUNTIF(RETIROS!E:E,$B225)=1,"PENDIENTE ELIMINAR",IF(COUNTIFS(ASIGNACIONES!$D:$D,$B225,ASIGNACIONES!$H:$H,E225,ASIGNACIONES!$G:$G,$D225,ASIGNACIONES!$J:$J,$F225)=0,"NUEVO","ACTIVO"))))</f>
        <v/>
      </c>
    </row>
    <row r="226">
      <c r="A226" s="30"/>
      <c r="B226" s="35"/>
      <c r="C226" s="32"/>
      <c r="D226" s="36"/>
      <c r="E226" s="36"/>
      <c r="F226" s="34"/>
      <c r="G226" s="24"/>
      <c r="H226" s="24" t="str">
        <f>IF($B226="","",IF($B226="TRANSCARNES","ACTIVO",IF(COUNTIF(RETIROS!E:E,$B226)=1,"PENDIENTE ELIMINAR",IF(COUNTIFS(ASIGNACIONES!$D:$D,$B226,ASIGNACIONES!$H:$H,E226,ASIGNACIONES!$G:$G,$D226,ASIGNACIONES!$J:$J,$F226)=0,"NUEVO","ACTIVO"))))</f>
        <v/>
      </c>
    </row>
    <row r="227">
      <c r="A227" s="30"/>
      <c r="B227" s="35"/>
      <c r="C227" s="32"/>
      <c r="D227" s="36"/>
      <c r="E227" s="36"/>
      <c r="F227" s="34"/>
      <c r="G227" s="24"/>
      <c r="H227" s="24" t="str">
        <f>IF($B227="","",IF($B227="TRANSCARNES","ACTIVO",IF(COUNTIF(RETIROS!E:E,$B227)=1,"PENDIENTE ELIMINAR",IF(COUNTIFS(ASIGNACIONES!$D:$D,$B227,ASIGNACIONES!$H:$H,E227,ASIGNACIONES!$G:$G,$D227,ASIGNACIONES!$J:$J,$F227)=0,"NUEVO","ACTIVO"))))</f>
        <v/>
      </c>
    </row>
    <row r="228">
      <c r="A228" s="30"/>
      <c r="B228" s="35"/>
      <c r="C228" s="32"/>
      <c r="D228" s="36"/>
      <c r="E228" s="36"/>
      <c r="F228" s="34"/>
      <c r="G228" s="24"/>
      <c r="H228" s="24" t="str">
        <f>IF($B228="","",IF($B228="TRANSCARNES","ACTIVO",IF(COUNTIF(RETIROS!E:E,$B228)=1,"PENDIENTE ELIMINAR",IF(COUNTIFS(ASIGNACIONES!$D:$D,$B228,ASIGNACIONES!$H:$H,E228,ASIGNACIONES!$G:$G,$D228,ASIGNACIONES!$J:$J,$F228)=0,"NUEVO","ACTIVO"))))</f>
        <v/>
      </c>
    </row>
    <row r="229">
      <c r="A229" s="30"/>
      <c r="B229" s="35"/>
      <c r="C229" s="32"/>
      <c r="D229" s="36"/>
      <c r="E229" s="36"/>
      <c r="F229" s="34"/>
      <c r="G229" s="24"/>
      <c r="H229" s="24" t="str">
        <f>IF($B229="","",IF($B229="TRANSCARNES","ACTIVO",IF(COUNTIF(RETIROS!E:E,$B229)=1,"PENDIENTE ELIMINAR",IF(COUNTIFS(ASIGNACIONES!$D:$D,$B229,ASIGNACIONES!$H:$H,E229,ASIGNACIONES!$G:$G,$D229,ASIGNACIONES!$J:$J,$F229)=0,"NUEVO","ACTIVO"))))</f>
        <v/>
      </c>
    </row>
    <row r="230">
      <c r="A230" s="30"/>
      <c r="B230" s="35"/>
      <c r="C230" s="32"/>
      <c r="D230" s="36"/>
      <c r="E230" s="36"/>
      <c r="F230" s="34"/>
      <c r="G230" s="24"/>
      <c r="H230" s="24" t="str">
        <f>IF($B230="","",IF($B230="TRANSCARNES","ACTIVO",IF(COUNTIF(RETIROS!E:E,$B230)=1,"PENDIENTE ELIMINAR",IF(COUNTIFS(ASIGNACIONES!$D:$D,$B230,ASIGNACIONES!$H:$H,E230,ASIGNACIONES!$G:$G,$D230,ASIGNACIONES!$J:$J,$F230)=0,"NUEVO","ACTIVO"))))</f>
        <v/>
      </c>
    </row>
    <row r="231">
      <c r="A231" s="30"/>
      <c r="B231" s="35"/>
      <c r="C231" s="32"/>
      <c r="D231" s="36"/>
      <c r="E231" s="36"/>
      <c r="F231" s="34"/>
      <c r="G231" s="24"/>
      <c r="H231" s="24" t="str">
        <f>IF($B231="","",IF($B231="TRANSCARNES","ACTIVO",IF(COUNTIF(RETIROS!E:E,$B231)=1,"PENDIENTE ELIMINAR",IF(COUNTIFS(ASIGNACIONES!$D:$D,$B231,ASIGNACIONES!$H:$H,E231,ASIGNACIONES!$G:$G,$D231,ASIGNACIONES!$J:$J,$F231)=0,"NUEVO","ACTIVO"))))</f>
        <v/>
      </c>
    </row>
    <row r="232">
      <c r="A232" s="30"/>
      <c r="B232" s="35"/>
      <c r="C232" s="32"/>
      <c r="D232" s="36"/>
      <c r="E232" s="36"/>
      <c r="F232" s="34"/>
      <c r="G232" s="24"/>
      <c r="H232" s="24" t="str">
        <f>IF($B232="","",IF($B232="TRANSCARNES","ACTIVO",IF(COUNTIF(RETIROS!E:E,$B232)=1,"PENDIENTE ELIMINAR",IF(COUNTIFS(ASIGNACIONES!$D:$D,$B232,ASIGNACIONES!$H:$H,E232,ASIGNACIONES!$G:$G,$D232,ASIGNACIONES!$J:$J,$F232)=0,"NUEVO","ACTIVO"))))</f>
        <v/>
      </c>
    </row>
    <row r="233">
      <c r="A233" s="30"/>
      <c r="B233" s="35"/>
      <c r="C233" s="32"/>
      <c r="D233" s="36"/>
      <c r="E233" s="36"/>
      <c r="F233" s="34"/>
      <c r="G233" s="24"/>
      <c r="H233" s="24" t="str">
        <f>IF($B233="","",IF($B233="TRANSCARNES","ACTIVO",IF(COUNTIF(RETIROS!E:E,$B233)=1,"PENDIENTE ELIMINAR",IF(COUNTIFS(ASIGNACIONES!$D:$D,$B233,ASIGNACIONES!$H:$H,E233,ASIGNACIONES!$G:$G,$D233,ASIGNACIONES!$J:$J,$F233)=0,"NUEVO","ACTIVO"))))</f>
        <v/>
      </c>
    </row>
    <row r="234">
      <c r="A234" s="30"/>
      <c r="B234" s="35"/>
      <c r="C234" s="32"/>
      <c r="D234" s="36"/>
      <c r="E234" s="36"/>
      <c r="F234" s="34"/>
      <c r="G234" s="24"/>
      <c r="H234" s="24" t="str">
        <f>IF($B234="","",IF($B234="TRANSCARNES","ACTIVO",IF(COUNTIF(RETIROS!E:E,$B234)=1,"PENDIENTE ELIMINAR",IF(COUNTIFS(ASIGNACIONES!$D:$D,$B234,ASIGNACIONES!$H:$H,E234,ASIGNACIONES!$G:$G,$D234,ASIGNACIONES!$J:$J,$F234)=0,"NUEVO","ACTIVO"))))</f>
        <v/>
      </c>
    </row>
    <row r="235">
      <c r="A235" s="30"/>
      <c r="B235" s="35"/>
      <c r="C235" s="32"/>
      <c r="D235" s="36"/>
      <c r="E235" s="36"/>
      <c r="F235" s="34"/>
      <c r="G235" s="24"/>
      <c r="H235" s="24" t="str">
        <f>IF($B235="","",IF($B235="TRANSCARNES","ACTIVO",IF(COUNTIF(RETIROS!E:E,$B235)=1,"PENDIENTE ELIMINAR",IF(COUNTIFS(ASIGNACIONES!$D:$D,$B235,ASIGNACIONES!$H:$H,E235,ASIGNACIONES!$G:$G,$D235,ASIGNACIONES!$J:$J,$F235)=0,"NUEVO","ACTIVO"))))</f>
        <v/>
      </c>
    </row>
    <row r="236">
      <c r="A236" s="30"/>
      <c r="B236" s="35"/>
      <c r="C236" s="32"/>
      <c r="D236" s="36"/>
      <c r="E236" s="36"/>
      <c r="F236" s="34"/>
      <c r="G236" s="24"/>
      <c r="H236" s="24" t="str">
        <f>IF($B236="","",IF($B236="TRANSCARNES","ACTIVO",IF(COUNTIF(RETIROS!E:E,$B236)=1,"PENDIENTE ELIMINAR",IF(COUNTIFS(ASIGNACIONES!$D:$D,$B236,ASIGNACIONES!$H:$H,E236,ASIGNACIONES!$G:$G,$D236,ASIGNACIONES!$J:$J,$F236)=0,"NUEVO","ACTIVO"))))</f>
        <v/>
      </c>
    </row>
    <row r="237">
      <c r="A237" s="30"/>
      <c r="B237" s="35"/>
      <c r="C237" s="32"/>
      <c r="D237" s="36"/>
      <c r="E237" s="36"/>
      <c r="F237" s="34"/>
      <c r="G237" s="24"/>
      <c r="H237" s="24" t="str">
        <f>IF($B237="","",IF($B237="TRANSCARNES","ACTIVO",IF(COUNTIF(RETIROS!E:E,$B237)=1,"PENDIENTE ELIMINAR",IF(COUNTIFS(ASIGNACIONES!$D:$D,$B237,ASIGNACIONES!$H:$H,E237,ASIGNACIONES!$G:$G,$D237,ASIGNACIONES!$J:$J,$F237)=0,"NUEVO","ACTIVO"))))</f>
        <v/>
      </c>
    </row>
    <row r="238">
      <c r="A238" s="30"/>
      <c r="B238" s="35"/>
      <c r="C238" s="32"/>
      <c r="D238" s="36"/>
      <c r="E238" s="36"/>
      <c r="F238" s="34"/>
      <c r="G238" s="24"/>
      <c r="H238" s="24" t="str">
        <f>IF($B238="","",IF($B238="TRANSCARNES","ACTIVO",IF(COUNTIF(RETIROS!E:E,$B238)=1,"PENDIENTE ELIMINAR",IF(COUNTIFS(ASIGNACIONES!$D:$D,$B238,ASIGNACIONES!$H:$H,E238,ASIGNACIONES!$G:$G,$D238,ASIGNACIONES!$J:$J,$F238)=0,"NUEVO","ACTIVO"))))</f>
        <v/>
      </c>
    </row>
    <row r="239">
      <c r="A239" s="30"/>
      <c r="B239" s="35"/>
      <c r="C239" s="32"/>
      <c r="D239" s="36"/>
      <c r="E239" s="36"/>
      <c r="F239" s="34"/>
      <c r="G239" s="24"/>
      <c r="H239" s="24" t="str">
        <f>IF($B239="","",IF($B239="TRANSCARNES","ACTIVO",IF(COUNTIF(RETIROS!E:E,$B239)=1,"PENDIENTE ELIMINAR",IF(COUNTIFS(ASIGNACIONES!$D:$D,$B239,ASIGNACIONES!$H:$H,E239,ASIGNACIONES!$G:$G,$D239,ASIGNACIONES!$J:$J,$F239)=0,"NUEVO","ACTIVO"))))</f>
        <v/>
      </c>
    </row>
    <row r="240">
      <c r="A240" s="30"/>
      <c r="B240" s="35"/>
      <c r="C240" s="32"/>
      <c r="D240" s="36"/>
      <c r="E240" s="36"/>
      <c r="F240" s="34"/>
      <c r="G240" s="24"/>
      <c r="H240" s="24" t="str">
        <f>IF($B240="","",IF($B240="TRANSCARNES","ACTIVO",IF(COUNTIF(RETIROS!E:E,$B240)=1,"PENDIENTE ELIMINAR",IF(COUNTIFS(ASIGNACIONES!$D:$D,$B240,ASIGNACIONES!$H:$H,E240,ASIGNACIONES!$G:$G,$D240,ASIGNACIONES!$J:$J,$F240)=0,"NUEVO","ACTIVO"))))</f>
        <v/>
      </c>
    </row>
    <row r="241">
      <c r="A241" s="30"/>
      <c r="B241" s="35"/>
      <c r="C241" s="32"/>
      <c r="D241" s="36"/>
      <c r="E241" s="36"/>
      <c r="F241" s="34"/>
      <c r="G241" s="24"/>
      <c r="H241" s="24" t="str">
        <f>IF($B241="","",IF($B241="TRANSCARNES","ACTIVO",IF(COUNTIF(RETIROS!E:E,$B241)=1,"PENDIENTE ELIMINAR",IF(COUNTIFS(ASIGNACIONES!$D:$D,$B241,ASIGNACIONES!$H:$H,E241,ASIGNACIONES!$G:$G,$D241,ASIGNACIONES!$J:$J,$F241)=0,"NUEVO","ACTIVO"))))</f>
        <v/>
      </c>
    </row>
    <row r="242">
      <c r="A242" s="30"/>
      <c r="B242" s="35"/>
      <c r="C242" s="32"/>
      <c r="D242" s="36"/>
      <c r="E242" s="36"/>
      <c r="F242" s="34"/>
      <c r="G242" s="24"/>
      <c r="H242" s="24" t="str">
        <f>IF($B242="","",IF($B242="TRANSCARNES","ACTIVO",IF(COUNTIF(RETIROS!E:E,$B242)=1,"PENDIENTE ELIMINAR",IF(COUNTIFS(ASIGNACIONES!$D:$D,$B242,ASIGNACIONES!$H:$H,E242,ASIGNACIONES!$G:$G,$D242,ASIGNACIONES!$J:$J,$F242)=0,"NUEVO","ACTIVO"))))</f>
        <v/>
      </c>
    </row>
    <row r="243">
      <c r="A243" s="30"/>
      <c r="B243" s="35"/>
      <c r="C243" s="32"/>
      <c r="D243" s="36"/>
      <c r="E243" s="36"/>
      <c r="F243" s="34"/>
      <c r="G243" s="24"/>
      <c r="H243" s="24" t="str">
        <f>IF($B243="","",IF($B243="TRANSCARNES","ACTIVO",IF(COUNTIF(RETIROS!E:E,$B243)=1,"PENDIENTE ELIMINAR",IF(COUNTIFS(ASIGNACIONES!$D:$D,$B243,ASIGNACIONES!$H:$H,E243,ASIGNACIONES!$G:$G,$D243,ASIGNACIONES!$J:$J,$F243)=0,"NUEVO","ACTIVO"))))</f>
        <v/>
      </c>
    </row>
    <row r="244">
      <c r="A244" s="30"/>
      <c r="B244" s="35"/>
      <c r="C244" s="32"/>
      <c r="D244" s="36"/>
      <c r="E244" s="36"/>
      <c r="F244" s="34"/>
      <c r="G244" s="24"/>
      <c r="H244" s="24" t="str">
        <f>IF($B244="","",IF($B244="TRANSCARNES","ACTIVO",IF(COUNTIF(RETIROS!E:E,$B244)=1,"PENDIENTE ELIMINAR",IF(COUNTIFS(ASIGNACIONES!$D:$D,$B244,ASIGNACIONES!$H:$H,E244,ASIGNACIONES!$G:$G,$D244,ASIGNACIONES!$J:$J,$F244)=0,"NUEVO","ACTIVO"))))</f>
        <v/>
      </c>
    </row>
    <row r="245">
      <c r="A245" s="30"/>
      <c r="B245" s="35"/>
      <c r="C245" s="32"/>
      <c r="D245" s="36"/>
      <c r="E245" s="36"/>
      <c r="F245" s="34"/>
      <c r="G245" s="24"/>
      <c r="H245" s="24" t="str">
        <f>IF($B245="","",IF($B245="TRANSCARNES","ACTIVO",IF(COUNTIF(RETIROS!E:E,$B245)=1,"PENDIENTE ELIMINAR",IF(COUNTIFS(ASIGNACIONES!$D:$D,$B245,ASIGNACIONES!$H:$H,E245,ASIGNACIONES!$G:$G,$D245,ASIGNACIONES!$J:$J,$F245)=0,"NUEVO","ACTIVO"))))</f>
        <v/>
      </c>
    </row>
    <row r="246">
      <c r="A246" s="30"/>
      <c r="B246" s="35"/>
      <c r="C246" s="32"/>
      <c r="D246" s="36"/>
      <c r="E246" s="36"/>
      <c r="F246" s="34"/>
      <c r="G246" s="24"/>
      <c r="H246" s="24" t="str">
        <f>IF($B246="","",IF($B246="TRANSCARNES","ACTIVO",IF(COUNTIF(RETIROS!E:E,$B246)=1,"PENDIENTE ELIMINAR",IF(COUNTIFS(ASIGNACIONES!$D:$D,$B246,ASIGNACIONES!$H:$H,E246,ASIGNACIONES!$G:$G,$D246,ASIGNACIONES!$J:$J,$F246)=0,"NUEVO","ACTIVO"))))</f>
        <v/>
      </c>
    </row>
    <row r="247">
      <c r="A247" s="30"/>
      <c r="B247" s="35"/>
      <c r="C247" s="32"/>
      <c r="D247" s="36"/>
      <c r="E247" s="36"/>
      <c r="F247" s="34"/>
      <c r="G247" s="24"/>
      <c r="H247" s="24" t="str">
        <f>IF($B247="","",IF($B247="TRANSCARNES","ACTIVO",IF(COUNTIF(RETIROS!E:E,$B247)=1,"PENDIENTE ELIMINAR",IF(COUNTIFS(ASIGNACIONES!$D:$D,$B247,ASIGNACIONES!$H:$H,E247,ASIGNACIONES!$G:$G,$D247,ASIGNACIONES!$J:$J,$F247)=0,"NUEVO","ACTIVO"))))</f>
        <v/>
      </c>
    </row>
    <row r="248">
      <c r="A248" s="30"/>
      <c r="B248" s="35"/>
      <c r="C248" s="32"/>
      <c r="D248" s="36"/>
      <c r="E248" s="36"/>
      <c r="F248" s="34"/>
      <c r="G248" s="24"/>
      <c r="H248" s="24" t="str">
        <f>IF($B248="","",IF($B248="TRANSCARNES","ACTIVO",IF(COUNTIF(RETIROS!E:E,$B248)=1,"PENDIENTE ELIMINAR",IF(COUNTIFS(ASIGNACIONES!$D:$D,$B248,ASIGNACIONES!$H:$H,E248,ASIGNACIONES!$G:$G,$D248,ASIGNACIONES!$J:$J,$F248)=0,"NUEVO","ACTIVO"))))</f>
        <v/>
      </c>
    </row>
    <row r="249">
      <c r="A249" s="30"/>
      <c r="B249" s="35"/>
      <c r="C249" s="32"/>
      <c r="D249" s="36"/>
      <c r="E249" s="36"/>
      <c r="F249" s="34"/>
      <c r="G249" s="24"/>
      <c r="H249" s="24" t="str">
        <f>IF($B249="","",IF($B249="TRANSCARNES","ACTIVO",IF(COUNTIF(RETIROS!E:E,$B249)=1,"PENDIENTE ELIMINAR",IF(COUNTIFS(ASIGNACIONES!$D:$D,$B249,ASIGNACIONES!$H:$H,E249,ASIGNACIONES!$G:$G,$D249,ASIGNACIONES!$J:$J,$F249)=0,"NUEVO","ACTIVO"))))</f>
        <v/>
      </c>
    </row>
    <row r="250">
      <c r="A250" s="30"/>
      <c r="B250" s="35"/>
      <c r="C250" s="32"/>
      <c r="D250" s="36"/>
      <c r="E250" s="36"/>
      <c r="F250" s="34"/>
      <c r="G250" s="24"/>
      <c r="H250" s="24" t="str">
        <f>IF($B250="","",IF($B250="TRANSCARNES","ACTIVO",IF(COUNTIF(RETIROS!E:E,$B250)=1,"PENDIENTE ELIMINAR",IF(COUNTIFS(ASIGNACIONES!$D:$D,$B250,ASIGNACIONES!$H:$H,E250,ASIGNACIONES!$G:$G,$D250,ASIGNACIONES!$J:$J,$F250)=0,"NUEVO","ACTIVO"))))</f>
        <v/>
      </c>
    </row>
    <row r="251">
      <c r="A251" s="30"/>
      <c r="B251" s="35"/>
      <c r="C251" s="32"/>
      <c r="D251" s="36"/>
      <c r="E251" s="36"/>
      <c r="F251" s="34"/>
      <c r="G251" s="24"/>
      <c r="H251" s="24" t="str">
        <f>IF($B251="","",IF($B251="TRANSCARNES","ACTIVO",IF(COUNTIF(RETIROS!E:E,$B251)=1,"PENDIENTE ELIMINAR",IF(COUNTIFS(ASIGNACIONES!$D:$D,$B251,ASIGNACIONES!$H:$H,E251,ASIGNACIONES!$G:$G,$D251,ASIGNACIONES!$J:$J,$F251)=0,"NUEVO","ACTIVO"))))</f>
        <v/>
      </c>
    </row>
    <row r="252">
      <c r="A252" s="30"/>
      <c r="B252" s="35"/>
      <c r="C252" s="32"/>
      <c r="D252" s="36"/>
      <c r="E252" s="36"/>
      <c r="F252" s="34"/>
      <c r="G252" s="24"/>
      <c r="H252" s="24" t="str">
        <f>IF($B252="","",IF($B252="TRANSCARNES","ACTIVO",IF(COUNTIF(RETIROS!E:E,$B252)=1,"PENDIENTE ELIMINAR",IF(COUNTIFS(ASIGNACIONES!$D:$D,$B252,ASIGNACIONES!$H:$H,E252,ASIGNACIONES!$G:$G,$D252,ASIGNACIONES!$J:$J,$F252)=0,"NUEVO","ACTIVO"))))</f>
        <v/>
      </c>
    </row>
    <row r="253">
      <c r="A253" s="30"/>
      <c r="B253" s="35"/>
      <c r="C253" s="32"/>
      <c r="D253" s="36"/>
      <c r="E253" s="36"/>
      <c r="F253" s="34"/>
      <c r="G253" s="24"/>
      <c r="H253" s="24" t="str">
        <f>IF($B253="","",IF($B253="TRANSCARNES","ACTIVO",IF(COUNTIF(RETIROS!E:E,$B253)=1,"PENDIENTE ELIMINAR",IF(COUNTIFS(ASIGNACIONES!$D:$D,$B253,ASIGNACIONES!$H:$H,E253,ASIGNACIONES!$G:$G,$D253,ASIGNACIONES!$J:$J,$F253)=0,"NUEVO","ACTIVO"))))</f>
        <v/>
      </c>
    </row>
    <row r="254">
      <c r="A254" s="30"/>
      <c r="B254" s="35"/>
      <c r="C254" s="32"/>
      <c r="D254" s="36"/>
      <c r="E254" s="36"/>
      <c r="F254" s="34"/>
      <c r="G254" s="24"/>
      <c r="H254" s="24" t="str">
        <f>IF($B254="","",IF($B254="TRANSCARNES","ACTIVO",IF(COUNTIF(RETIROS!E:E,$B254)=1,"PENDIENTE ELIMINAR",IF(COUNTIFS(ASIGNACIONES!$D:$D,$B254,ASIGNACIONES!$H:$H,E254,ASIGNACIONES!$G:$G,$D254,ASIGNACIONES!$J:$J,$F254)=0,"NUEVO","ACTIVO"))))</f>
        <v/>
      </c>
    </row>
    <row r="255">
      <c r="A255" s="30"/>
      <c r="B255" s="35"/>
      <c r="C255" s="32"/>
      <c r="D255" s="36"/>
      <c r="E255" s="36"/>
      <c r="F255" s="34"/>
      <c r="G255" s="24"/>
      <c r="H255" s="24" t="str">
        <f>IF($B255="","",IF($B255="TRANSCARNES","ACTIVO",IF(COUNTIF(RETIROS!E:E,$B255)=1,"PENDIENTE ELIMINAR",IF(COUNTIFS(ASIGNACIONES!$D:$D,$B255,ASIGNACIONES!$H:$H,E255,ASIGNACIONES!$G:$G,$D255,ASIGNACIONES!$J:$J,$F255)=0,"NUEVO","ACTIVO"))))</f>
        <v/>
      </c>
    </row>
    <row r="256">
      <c r="A256" s="30"/>
      <c r="B256" s="35"/>
      <c r="C256" s="32"/>
      <c r="D256" s="36"/>
      <c r="E256" s="36"/>
      <c r="F256" s="34"/>
      <c r="G256" s="24"/>
      <c r="H256" s="24" t="str">
        <f>IF($B256="","",IF($B256="TRANSCARNES","ACTIVO",IF(COUNTIF(RETIROS!E:E,$B256)=1,"PENDIENTE ELIMINAR",IF(COUNTIFS(ASIGNACIONES!$D:$D,$B256,ASIGNACIONES!$H:$H,E256,ASIGNACIONES!$G:$G,$D256,ASIGNACIONES!$J:$J,$F256)=0,"NUEVO","ACTIVO"))))</f>
        <v/>
      </c>
    </row>
    <row r="257">
      <c r="A257" s="30"/>
      <c r="B257" s="35"/>
      <c r="C257" s="32"/>
      <c r="D257" s="36"/>
      <c r="E257" s="36"/>
      <c r="F257" s="34"/>
      <c r="G257" s="24"/>
      <c r="H257" s="24" t="str">
        <f>IF($B257="","",IF($B257="TRANSCARNES","ACTIVO",IF(COUNTIF(RETIROS!E:E,$B257)=1,"PENDIENTE ELIMINAR",IF(COUNTIFS(ASIGNACIONES!$D:$D,$B257,ASIGNACIONES!$H:$H,E257,ASIGNACIONES!$G:$G,$D257,ASIGNACIONES!$J:$J,$F257)=0,"NUEVO","ACTIVO"))))</f>
        <v/>
      </c>
    </row>
    <row r="258">
      <c r="A258" s="30"/>
      <c r="B258" s="35"/>
      <c r="C258" s="32"/>
      <c r="D258" s="36"/>
      <c r="E258" s="36"/>
      <c r="F258" s="34"/>
      <c r="G258" s="24"/>
      <c r="H258" s="24" t="str">
        <f>IF($B258="","",IF($B258="TRANSCARNES","ACTIVO",IF(COUNTIF(RETIROS!E:E,$B258)=1,"PENDIENTE ELIMINAR",IF(COUNTIFS(ASIGNACIONES!$D:$D,$B258,ASIGNACIONES!$H:$H,E258,ASIGNACIONES!$G:$G,$D258,ASIGNACIONES!$J:$J,$F258)=0,"NUEVO","ACTIVO"))))</f>
        <v/>
      </c>
    </row>
    <row r="259">
      <c r="A259" s="30"/>
      <c r="B259" s="35"/>
      <c r="C259" s="32"/>
      <c r="D259" s="36"/>
      <c r="E259" s="36"/>
      <c r="F259" s="34"/>
      <c r="G259" s="24"/>
      <c r="H259" s="24" t="str">
        <f>IF($B259="","",IF($B259="TRANSCARNES","ACTIVO",IF(COUNTIF(RETIROS!E:E,$B259)=1,"PENDIENTE ELIMINAR",IF(COUNTIFS(ASIGNACIONES!$D:$D,$B259,ASIGNACIONES!$H:$H,E259,ASIGNACIONES!$G:$G,$D259,ASIGNACIONES!$J:$J,$F259)=0,"NUEVO","ACTIVO"))))</f>
        <v/>
      </c>
    </row>
    <row r="260">
      <c r="A260" s="30"/>
      <c r="B260" s="35"/>
      <c r="C260" s="32"/>
      <c r="D260" s="36"/>
      <c r="E260" s="36"/>
      <c r="F260" s="34"/>
      <c r="G260" s="24"/>
      <c r="H260" s="24" t="str">
        <f>IF($B260="","",IF($B260="TRANSCARNES","ACTIVO",IF(COUNTIF(RETIROS!E:E,$B260)=1,"PENDIENTE ELIMINAR",IF(COUNTIFS(ASIGNACIONES!$D:$D,$B260,ASIGNACIONES!$H:$H,E260,ASIGNACIONES!$G:$G,$D260,ASIGNACIONES!$J:$J,$F260)=0,"NUEVO","ACTIVO"))))</f>
        <v/>
      </c>
    </row>
    <row r="261">
      <c r="A261" s="30"/>
      <c r="B261" s="35"/>
      <c r="C261" s="32"/>
      <c r="D261" s="36"/>
      <c r="E261" s="36"/>
      <c r="F261" s="34"/>
      <c r="G261" s="24"/>
      <c r="H261" s="24" t="str">
        <f>IF($B261="","",IF($B261="TRANSCARNES","ACTIVO",IF(COUNTIF(RETIROS!E:E,$B261)=1,"PENDIENTE ELIMINAR",IF(COUNTIFS(ASIGNACIONES!$D:$D,$B261,ASIGNACIONES!$H:$H,E261,ASIGNACIONES!$G:$G,$D261,ASIGNACIONES!$J:$J,$F261)=0,"NUEVO","ACTIVO"))))</f>
        <v/>
      </c>
    </row>
    <row r="262">
      <c r="A262" s="30"/>
      <c r="B262" s="35"/>
      <c r="C262" s="32"/>
      <c r="D262" s="36"/>
      <c r="E262" s="36"/>
      <c r="F262" s="34"/>
      <c r="G262" s="24"/>
      <c r="H262" s="24" t="str">
        <f>IF($B262="","",IF($B262="TRANSCARNES","ACTIVO",IF(COUNTIF(RETIROS!E:E,$B262)=1,"PENDIENTE ELIMINAR",IF(COUNTIFS(ASIGNACIONES!$D:$D,$B262,ASIGNACIONES!$H:$H,E262,ASIGNACIONES!$G:$G,$D262,ASIGNACIONES!$J:$J,$F262)=0,"NUEVO","ACTIVO"))))</f>
        <v/>
      </c>
    </row>
    <row r="263">
      <c r="A263" s="30"/>
      <c r="B263" s="35"/>
      <c r="C263" s="32"/>
      <c r="D263" s="36"/>
      <c r="E263" s="36"/>
      <c r="F263" s="34"/>
      <c r="G263" s="24"/>
      <c r="H263" s="24" t="str">
        <f>IF($B263="","",IF($B263="TRANSCARNES","ACTIVO",IF(COUNTIF(RETIROS!E:E,$B263)=1,"PENDIENTE ELIMINAR",IF(COUNTIFS(ASIGNACIONES!$D:$D,$B263,ASIGNACIONES!$H:$H,E263,ASIGNACIONES!$G:$G,$D263,ASIGNACIONES!$J:$J,$F263)=0,"NUEVO","ACTIVO"))))</f>
        <v/>
      </c>
    </row>
    <row r="264">
      <c r="A264" s="30"/>
      <c r="B264" s="35"/>
      <c r="C264" s="32"/>
      <c r="D264" s="36"/>
      <c r="E264" s="36"/>
      <c r="F264" s="34"/>
      <c r="G264" s="24"/>
      <c r="H264" s="24" t="str">
        <f>IF($B264="","",IF($B264="TRANSCARNES","ACTIVO",IF(COUNTIF(RETIROS!E:E,$B264)=1,"PENDIENTE ELIMINAR",IF(COUNTIFS(ASIGNACIONES!$D:$D,$B264,ASIGNACIONES!$H:$H,E264,ASIGNACIONES!$G:$G,$D264,ASIGNACIONES!$J:$J,$F264)=0,"NUEVO","ACTIVO"))))</f>
        <v/>
      </c>
    </row>
    <row r="265">
      <c r="A265" s="30"/>
      <c r="B265" s="35"/>
      <c r="C265" s="32"/>
      <c r="D265" s="36"/>
      <c r="E265" s="36"/>
      <c r="F265" s="34"/>
      <c r="G265" s="24"/>
      <c r="H265" s="24" t="str">
        <f>IF($B265="","",IF($B265="TRANSCARNES","ACTIVO",IF(COUNTIF(RETIROS!E:E,$B265)=1,"PENDIENTE ELIMINAR",IF(COUNTIFS(ASIGNACIONES!$D:$D,$B265,ASIGNACIONES!$H:$H,E265,ASIGNACIONES!$G:$G,$D265,ASIGNACIONES!$J:$J,$F265)=0,"NUEVO","ACTIVO"))))</f>
        <v/>
      </c>
    </row>
    <row r="266">
      <c r="A266" s="30"/>
      <c r="B266" s="35"/>
      <c r="C266" s="32"/>
      <c r="D266" s="36"/>
      <c r="E266" s="36"/>
      <c r="F266" s="34"/>
      <c r="G266" s="24"/>
      <c r="H266" s="24" t="str">
        <f>IF($B266="","",IF($B266="TRANSCARNES","ACTIVO",IF(COUNTIF(RETIROS!E:E,$B266)=1,"PENDIENTE ELIMINAR",IF(COUNTIFS(ASIGNACIONES!$D:$D,$B266,ASIGNACIONES!$H:$H,E266,ASIGNACIONES!$G:$G,$D266,ASIGNACIONES!$J:$J,$F266)=0,"NUEVO","ACTIVO"))))</f>
        <v/>
      </c>
    </row>
    <row r="267">
      <c r="A267" s="30"/>
      <c r="B267" s="35"/>
      <c r="C267" s="32"/>
      <c r="D267" s="36"/>
      <c r="E267" s="36"/>
      <c r="F267" s="34"/>
      <c r="G267" s="24"/>
      <c r="H267" s="24" t="str">
        <f>IF($B267="","",IF($B267="TRANSCARNES","ACTIVO",IF(COUNTIF(RETIROS!E:E,$B267)=1,"PENDIENTE ELIMINAR",IF(COUNTIFS(ASIGNACIONES!$D:$D,$B267,ASIGNACIONES!$H:$H,E267,ASIGNACIONES!$G:$G,$D267,ASIGNACIONES!$J:$J,$F267)=0,"NUEVO","ACTIVO"))))</f>
        <v/>
      </c>
    </row>
    <row r="268">
      <c r="A268" s="30"/>
      <c r="B268" s="35"/>
      <c r="C268" s="32"/>
      <c r="D268" s="36"/>
      <c r="E268" s="36"/>
      <c r="F268" s="34"/>
      <c r="G268" s="24"/>
      <c r="H268" s="24" t="str">
        <f>IF($B268="","",IF($B268="TRANSCARNES","ACTIVO",IF(COUNTIF(RETIROS!E:E,$B268)=1,"PENDIENTE ELIMINAR",IF(COUNTIFS(ASIGNACIONES!$D:$D,$B268,ASIGNACIONES!$H:$H,E268,ASIGNACIONES!$G:$G,$D268,ASIGNACIONES!$J:$J,$F268)=0,"NUEVO","ACTIVO"))))</f>
        <v/>
      </c>
    </row>
    <row r="269">
      <c r="A269" s="30"/>
      <c r="B269" s="35"/>
      <c r="C269" s="32"/>
      <c r="D269" s="36"/>
      <c r="E269" s="36"/>
      <c r="F269" s="34"/>
      <c r="G269" s="24"/>
      <c r="H269" s="24" t="str">
        <f>IF($B269="","",IF($B269="TRANSCARNES","ACTIVO",IF(COUNTIF(RETIROS!E:E,$B269)=1,"PENDIENTE ELIMINAR",IF(COUNTIFS(ASIGNACIONES!$D:$D,$B269,ASIGNACIONES!$H:$H,E269,ASIGNACIONES!$G:$G,$D269,ASIGNACIONES!$J:$J,$F269)=0,"NUEVO","ACTIVO"))))</f>
        <v/>
      </c>
    </row>
    <row r="270">
      <c r="A270" s="30"/>
      <c r="B270" s="35"/>
      <c r="C270" s="32"/>
      <c r="D270" s="36"/>
      <c r="E270" s="36"/>
      <c r="F270" s="34"/>
      <c r="G270" s="24"/>
      <c r="H270" s="24" t="str">
        <f>IF($B270="","",IF($B270="TRANSCARNES","ACTIVO",IF(COUNTIF(RETIROS!E:E,$B270)=1,"PENDIENTE ELIMINAR",IF(COUNTIFS(ASIGNACIONES!$D:$D,$B270,ASIGNACIONES!$H:$H,E270,ASIGNACIONES!$G:$G,$D270,ASIGNACIONES!$J:$J,$F270)=0,"NUEVO","ACTIVO"))))</f>
        <v/>
      </c>
    </row>
    <row r="271">
      <c r="A271" s="30"/>
      <c r="B271" s="35"/>
      <c r="C271" s="32"/>
      <c r="D271" s="36"/>
      <c r="E271" s="36"/>
      <c r="F271" s="34"/>
      <c r="G271" s="24"/>
      <c r="H271" s="24" t="str">
        <f>IF($B271="","",IF($B271="TRANSCARNES","ACTIVO",IF(COUNTIF(RETIROS!E:E,$B271)=1,"PENDIENTE ELIMINAR",IF(COUNTIFS(ASIGNACIONES!$D:$D,$B271,ASIGNACIONES!$H:$H,E271,ASIGNACIONES!$G:$G,$D271,ASIGNACIONES!$J:$J,$F271)=0,"NUEVO","ACTIVO"))))</f>
        <v/>
      </c>
    </row>
    <row r="272">
      <c r="A272" s="30"/>
      <c r="B272" s="35"/>
      <c r="C272" s="32"/>
      <c r="D272" s="36"/>
      <c r="E272" s="36"/>
      <c r="F272" s="34"/>
      <c r="G272" s="24"/>
      <c r="H272" s="24" t="str">
        <f>IF($B272="","",IF($B272="TRANSCARNES","ACTIVO",IF(COUNTIF(RETIROS!E:E,$B272)=1,"PENDIENTE ELIMINAR",IF(COUNTIFS(ASIGNACIONES!$D:$D,$B272,ASIGNACIONES!$H:$H,E272,ASIGNACIONES!$G:$G,$D272,ASIGNACIONES!$J:$J,$F272)=0,"NUEVO","ACTIVO"))))</f>
        <v/>
      </c>
    </row>
    <row r="273">
      <c r="A273" s="30"/>
      <c r="B273" s="35"/>
      <c r="C273" s="32"/>
      <c r="D273" s="36"/>
      <c r="E273" s="36"/>
      <c r="F273" s="34"/>
      <c r="G273" s="24"/>
      <c r="H273" s="24" t="str">
        <f>IF($B273="","",IF($B273="TRANSCARNES","ACTIVO",IF(COUNTIF(RETIROS!E:E,$B273)=1,"PENDIENTE ELIMINAR",IF(COUNTIFS(ASIGNACIONES!$D:$D,$B273,ASIGNACIONES!$H:$H,E273,ASIGNACIONES!$G:$G,$D273,ASIGNACIONES!$J:$J,$F273)=0,"NUEVO","ACTIVO"))))</f>
        <v/>
      </c>
    </row>
    <row r="274">
      <c r="A274" s="30"/>
      <c r="B274" s="35"/>
      <c r="C274" s="32"/>
      <c r="D274" s="36"/>
      <c r="E274" s="36"/>
      <c r="F274" s="34"/>
      <c r="G274" s="24"/>
      <c r="H274" s="24" t="str">
        <f>IF($B274="","",IF($B274="TRANSCARNES","ACTIVO",IF(COUNTIF(RETIROS!E:E,$B274)=1,"PENDIENTE ELIMINAR",IF(COUNTIFS(ASIGNACIONES!$D:$D,$B274,ASIGNACIONES!$H:$H,E274,ASIGNACIONES!$G:$G,$D274,ASIGNACIONES!$J:$J,$F274)=0,"NUEVO","ACTIVO"))))</f>
        <v/>
      </c>
    </row>
    <row r="275">
      <c r="A275" s="30"/>
      <c r="B275" s="35"/>
      <c r="C275" s="32"/>
      <c r="D275" s="36"/>
      <c r="E275" s="36"/>
      <c r="F275" s="34"/>
      <c r="G275" s="24"/>
      <c r="H275" s="24" t="str">
        <f>IF($B275="","",IF($B275="TRANSCARNES","ACTIVO",IF(COUNTIF(RETIROS!E:E,$B275)=1,"PENDIENTE ELIMINAR",IF(COUNTIFS(ASIGNACIONES!$D:$D,$B275,ASIGNACIONES!$H:$H,E275,ASIGNACIONES!$G:$G,$D275,ASIGNACIONES!$J:$J,$F275)=0,"NUEVO","ACTIVO"))))</f>
        <v/>
      </c>
    </row>
    <row r="276">
      <c r="A276" s="30"/>
      <c r="B276" s="35"/>
      <c r="C276" s="32"/>
      <c r="D276" s="36"/>
      <c r="E276" s="36"/>
      <c r="F276" s="34"/>
      <c r="G276" s="24"/>
      <c r="H276" s="24" t="str">
        <f>IF($B276="","",IF($B276="TRANSCARNES","ACTIVO",IF(COUNTIF(RETIROS!E:E,$B276)=1,"PENDIENTE ELIMINAR",IF(COUNTIFS(ASIGNACIONES!$D:$D,$B276,ASIGNACIONES!$H:$H,E276,ASIGNACIONES!$G:$G,$D276,ASIGNACIONES!$J:$J,$F276)=0,"NUEVO","ACTIVO"))))</f>
        <v/>
      </c>
    </row>
    <row r="277">
      <c r="A277" s="30"/>
      <c r="B277" s="35"/>
      <c r="C277" s="32"/>
      <c r="D277" s="36"/>
      <c r="E277" s="36"/>
      <c r="F277" s="34"/>
      <c r="G277" s="24"/>
      <c r="H277" s="24" t="str">
        <f>IF($B277="","",IF($B277="TRANSCARNES","ACTIVO",IF(COUNTIF(RETIROS!E:E,$B277)=1,"PENDIENTE ELIMINAR",IF(COUNTIFS(ASIGNACIONES!$D:$D,$B277,ASIGNACIONES!$H:$H,E277,ASIGNACIONES!$G:$G,$D277,ASIGNACIONES!$J:$J,$F277)=0,"NUEVO","ACTIVO"))))</f>
        <v/>
      </c>
    </row>
    <row r="278">
      <c r="A278" s="30"/>
      <c r="B278" s="35"/>
      <c r="C278" s="32"/>
      <c r="D278" s="36"/>
      <c r="E278" s="36"/>
      <c r="F278" s="34"/>
      <c r="G278" s="24"/>
      <c r="H278" s="24" t="str">
        <f>IF($B278="","",IF($B278="TRANSCARNES","ACTIVO",IF(COUNTIF(RETIROS!E:E,$B278)=1,"PENDIENTE ELIMINAR",IF(COUNTIFS(ASIGNACIONES!$D:$D,$B278,ASIGNACIONES!$H:$H,E278,ASIGNACIONES!$G:$G,$D278,ASIGNACIONES!$J:$J,$F278)=0,"NUEVO","ACTIVO"))))</f>
        <v/>
      </c>
    </row>
    <row r="279">
      <c r="A279" s="30"/>
      <c r="B279" s="35"/>
      <c r="C279" s="32"/>
      <c r="D279" s="36"/>
      <c r="E279" s="36"/>
      <c r="F279" s="34"/>
      <c r="G279" s="24"/>
      <c r="H279" s="24" t="str">
        <f>IF($B279="","",IF($B279="TRANSCARNES","ACTIVO",IF(COUNTIF(RETIROS!E:E,$B279)=1,"PENDIENTE ELIMINAR",IF(COUNTIFS(ASIGNACIONES!$D:$D,$B279,ASIGNACIONES!$H:$H,E279,ASIGNACIONES!$G:$G,$D279,ASIGNACIONES!$J:$J,$F279)=0,"NUEVO","ACTIVO"))))</f>
        <v/>
      </c>
    </row>
    <row r="280">
      <c r="A280" s="30"/>
      <c r="B280" s="35"/>
      <c r="C280" s="32"/>
      <c r="D280" s="36"/>
      <c r="E280" s="36"/>
      <c r="F280" s="34"/>
      <c r="G280" s="24"/>
      <c r="H280" s="24" t="str">
        <f>IF($B280="","",IF($B280="TRANSCARNES","ACTIVO",IF(COUNTIF(RETIROS!E:E,$B280)=1,"PENDIENTE ELIMINAR",IF(COUNTIFS(ASIGNACIONES!$D:$D,$B280,ASIGNACIONES!$H:$H,E280,ASIGNACIONES!$G:$G,$D280,ASIGNACIONES!$J:$J,$F280)=0,"NUEVO","ACTIVO"))))</f>
        <v/>
      </c>
    </row>
    <row r="281">
      <c r="A281" s="30"/>
      <c r="B281" s="35"/>
      <c r="C281" s="32"/>
      <c r="D281" s="36"/>
      <c r="E281" s="36"/>
      <c r="F281" s="34"/>
      <c r="G281" s="24"/>
      <c r="H281" s="24" t="str">
        <f>IF($B281="","",IF($B281="TRANSCARNES","ACTIVO",IF(COUNTIF(RETIROS!E:E,$B281)=1,"PENDIENTE ELIMINAR",IF(COUNTIFS(ASIGNACIONES!$D:$D,$B281,ASIGNACIONES!$H:$H,E281,ASIGNACIONES!$G:$G,$D281,ASIGNACIONES!$J:$J,$F281)=0,"NUEVO","ACTIVO"))))</f>
        <v/>
      </c>
    </row>
    <row r="282">
      <c r="A282" s="30"/>
      <c r="B282" s="35"/>
      <c r="C282" s="32"/>
      <c r="D282" s="36"/>
      <c r="E282" s="36"/>
      <c r="F282" s="34"/>
      <c r="G282" s="24"/>
      <c r="H282" s="24" t="str">
        <f>IF($B282="","",IF($B282="TRANSCARNES","ACTIVO",IF(COUNTIF(RETIROS!E:E,$B282)=1,"PENDIENTE ELIMINAR",IF(COUNTIFS(ASIGNACIONES!$D:$D,$B282,ASIGNACIONES!$H:$H,E282,ASIGNACIONES!$G:$G,$D282,ASIGNACIONES!$J:$J,$F282)=0,"NUEVO","ACTIVO"))))</f>
        <v/>
      </c>
    </row>
    <row r="283">
      <c r="A283" s="30"/>
      <c r="B283" s="35"/>
      <c r="C283" s="32"/>
      <c r="D283" s="36"/>
      <c r="E283" s="36"/>
      <c r="F283" s="34"/>
      <c r="G283" s="24"/>
      <c r="H283" s="24" t="str">
        <f>IF($B283="","",IF($B283="TRANSCARNES","ACTIVO",IF(COUNTIF(RETIROS!E:E,$B283)=1,"PENDIENTE ELIMINAR",IF(COUNTIFS(ASIGNACIONES!$D:$D,$B283,ASIGNACIONES!$H:$H,E283,ASIGNACIONES!$G:$G,$D283,ASIGNACIONES!$J:$J,$F283)=0,"NUEVO","ACTIVO"))))</f>
        <v/>
      </c>
    </row>
    <row r="284">
      <c r="A284" s="30"/>
      <c r="B284" s="35"/>
      <c r="C284" s="32"/>
      <c r="D284" s="36"/>
      <c r="E284" s="36"/>
      <c r="F284" s="34"/>
      <c r="G284" s="24"/>
      <c r="H284" s="24" t="str">
        <f>IF($B284="","",IF($B284="TRANSCARNES","ACTIVO",IF(COUNTIF(RETIROS!E:E,$B284)=1,"PENDIENTE ELIMINAR",IF(COUNTIFS(ASIGNACIONES!$D:$D,$B284,ASIGNACIONES!$H:$H,E284,ASIGNACIONES!$G:$G,$D284,ASIGNACIONES!$J:$J,$F284)=0,"NUEVO","ACTIVO"))))</f>
        <v/>
      </c>
    </row>
    <row r="285">
      <c r="A285" s="30"/>
      <c r="B285" s="35"/>
      <c r="C285" s="32"/>
      <c r="D285" s="36"/>
      <c r="E285" s="36"/>
      <c r="F285" s="34"/>
      <c r="G285" s="24"/>
      <c r="H285" s="24" t="str">
        <f>IF($B285="","",IF($B285="TRANSCARNES","ACTIVO",IF(COUNTIF(RETIROS!E:E,$B285)=1,"PENDIENTE ELIMINAR",IF(COUNTIFS(ASIGNACIONES!$D:$D,$B285,ASIGNACIONES!$H:$H,E285,ASIGNACIONES!$G:$G,$D285,ASIGNACIONES!$J:$J,$F285)=0,"NUEVO","ACTIVO"))))</f>
        <v/>
      </c>
    </row>
    <row r="286">
      <c r="A286" s="30"/>
      <c r="B286" s="35"/>
      <c r="C286" s="32"/>
      <c r="D286" s="36"/>
      <c r="E286" s="36"/>
      <c r="F286" s="34"/>
      <c r="G286" s="24"/>
      <c r="H286" s="24" t="str">
        <f>IF($B286="","",IF($B286="TRANSCARNES","ACTIVO",IF(COUNTIF(RETIROS!E:E,$B286)=1,"PENDIENTE ELIMINAR",IF(COUNTIFS(ASIGNACIONES!$D:$D,$B286,ASIGNACIONES!$H:$H,E286,ASIGNACIONES!$G:$G,$D286,ASIGNACIONES!$J:$J,$F286)=0,"NUEVO","ACTIVO"))))</f>
        <v/>
      </c>
    </row>
    <row r="287">
      <c r="A287" s="30"/>
      <c r="B287" s="35"/>
      <c r="C287" s="32"/>
      <c r="D287" s="36"/>
      <c r="E287" s="36"/>
      <c r="F287" s="34"/>
      <c r="G287" s="24"/>
      <c r="H287" s="24" t="str">
        <f>IF($B287="","",IF($B287="TRANSCARNES","ACTIVO",IF(COUNTIF(RETIROS!E:E,$B287)=1,"PENDIENTE ELIMINAR",IF(COUNTIFS(ASIGNACIONES!$D:$D,$B287,ASIGNACIONES!$H:$H,E287,ASIGNACIONES!$G:$G,$D287,ASIGNACIONES!$J:$J,$F287)=0,"NUEVO","ACTIVO"))))</f>
        <v/>
      </c>
    </row>
    <row r="288">
      <c r="A288" s="30"/>
      <c r="B288" s="35"/>
      <c r="C288" s="32"/>
      <c r="D288" s="36"/>
      <c r="E288" s="36"/>
      <c r="F288" s="34"/>
      <c r="G288" s="24"/>
      <c r="H288" s="24" t="str">
        <f>IF($B288="","",IF($B288="TRANSCARNES","ACTIVO",IF(COUNTIF(RETIROS!E:E,$B288)=1,"PENDIENTE ELIMINAR",IF(COUNTIFS(ASIGNACIONES!$D:$D,$B288,ASIGNACIONES!$H:$H,E288,ASIGNACIONES!$G:$G,$D288,ASIGNACIONES!$J:$J,$F288)=0,"NUEVO","ACTIVO"))))</f>
        <v/>
      </c>
    </row>
    <row r="289">
      <c r="A289" s="30"/>
      <c r="B289" s="35"/>
      <c r="C289" s="32"/>
      <c r="D289" s="36"/>
      <c r="E289" s="36"/>
      <c r="F289" s="34"/>
      <c r="G289" s="24"/>
      <c r="H289" s="24" t="str">
        <f>IF($B289="","",IF($B289="TRANSCARNES","ACTIVO",IF(COUNTIF(RETIROS!E:E,$B289)=1,"PENDIENTE ELIMINAR",IF(COUNTIFS(ASIGNACIONES!$D:$D,$B289,ASIGNACIONES!$H:$H,E289,ASIGNACIONES!$G:$G,$D289,ASIGNACIONES!$J:$J,$F289)=0,"NUEVO","ACTIVO"))))</f>
        <v/>
      </c>
    </row>
    <row r="290">
      <c r="A290" s="30"/>
      <c r="B290" s="35"/>
      <c r="C290" s="32"/>
      <c r="D290" s="36"/>
      <c r="E290" s="36"/>
      <c r="F290" s="34"/>
      <c r="G290" s="24"/>
      <c r="H290" s="24" t="str">
        <f>IF($B290="","",IF($B290="TRANSCARNES","ACTIVO",IF(COUNTIF(RETIROS!E:E,$B290)=1,"PENDIENTE ELIMINAR",IF(COUNTIFS(ASIGNACIONES!$D:$D,$B290,ASIGNACIONES!$H:$H,E290,ASIGNACIONES!$G:$G,$D290,ASIGNACIONES!$J:$J,$F290)=0,"NUEVO","ACTIVO"))))</f>
        <v/>
      </c>
    </row>
    <row r="291">
      <c r="A291" s="30"/>
      <c r="B291" s="35"/>
      <c r="C291" s="32"/>
      <c r="D291" s="36"/>
      <c r="E291" s="36"/>
      <c r="F291" s="34"/>
      <c r="G291" s="24"/>
      <c r="H291" s="24" t="str">
        <f>IF($B291="","",IF($B291="TRANSCARNES","ACTIVO",IF(COUNTIF(RETIROS!E:E,$B291)=1,"PENDIENTE ELIMINAR",IF(COUNTIFS(ASIGNACIONES!$D:$D,$B291,ASIGNACIONES!$H:$H,E291,ASIGNACIONES!$G:$G,$D291,ASIGNACIONES!$J:$J,$F291)=0,"NUEVO","ACTIVO"))))</f>
        <v/>
      </c>
    </row>
    <row r="292">
      <c r="A292" s="30"/>
      <c r="B292" s="35"/>
      <c r="C292" s="32"/>
      <c r="D292" s="36"/>
      <c r="E292" s="36"/>
      <c r="F292" s="34"/>
      <c r="G292" s="24"/>
      <c r="H292" s="24" t="str">
        <f>IF($B292="","",IF($B292="TRANSCARNES","ACTIVO",IF(COUNTIF(RETIROS!E:E,$B292)=1,"PENDIENTE ELIMINAR",IF(COUNTIFS(ASIGNACIONES!$D:$D,$B292,ASIGNACIONES!$H:$H,E292,ASIGNACIONES!$G:$G,$D292,ASIGNACIONES!$J:$J,$F292)=0,"NUEVO","ACTIVO"))))</f>
        <v/>
      </c>
    </row>
    <row r="293">
      <c r="A293" s="30"/>
      <c r="B293" s="35"/>
      <c r="C293" s="32"/>
      <c r="D293" s="36"/>
      <c r="E293" s="36"/>
      <c r="F293" s="34"/>
      <c r="G293" s="24"/>
      <c r="H293" s="24" t="str">
        <f>IF($B293="","",IF($B293="TRANSCARNES","ACTIVO",IF(COUNTIF(RETIROS!E:E,$B293)=1,"PENDIENTE ELIMINAR",IF(COUNTIFS(ASIGNACIONES!$D:$D,$B293,ASIGNACIONES!$H:$H,E293,ASIGNACIONES!$G:$G,$D293,ASIGNACIONES!$J:$J,$F293)=0,"NUEVO","ACTIVO"))))</f>
        <v/>
      </c>
    </row>
    <row r="294">
      <c r="A294" s="30"/>
      <c r="B294" s="35"/>
      <c r="C294" s="32"/>
      <c r="D294" s="36"/>
      <c r="E294" s="36"/>
      <c r="F294" s="34"/>
      <c r="G294" s="24"/>
      <c r="H294" s="24" t="str">
        <f>IF($B294="","",IF($B294="TRANSCARNES","ACTIVO",IF(COUNTIF(RETIROS!E:E,$B294)=1,"PENDIENTE ELIMINAR",IF(COUNTIFS(ASIGNACIONES!$D:$D,$B294,ASIGNACIONES!$H:$H,E294,ASIGNACIONES!$G:$G,$D294,ASIGNACIONES!$J:$J,$F294)=0,"NUEVO","ACTIVO"))))</f>
        <v/>
      </c>
    </row>
    <row r="295">
      <c r="A295" s="30"/>
      <c r="B295" s="35"/>
      <c r="C295" s="32"/>
      <c r="D295" s="36"/>
      <c r="E295" s="36"/>
      <c r="F295" s="34"/>
      <c r="G295" s="24"/>
      <c r="H295" s="24" t="str">
        <f>IF($B295="","",IF($B295="TRANSCARNES","ACTIVO",IF(COUNTIF(RETIROS!E:E,$B295)=1,"PENDIENTE ELIMINAR",IF(COUNTIFS(ASIGNACIONES!$D:$D,$B295,ASIGNACIONES!$H:$H,E295,ASIGNACIONES!$G:$G,$D295,ASIGNACIONES!$J:$J,$F295)=0,"NUEVO","ACTIVO"))))</f>
        <v/>
      </c>
    </row>
    <row r="296">
      <c r="A296" s="30"/>
      <c r="B296" s="35"/>
      <c r="C296" s="32"/>
      <c r="D296" s="36"/>
      <c r="E296" s="36"/>
      <c r="F296" s="34"/>
      <c r="G296" s="24"/>
      <c r="H296" s="24" t="str">
        <f>IF($B296="","",IF($B296="TRANSCARNES","ACTIVO",IF(COUNTIF(RETIROS!E:E,$B296)=1,"PENDIENTE ELIMINAR",IF(COUNTIFS(ASIGNACIONES!$D:$D,$B296,ASIGNACIONES!$H:$H,E296,ASIGNACIONES!$G:$G,$D296,ASIGNACIONES!$J:$J,$F296)=0,"NUEVO","ACTIVO"))))</f>
        <v/>
      </c>
    </row>
    <row r="297">
      <c r="A297" s="30"/>
      <c r="B297" s="35"/>
      <c r="C297" s="32"/>
      <c r="D297" s="36"/>
      <c r="E297" s="36"/>
      <c r="F297" s="34"/>
      <c r="G297" s="24"/>
      <c r="H297" s="24" t="str">
        <f>IF($B297="","",IF($B297="TRANSCARNES","ACTIVO",IF(COUNTIF(RETIROS!E:E,$B297)=1,"PENDIENTE ELIMINAR",IF(COUNTIFS(ASIGNACIONES!$D:$D,$B297,ASIGNACIONES!$H:$H,E297,ASIGNACIONES!$G:$G,$D297,ASIGNACIONES!$J:$J,$F297)=0,"NUEVO","ACTIVO"))))</f>
        <v/>
      </c>
    </row>
    <row r="298">
      <c r="A298" s="30"/>
      <c r="B298" s="35"/>
      <c r="C298" s="32"/>
      <c r="D298" s="36"/>
      <c r="E298" s="36"/>
      <c r="F298" s="34"/>
      <c r="G298" s="24"/>
      <c r="H298" s="24" t="str">
        <f>IF($B298="","",IF($B298="TRANSCARNES","ACTIVO",IF(COUNTIF(RETIROS!E:E,$B298)=1,"PENDIENTE ELIMINAR",IF(COUNTIFS(ASIGNACIONES!$D:$D,$B298,ASIGNACIONES!$H:$H,E298,ASIGNACIONES!$G:$G,$D298,ASIGNACIONES!$J:$J,$F298)=0,"NUEVO","ACTIVO"))))</f>
        <v/>
      </c>
    </row>
    <row r="299">
      <c r="A299" s="30"/>
      <c r="B299" s="35"/>
      <c r="C299" s="32"/>
      <c r="D299" s="36"/>
      <c r="E299" s="36"/>
      <c r="F299" s="34"/>
      <c r="G299" s="24"/>
      <c r="H299" s="24" t="str">
        <f>IF($B299="","",IF($B299="TRANSCARNES","ACTIVO",IF(COUNTIF(RETIROS!E:E,$B299)=1,"PENDIENTE ELIMINAR",IF(COUNTIFS(ASIGNACIONES!$D:$D,$B299,ASIGNACIONES!$H:$H,E299,ASIGNACIONES!$G:$G,$D299,ASIGNACIONES!$J:$J,$F299)=0,"NUEVO","ACTIVO"))))</f>
        <v/>
      </c>
    </row>
    <row r="300">
      <c r="A300" s="30"/>
      <c r="B300" s="35"/>
      <c r="C300" s="32"/>
      <c r="D300" s="36"/>
      <c r="E300" s="36"/>
      <c r="F300" s="34"/>
      <c r="G300" s="24"/>
      <c r="H300" s="24" t="str">
        <f>IF($B300="","",IF($B300="TRANSCARNES","ACTIVO",IF(COUNTIF(RETIROS!E:E,$B300)=1,"PENDIENTE ELIMINAR",IF(COUNTIFS(ASIGNACIONES!$D:$D,$B300,ASIGNACIONES!$H:$H,E300,ASIGNACIONES!$G:$G,$D300,ASIGNACIONES!$J:$J,$F300)=0,"NUEVO","ACTIVO"))))</f>
        <v/>
      </c>
    </row>
    <row r="301">
      <c r="A301" s="30"/>
      <c r="B301" s="35"/>
      <c r="C301" s="32"/>
      <c r="D301" s="36"/>
      <c r="E301" s="36"/>
      <c r="F301" s="34"/>
      <c r="G301" s="24"/>
      <c r="H301" s="24" t="str">
        <f>IF($B301="","",IF($B301="TRANSCARNES","ACTIVO",IF(COUNTIF(RETIROS!E:E,$B301)=1,"PENDIENTE ELIMINAR",IF(COUNTIFS(ASIGNACIONES!$D:$D,$B301,ASIGNACIONES!$H:$H,E301,ASIGNACIONES!$G:$G,$D301,ASIGNACIONES!$J:$J,$F301)=0,"NUEVO","ACTIVO"))))</f>
        <v/>
      </c>
    </row>
    <row r="302">
      <c r="A302" s="30"/>
      <c r="B302" s="35"/>
      <c r="C302" s="32"/>
      <c r="D302" s="36"/>
      <c r="E302" s="36"/>
      <c r="F302" s="34"/>
      <c r="G302" s="24"/>
      <c r="H302" s="24" t="str">
        <f>IF($B302="","",IF($B302="TRANSCARNES","ACTIVO",IF(COUNTIF(RETIROS!E:E,$B302)=1,"PENDIENTE ELIMINAR",IF(COUNTIFS(ASIGNACIONES!$D:$D,$B302,ASIGNACIONES!$H:$H,E302,ASIGNACIONES!$G:$G,$D302,ASIGNACIONES!$J:$J,$F302)=0,"NUEVO","ACTIVO"))))</f>
        <v/>
      </c>
    </row>
    <row r="303">
      <c r="A303" s="30"/>
      <c r="B303" s="35"/>
      <c r="C303" s="32"/>
      <c r="D303" s="36"/>
      <c r="E303" s="36"/>
      <c r="F303" s="34"/>
      <c r="G303" s="24"/>
      <c r="H303" s="24" t="str">
        <f>IF($B303="","",IF($B303="TRANSCARNES","ACTIVO",IF(COUNTIF(RETIROS!E:E,$B303)=1,"PENDIENTE ELIMINAR",IF(COUNTIFS(ASIGNACIONES!$D:$D,$B303,ASIGNACIONES!$H:$H,E303,ASIGNACIONES!$G:$G,$D303,ASIGNACIONES!$J:$J,$F303)=0,"NUEVO","ACTIVO"))))</f>
        <v/>
      </c>
    </row>
    <row r="304">
      <c r="A304" s="30"/>
      <c r="B304" s="35"/>
      <c r="C304" s="32"/>
      <c r="D304" s="36"/>
      <c r="E304" s="36"/>
      <c r="F304" s="34"/>
      <c r="G304" s="24"/>
      <c r="H304" s="24" t="str">
        <f>IF($B304="","",IF($B304="TRANSCARNES","ACTIVO",IF(COUNTIF(RETIROS!E:E,$B304)=1,"PENDIENTE ELIMINAR",IF(COUNTIFS(ASIGNACIONES!$D:$D,$B304,ASIGNACIONES!$H:$H,E304,ASIGNACIONES!$G:$G,$D304,ASIGNACIONES!$J:$J,$F304)=0,"NUEVO","ACTIVO"))))</f>
        <v/>
      </c>
    </row>
    <row r="305">
      <c r="A305" s="30"/>
      <c r="B305" s="35"/>
      <c r="C305" s="32"/>
      <c r="D305" s="36"/>
      <c r="E305" s="36"/>
      <c r="F305" s="34"/>
      <c r="G305" s="24"/>
      <c r="H305" s="24" t="str">
        <f>IF($B305="","",IF($B305="TRANSCARNES","ACTIVO",IF(COUNTIF(RETIROS!E:E,$B305)=1,"PENDIENTE ELIMINAR",IF(COUNTIFS(ASIGNACIONES!$D:$D,$B305,ASIGNACIONES!$H:$H,E305,ASIGNACIONES!$G:$G,$D305,ASIGNACIONES!$J:$J,$F305)=0,"NUEVO","ACTIVO"))))</f>
        <v/>
      </c>
    </row>
    <row r="306">
      <c r="A306" s="30"/>
      <c r="B306" s="35"/>
      <c r="C306" s="32"/>
      <c r="D306" s="36"/>
      <c r="E306" s="36"/>
      <c r="F306" s="34"/>
      <c r="G306" s="24"/>
      <c r="H306" s="24" t="str">
        <f>IF($B306="","",IF($B306="TRANSCARNES","ACTIVO",IF(COUNTIF(RETIROS!E:E,$B306)=1,"PENDIENTE ELIMINAR",IF(COUNTIFS(ASIGNACIONES!$D:$D,$B306,ASIGNACIONES!$H:$H,E306,ASIGNACIONES!$G:$G,$D306,ASIGNACIONES!$J:$J,$F306)=0,"NUEVO","ACTIVO"))))</f>
        <v/>
      </c>
    </row>
    <row r="307">
      <c r="A307" s="30"/>
      <c r="B307" s="35"/>
      <c r="C307" s="32"/>
      <c r="D307" s="36"/>
      <c r="E307" s="36"/>
      <c r="F307" s="34"/>
      <c r="G307" s="24"/>
      <c r="H307" s="24" t="str">
        <f>IF($B307="","",IF($B307="TRANSCARNES","ACTIVO",IF(COUNTIF(RETIROS!E:E,$B307)=1,"PENDIENTE ELIMINAR",IF(COUNTIFS(ASIGNACIONES!$D:$D,$B307,ASIGNACIONES!$H:$H,E307,ASIGNACIONES!$G:$G,$D307,ASIGNACIONES!$J:$J,$F307)=0,"NUEVO","ACTIVO"))))</f>
        <v/>
      </c>
    </row>
    <row r="308">
      <c r="A308" s="30"/>
      <c r="B308" s="35"/>
      <c r="C308" s="32"/>
      <c r="D308" s="36"/>
      <c r="E308" s="36"/>
      <c r="F308" s="34"/>
      <c r="G308" s="24"/>
      <c r="H308" s="24" t="str">
        <f>IF($B308="","",IF($B308="TRANSCARNES","ACTIVO",IF(COUNTIF(RETIROS!E:E,$B308)=1,"PENDIENTE ELIMINAR",IF(COUNTIFS(ASIGNACIONES!$D:$D,$B308,ASIGNACIONES!$H:$H,E308,ASIGNACIONES!$G:$G,$D308,ASIGNACIONES!$J:$J,$F308)=0,"NUEVO","ACTIVO"))))</f>
        <v/>
      </c>
    </row>
    <row r="309">
      <c r="A309" s="30"/>
      <c r="B309" s="35"/>
      <c r="C309" s="32"/>
      <c r="D309" s="36"/>
      <c r="E309" s="36"/>
      <c r="F309" s="34"/>
      <c r="G309" s="24"/>
      <c r="H309" s="24" t="str">
        <f>IF($B309="","",IF($B309="TRANSCARNES","ACTIVO",IF(COUNTIF(RETIROS!E:E,$B309)=1,"PENDIENTE ELIMINAR",IF(COUNTIFS(ASIGNACIONES!$D:$D,$B309,ASIGNACIONES!$H:$H,E309,ASIGNACIONES!$G:$G,$D309,ASIGNACIONES!$J:$J,$F309)=0,"NUEVO","ACTIVO"))))</f>
        <v/>
      </c>
    </row>
    <row r="310">
      <c r="A310" s="30"/>
      <c r="B310" s="35"/>
      <c r="C310" s="32"/>
      <c r="D310" s="36"/>
      <c r="E310" s="36"/>
      <c r="F310" s="34"/>
      <c r="G310" s="24"/>
      <c r="H310" s="24" t="str">
        <f>IF($B310="","",IF($B310="TRANSCARNES","ACTIVO",IF(COUNTIF(RETIROS!E:E,$B310)=1,"PENDIENTE ELIMINAR",IF(COUNTIFS(ASIGNACIONES!$D:$D,$B310,ASIGNACIONES!$H:$H,E310,ASIGNACIONES!$G:$G,$D310,ASIGNACIONES!$J:$J,$F310)=0,"NUEVO","ACTIVO"))))</f>
        <v/>
      </c>
    </row>
    <row r="311">
      <c r="A311" s="30"/>
      <c r="B311" s="35"/>
      <c r="C311" s="32"/>
      <c r="D311" s="36"/>
      <c r="E311" s="36"/>
      <c r="F311" s="34"/>
      <c r="G311" s="24"/>
      <c r="H311" s="24" t="str">
        <f>IF($B311="","",IF($B311="TRANSCARNES","ACTIVO",IF(COUNTIF(RETIROS!E:E,$B311)=1,"PENDIENTE ELIMINAR",IF(COUNTIFS(ASIGNACIONES!$D:$D,$B311,ASIGNACIONES!$H:$H,E311,ASIGNACIONES!$G:$G,$D311,ASIGNACIONES!$J:$J,$F311)=0,"NUEVO","ACTIVO"))))</f>
        <v/>
      </c>
    </row>
    <row r="312">
      <c r="A312" s="30"/>
      <c r="B312" s="35"/>
      <c r="C312" s="32"/>
      <c r="D312" s="36"/>
      <c r="E312" s="36"/>
      <c r="F312" s="34"/>
      <c r="G312" s="24"/>
      <c r="H312" s="24" t="str">
        <f>IF($B312="","",IF($B312="TRANSCARNES","ACTIVO",IF(COUNTIF(RETIROS!E:E,$B312)=1,"PENDIENTE ELIMINAR",IF(COUNTIFS(ASIGNACIONES!$D:$D,$B312,ASIGNACIONES!$H:$H,E312,ASIGNACIONES!$G:$G,$D312,ASIGNACIONES!$J:$J,$F312)=0,"NUEVO","ACTIVO"))))</f>
        <v/>
      </c>
    </row>
    <row r="313">
      <c r="A313" s="30"/>
      <c r="B313" s="35"/>
      <c r="C313" s="32"/>
      <c r="D313" s="36"/>
      <c r="E313" s="36"/>
      <c r="F313" s="34"/>
      <c r="G313" s="24"/>
      <c r="H313" s="24" t="str">
        <f>IF($B313="","",IF($B313="TRANSCARNES","ACTIVO",IF(COUNTIF(RETIROS!E:E,$B313)=1,"PENDIENTE ELIMINAR",IF(COUNTIFS(ASIGNACIONES!$D:$D,$B313,ASIGNACIONES!$H:$H,E313,ASIGNACIONES!$G:$G,$D313,ASIGNACIONES!$J:$J,$F313)=0,"NUEVO","ACTIVO"))))</f>
        <v/>
      </c>
    </row>
    <row r="314">
      <c r="A314" s="30"/>
      <c r="B314" s="35"/>
      <c r="C314" s="32"/>
      <c r="D314" s="36"/>
      <c r="E314" s="36"/>
      <c r="F314" s="34"/>
      <c r="G314" s="24"/>
      <c r="H314" s="24" t="str">
        <f>IF($B314="","",IF($B314="TRANSCARNES","ACTIVO",IF(COUNTIF(RETIROS!E:E,$B314)=1,"PENDIENTE ELIMINAR",IF(COUNTIFS(ASIGNACIONES!$D:$D,$B314,ASIGNACIONES!$H:$H,E314,ASIGNACIONES!$G:$G,$D314,ASIGNACIONES!$J:$J,$F314)=0,"NUEVO","ACTIVO"))))</f>
        <v/>
      </c>
    </row>
    <row r="315">
      <c r="A315" s="30"/>
      <c r="B315" s="35"/>
      <c r="C315" s="32"/>
      <c r="D315" s="36"/>
      <c r="E315" s="36"/>
      <c r="F315" s="34"/>
      <c r="G315" s="24"/>
      <c r="H315" s="24" t="str">
        <f>IF($B315="","",IF($B315="TRANSCARNES","ACTIVO",IF(COUNTIF(RETIROS!E:E,$B315)=1,"PENDIENTE ELIMINAR",IF(COUNTIFS(ASIGNACIONES!$D:$D,$B315,ASIGNACIONES!$H:$H,E315,ASIGNACIONES!$G:$G,$D315,ASIGNACIONES!$J:$J,$F315)=0,"NUEVO","ACTIVO"))))</f>
        <v/>
      </c>
    </row>
    <row r="316">
      <c r="A316" s="30"/>
      <c r="B316" s="35"/>
      <c r="C316" s="32"/>
      <c r="D316" s="36"/>
      <c r="E316" s="36"/>
      <c r="F316" s="34"/>
      <c r="G316" s="24"/>
      <c r="H316" s="24" t="str">
        <f>IF($B316="","",IF($B316="TRANSCARNES","ACTIVO",IF(COUNTIF(RETIROS!E:E,$B316)=1,"PENDIENTE ELIMINAR",IF(COUNTIFS(ASIGNACIONES!$D:$D,$B316,ASIGNACIONES!$H:$H,E316,ASIGNACIONES!$G:$G,$D316,ASIGNACIONES!$J:$J,$F316)=0,"NUEVO","ACTIVO"))))</f>
        <v/>
      </c>
    </row>
    <row r="317">
      <c r="A317" s="30"/>
      <c r="B317" s="35"/>
      <c r="C317" s="32"/>
      <c r="D317" s="36"/>
      <c r="E317" s="36"/>
      <c r="F317" s="34"/>
      <c r="G317" s="24"/>
      <c r="H317" s="24" t="str">
        <f>IF($B317="","",IF($B317="TRANSCARNES","ACTIVO",IF(COUNTIF(RETIROS!E:E,$B317)=1,"PENDIENTE ELIMINAR",IF(COUNTIFS(ASIGNACIONES!$D:$D,$B317,ASIGNACIONES!$H:$H,E317,ASIGNACIONES!$G:$G,$D317,ASIGNACIONES!$J:$J,$F317)=0,"NUEVO","ACTIVO"))))</f>
        <v/>
      </c>
    </row>
    <row r="318">
      <c r="A318" s="30"/>
      <c r="B318" s="35"/>
      <c r="C318" s="32"/>
      <c r="D318" s="36"/>
      <c r="E318" s="36"/>
      <c r="F318" s="34"/>
      <c r="G318" s="24"/>
      <c r="H318" s="24" t="str">
        <f>IF($B318="","",IF($B318="TRANSCARNES","ACTIVO",IF(COUNTIF(RETIROS!E:E,$B318)=1,"PENDIENTE ELIMINAR",IF(COUNTIFS(ASIGNACIONES!$D:$D,$B318,ASIGNACIONES!$H:$H,E318,ASIGNACIONES!$G:$G,$D318,ASIGNACIONES!$J:$J,$F318)=0,"NUEVO","ACTIVO"))))</f>
        <v/>
      </c>
    </row>
    <row r="319">
      <c r="A319" s="30"/>
      <c r="B319" s="35"/>
      <c r="C319" s="32"/>
      <c r="D319" s="36"/>
      <c r="E319" s="36"/>
      <c r="F319" s="34"/>
      <c r="G319" s="24"/>
      <c r="H319" s="24" t="str">
        <f>IF($B319="","",IF($B319="TRANSCARNES","ACTIVO",IF(COUNTIF(RETIROS!E:E,$B319)=1,"PENDIENTE ELIMINAR",IF(COUNTIFS(ASIGNACIONES!$D:$D,$B319,ASIGNACIONES!$H:$H,E319,ASIGNACIONES!$G:$G,$D319,ASIGNACIONES!$J:$J,$F319)=0,"NUEVO","ACTIVO"))))</f>
        <v/>
      </c>
    </row>
    <row r="320">
      <c r="A320" s="30"/>
      <c r="B320" s="35"/>
      <c r="C320" s="32"/>
      <c r="D320" s="36"/>
      <c r="E320" s="36"/>
      <c r="F320" s="34"/>
      <c r="G320" s="24"/>
      <c r="H320" s="24" t="str">
        <f>IF($B320="","",IF($B320="TRANSCARNES","ACTIVO",IF(COUNTIF(RETIROS!E:E,$B320)=1,"PENDIENTE ELIMINAR",IF(COUNTIFS(ASIGNACIONES!$D:$D,$B320,ASIGNACIONES!$H:$H,E320,ASIGNACIONES!$G:$G,$D320,ASIGNACIONES!$J:$J,$F320)=0,"NUEVO","ACTIVO"))))</f>
        <v/>
      </c>
    </row>
    <row r="321">
      <c r="A321" s="30"/>
      <c r="B321" s="35"/>
      <c r="C321" s="32"/>
      <c r="D321" s="36"/>
      <c r="E321" s="36"/>
      <c r="F321" s="34"/>
      <c r="G321" s="24"/>
      <c r="H321" s="24" t="str">
        <f>IF($B321="","",IF($B321="TRANSCARNES","ACTIVO",IF(COUNTIF(RETIROS!E:E,$B321)=1,"PENDIENTE ELIMINAR",IF(COUNTIFS(ASIGNACIONES!$D:$D,$B321,ASIGNACIONES!$H:$H,E321,ASIGNACIONES!$G:$G,$D321,ASIGNACIONES!$J:$J,$F321)=0,"NUEVO","ACTIVO"))))</f>
        <v/>
      </c>
    </row>
    <row r="322">
      <c r="A322" s="30"/>
      <c r="B322" s="35"/>
      <c r="C322" s="32"/>
      <c r="D322" s="36"/>
      <c r="E322" s="36"/>
      <c r="F322" s="34"/>
      <c r="G322" s="24"/>
      <c r="H322" s="24" t="str">
        <f>IF($B322="","",IF($B322="TRANSCARNES","ACTIVO",IF(COUNTIF(RETIROS!E:E,$B322)=1,"PENDIENTE ELIMINAR",IF(COUNTIFS(ASIGNACIONES!$D:$D,$B322,ASIGNACIONES!$H:$H,E322,ASIGNACIONES!$G:$G,$D322,ASIGNACIONES!$J:$J,$F322)=0,"NUEVO","ACTIVO"))))</f>
        <v/>
      </c>
    </row>
    <row r="323">
      <c r="A323" s="30"/>
      <c r="B323" s="35"/>
      <c r="C323" s="32"/>
      <c r="D323" s="36"/>
      <c r="E323" s="36"/>
      <c r="F323" s="34"/>
      <c r="G323" s="24"/>
      <c r="H323" s="24" t="str">
        <f>IF($B323="","",IF($B323="TRANSCARNES","ACTIVO",IF(COUNTIF(RETIROS!E:E,$B323)=1,"PENDIENTE ELIMINAR",IF(COUNTIFS(ASIGNACIONES!$D:$D,$B323,ASIGNACIONES!$H:$H,E323,ASIGNACIONES!$G:$G,$D323,ASIGNACIONES!$J:$J,$F323)=0,"NUEVO","ACTIVO"))))</f>
        <v/>
      </c>
    </row>
    <row r="324">
      <c r="A324" s="30"/>
      <c r="B324" s="35"/>
      <c r="C324" s="32"/>
      <c r="D324" s="36"/>
      <c r="E324" s="36"/>
      <c r="F324" s="34"/>
      <c r="G324" s="24"/>
      <c r="H324" s="24" t="str">
        <f>IF($B324="","",IF($B324="TRANSCARNES","ACTIVO",IF(COUNTIF(RETIROS!E:E,$B324)=1,"PENDIENTE ELIMINAR",IF(COUNTIFS(ASIGNACIONES!$D:$D,$B324,ASIGNACIONES!$H:$H,E324,ASIGNACIONES!$G:$G,$D324,ASIGNACIONES!$J:$J,$F324)=0,"NUEVO","ACTIVO"))))</f>
        <v/>
      </c>
    </row>
    <row r="325">
      <c r="A325" s="30"/>
      <c r="B325" s="35"/>
      <c r="C325" s="32"/>
      <c r="D325" s="36"/>
      <c r="E325" s="36"/>
      <c r="F325" s="34"/>
      <c r="G325" s="24"/>
      <c r="H325" s="24" t="str">
        <f>IF($B325="","",IF($B325="TRANSCARNES","ACTIVO",IF(COUNTIF(RETIROS!E:E,$B325)=1,"PENDIENTE ELIMINAR",IF(COUNTIFS(ASIGNACIONES!$D:$D,$B325,ASIGNACIONES!$H:$H,E325,ASIGNACIONES!$G:$G,$D325,ASIGNACIONES!$J:$J,$F325)=0,"NUEVO","ACTIVO"))))</f>
        <v/>
      </c>
    </row>
    <row r="326">
      <c r="A326" s="30"/>
      <c r="B326" s="35"/>
      <c r="C326" s="32"/>
      <c r="D326" s="36"/>
      <c r="E326" s="36"/>
      <c r="F326" s="34"/>
      <c r="G326" s="24"/>
      <c r="H326" s="24" t="str">
        <f>IF($B326="","",IF($B326="TRANSCARNES","ACTIVO",IF(COUNTIF(RETIROS!E:E,$B326)=1,"PENDIENTE ELIMINAR",IF(COUNTIFS(ASIGNACIONES!$D:$D,$B326,ASIGNACIONES!$H:$H,E326,ASIGNACIONES!$G:$G,$D326,ASIGNACIONES!$J:$J,$F326)=0,"NUEVO","ACTIVO"))))</f>
        <v/>
      </c>
    </row>
    <row r="327">
      <c r="A327" s="30"/>
      <c r="B327" s="35"/>
      <c r="C327" s="32"/>
      <c r="D327" s="36"/>
      <c r="E327" s="36"/>
      <c r="F327" s="34"/>
      <c r="G327" s="24"/>
      <c r="H327" s="24" t="str">
        <f>IF($B327="","",IF($B327="TRANSCARNES","ACTIVO",IF(COUNTIF(RETIROS!E:E,$B327)=1,"PENDIENTE ELIMINAR",IF(COUNTIFS(ASIGNACIONES!$D:$D,$B327,ASIGNACIONES!$H:$H,E327,ASIGNACIONES!$G:$G,$D327,ASIGNACIONES!$J:$J,$F327)=0,"NUEVO","ACTIVO"))))</f>
        <v/>
      </c>
    </row>
    <row r="328">
      <c r="A328" s="30"/>
      <c r="B328" s="35"/>
      <c r="C328" s="32"/>
      <c r="D328" s="36"/>
      <c r="E328" s="36"/>
      <c r="F328" s="34"/>
      <c r="G328" s="24"/>
      <c r="H328" s="24" t="str">
        <f>IF($B328="","",IF($B328="TRANSCARNES","ACTIVO",IF(COUNTIF(RETIROS!E:E,$B328)=1,"PENDIENTE ELIMINAR",IF(COUNTIFS(ASIGNACIONES!$D:$D,$B328,ASIGNACIONES!$H:$H,E328,ASIGNACIONES!$G:$G,$D328,ASIGNACIONES!$J:$J,$F328)=0,"NUEVO","ACTIVO"))))</f>
        <v/>
      </c>
    </row>
    <row r="329">
      <c r="A329" s="30"/>
      <c r="B329" s="35"/>
      <c r="C329" s="32"/>
      <c r="D329" s="36"/>
      <c r="E329" s="36"/>
      <c r="F329" s="34"/>
      <c r="G329" s="24"/>
      <c r="H329" s="24" t="str">
        <f>IF($B329="","",IF($B329="TRANSCARNES","ACTIVO",IF(COUNTIF(RETIROS!E:E,$B329)=1,"PENDIENTE ELIMINAR",IF(COUNTIFS(ASIGNACIONES!$D:$D,$B329,ASIGNACIONES!$H:$H,E329,ASIGNACIONES!$G:$G,$D329,ASIGNACIONES!$J:$J,$F329)=0,"NUEVO","ACTIVO"))))</f>
        <v/>
      </c>
    </row>
    <row r="330">
      <c r="A330" s="30"/>
      <c r="B330" s="35"/>
      <c r="C330" s="32"/>
      <c r="D330" s="36"/>
      <c r="E330" s="36"/>
      <c r="F330" s="34"/>
      <c r="G330" s="24"/>
      <c r="H330" s="24" t="str">
        <f>IF($B330="","",IF($B330="TRANSCARNES","ACTIVO",IF(COUNTIF(RETIROS!E:E,$B330)=1,"PENDIENTE ELIMINAR",IF(COUNTIFS(ASIGNACIONES!$D:$D,$B330,ASIGNACIONES!$H:$H,E330,ASIGNACIONES!$G:$G,$D330,ASIGNACIONES!$J:$J,$F330)=0,"NUEVO","ACTIVO"))))</f>
        <v/>
      </c>
    </row>
    <row r="331">
      <c r="A331" s="30"/>
      <c r="B331" s="35"/>
      <c r="C331" s="32"/>
      <c r="D331" s="36"/>
      <c r="E331" s="36"/>
      <c r="F331" s="34"/>
      <c r="G331" s="24"/>
      <c r="H331" s="24" t="str">
        <f>IF($B331="","",IF($B331="TRANSCARNES","ACTIVO",IF(COUNTIF(RETIROS!E:E,$B331)=1,"PENDIENTE ELIMINAR",IF(COUNTIFS(ASIGNACIONES!$D:$D,$B331,ASIGNACIONES!$H:$H,E331,ASIGNACIONES!$G:$G,$D331,ASIGNACIONES!$J:$J,$F331)=0,"NUEVO","ACTIVO"))))</f>
        <v/>
      </c>
    </row>
    <row r="332">
      <c r="A332" s="30"/>
      <c r="B332" s="35"/>
      <c r="C332" s="32"/>
      <c r="D332" s="36"/>
      <c r="E332" s="36"/>
      <c r="F332" s="34"/>
      <c r="G332" s="24"/>
      <c r="H332" s="24" t="str">
        <f>IF($B332="","",IF($B332="TRANSCARNES","ACTIVO",IF(COUNTIF(RETIROS!E:E,$B332)=1,"PENDIENTE ELIMINAR",IF(COUNTIFS(ASIGNACIONES!$D:$D,$B332,ASIGNACIONES!$H:$H,E332,ASIGNACIONES!$G:$G,$D332,ASIGNACIONES!$J:$J,$F332)=0,"NUEVO","ACTIVO"))))</f>
        <v/>
      </c>
    </row>
    <row r="333">
      <c r="A333" s="30"/>
      <c r="B333" s="35"/>
      <c r="C333" s="32"/>
      <c r="D333" s="36"/>
      <c r="E333" s="36"/>
      <c r="F333" s="34"/>
      <c r="G333" s="24"/>
      <c r="H333" s="24" t="str">
        <f>IF($B333="","",IF($B333="TRANSCARNES","ACTIVO",IF(COUNTIF(RETIROS!E:E,$B333)=1,"PENDIENTE ELIMINAR",IF(COUNTIFS(ASIGNACIONES!$D:$D,$B333,ASIGNACIONES!$H:$H,E333,ASIGNACIONES!$G:$G,$D333,ASIGNACIONES!$J:$J,$F333)=0,"NUEVO","ACTIVO"))))</f>
        <v/>
      </c>
    </row>
    <row r="334">
      <c r="A334" s="30"/>
      <c r="B334" s="35"/>
      <c r="C334" s="32"/>
      <c r="D334" s="36"/>
      <c r="E334" s="36"/>
      <c r="F334" s="34"/>
      <c r="G334" s="24"/>
      <c r="H334" s="24" t="str">
        <f>IF($B334="","",IF($B334="TRANSCARNES","ACTIVO",IF(COUNTIF(RETIROS!E:E,$B334)=1,"PENDIENTE ELIMINAR",IF(COUNTIFS(ASIGNACIONES!$D:$D,$B334,ASIGNACIONES!$H:$H,E334,ASIGNACIONES!$G:$G,$D334,ASIGNACIONES!$J:$J,$F334)=0,"NUEVO","ACTIVO"))))</f>
        <v/>
      </c>
    </row>
    <row r="335">
      <c r="A335" s="30"/>
      <c r="B335" s="35"/>
      <c r="C335" s="32"/>
      <c r="D335" s="36"/>
      <c r="E335" s="36"/>
      <c r="F335" s="34"/>
      <c r="G335" s="24"/>
      <c r="H335" s="24" t="str">
        <f>IF($B335="","",IF($B335="TRANSCARNES","ACTIVO",IF(COUNTIF(RETIROS!E:E,$B335)=1,"PENDIENTE ELIMINAR",IF(COUNTIFS(ASIGNACIONES!$D:$D,$B335,ASIGNACIONES!$H:$H,E335,ASIGNACIONES!$G:$G,$D335,ASIGNACIONES!$J:$J,$F335)=0,"NUEVO","ACTIVO"))))</f>
        <v/>
      </c>
    </row>
    <row r="336">
      <c r="A336" s="30"/>
      <c r="B336" s="35"/>
      <c r="C336" s="32"/>
      <c r="D336" s="36"/>
      <c r="E336" s="36"/>
      <c r="F336" s="34"/>
      <c r="G336" s="24"/>
      <c r="H336" s="24" t="str">
        <f>IF($B336="","",IF($B336="TRANSCARNES","ACTIVO",IF(COUNTIF(RETIROS!E:E,$B336)=1,"PENDIENTE ELIMINAR",IF(COUNTIFS(ASIGNACIONES!$D:$D,$B336,ASIGNACIONES!$H:$H,E336,ASIGNACIONES!$G:$G,$D336,ASIGNACIONES!$J:$J,$F336)=0,"NUEVO","ACTIVO"))))</f>
        <v/>
      </c>
    </row>
    <row r="337">
      <c r="A337" s="30"/>
      <c r="B337" s="35"/>
      <c r="C337" s="32"/>
      <c r="D337" s="36"/>
      <c r="E337" s="36"/>
      <c r="F337" s="34"/>
      <c r="G337" s="24"/>
      <c r="H337" s="24" t="str">
        <f>IF($B337="","",IF($B337="TRANSCARNES","ACTIVO",IF(COUNTIF(RETIROS!E:E,$B337)=1,"PENDIENTE ELIMINAR",IF(COUNTIFS(ASIGNACIONES!$D:$D,$B337,ASIGNACIONES!$H:$H,E337,ASIGNACIONES!$G:$G,$D337,ASIGNACIONES!$J:$J,$F337)=0,"NUEVO","ACTIVO"))))</f>
        <v/>
      </c>
    </row>
    <row r="338">
      <c r="A338" s="30"/>
      <c r="B338" s="35"/>
      <c r="C338" s="32"/>
      <c r="D338" s="36"/>
      <c r="E338" s="36"/>
      <c r="F338" s="34"/>
      <c r="G338" s="24"/>
      <c r="H338" s="24" t="str">
        <f>IF($B338="","",IF($B338="TRANSCARNES","ACTIVO",IF(COUNTIF(RETIROS!E:E,$B338)=1,"PENDIENTE ELIMINAR",IF(COUNTIFS(ASIGNACIONES!$D:$D,$B338,ASIGNACIONES!$H:$H,E338,ASIGNACIONES!$G:$G,$D338,ASIGNACIONES!$J:$J,$F338)=0,"NUEVO","ACTIVO"))))</f>
        <v/>
      </c>
    </row>
    <row r="339">
      <c r="A339" s="30"/>
      <c r="B339" s="35"/>
      <c r="C339" s="32"/>
      <c r="D339" s="36"/>
      <c r="E339" s="36"/>
      <c r="F339" s="34"/>
      <c r="G339" s="24"/>
      <c r="H339" s="24" t="str">
        <f>IF($B339="","",IF($B339="TRANSCARNES","ACTIVO",IF(COUNTIF(RETIROS!E:E,$B339)=1,"PENDIENTE ELIMINAR",IF(COUNTIFS(ASIGNACIONES!$D:$D,$B339,ASIGNACIONES!$H:$H,E339,ASIGNACIONES!$G:$G,$D339,ASIGNACIONES!$J:$J,$F339)=0,"NUEVO","ACTIVO"))))</f>
        <v/>
      </c>
    </row>
    <row r="340">
      <c r="A340" s="30"/>
      <c r="B340" s="35"/>
      <c r="C340" s="32"/>
      <c r="D340" s="36"/>
      <c r="E340" s="36"/>
      <c r="F340" s="34"/>
      <c r="G340" s="24"/>
      <c r="H340" s="24" t="str">
        <f>IF($B340="","",IF($B340="TRANSCARNES","ACTIVO",IF(COUNTIF(RETIROS!E:E,$B340)=1,"PENDIENTE ELIMINAR",IF(COUNTIFS(ASIGNACIONES!$D:$D,$B340,ASIGNACIONES!$H:$H,E340,ASIGNACIONES!$G:$G,$D340,ASIGNACIONES!$J:$J,$F340)=0,"NUEVO","ACTIVO"))))</f>
        <v/>
      </c>
    </row>
    <row r="341">
      <c r="A341" s="30"/>
      <c r="B341" s="35"/>
      <c r="C341" s="32"/>
      <c r="D341" s="36"/>
      <c r="E341" s="36"/>
      <c r="F341" s="34"/>
      <c r="G341" s="24"/>
      <c r="H341" s="24" t="str">
        <f>IF($B341="","",IF($B341="TRANSCARNES","ACTIVO",IF(COUNTIF(RETIROS!E:E,$B341)=1,"PENDIENTE ELIMINAR",IF(COUNTIFS(ASIGNACIONES!$D:$D,$B341,ASIGNACIONES!$H:$H,E341,ASIGNACIONES!$G:$G,$D341,ASIGNACIONES!$J:$J,$F341)=0,"NUEVO","ACTIVO"))))</f>
        <v/>
      </c>
    </row>
    <row r="342">
      <c r="A342" s="30"/>
      <c r="B342" s="35"/>
      <c r="C342" s="32"/>
      <c r="D342" s="36"/>
      <c r="E342" s="36"/>
      <c r="F342" s="34"/>
      <c r="G342" s="24"/>
      <c r="H342" s="24" t="str">
        <f>IF($B342="","",IF($B342="TRANSCARNES","ACTIVO",IF(COUNTIF(RETIROS!E:E,$B342)=1,"PENDIENTE ELIMINAR",IF(COUNTIFS(ASIGNACIONES!$D:$D,$B342,ASIGNACIONES!$H:$H,E342,ASIGNACIONES!$G:$G,$D342,ASIGNACIONES!$J:$J,$F342)=0,"NUEVO","ACTIVO"))))</f>
        <v/>
      </c>
    </row>
    <row r="343">
      <c r="A343" s="30"/>
      <c r="B343" s="35"/>
      <c r="C343" s="32"/>
      <c r="D343" s="36"/>
      <c r="E343" s="36"/>
      <c r="F343" s="34"/>
      <c r="G343" s="24"/>
      <c r="H343" s="24" t="str">
        <f>IF($B343="","",IF($B343="TRANSCARNES","ACTIVO",IF(COUNTIF(RETIROS!E:E,$B343)=1,"PENDIENTE ELIMINAR",IF(COUNTIFS(ASIGNACIONES!$D:$D,$B343,ASIGNACIONES!$H:$H,E343,ASIGNACIONES!$G:$G,$D343,ASIGNACIONES!$J:$J,$F343)=0,"NUEVO","ACTIVO"))))</f>
        <v/>
      </c>
    </row>
    <row r="344">
      <c r="A344" s="30"/>
      <c r="B344" s="35"/>
      <c r="C344" s="32"/>
      <c r="D344" s="36"/>
      <c r="E344" s="36"/>
      <c r="F344" s="34"/>
      <c r="G344" s="24"/>
      <c r="H344" s="24" t="str">
        <f>IF($B344="","",IF($B344="TRANSCARNES","ACTIVO",IF(COUNTIF(RETIROS!E:E,$B344)=1,"PENDIENTE ELIMINAR",IF(COUNTIFS(ASIGNACIONES!$D:$D,$B344,ASIGNACIONES!$H:$H,E344,ASIGNACIONES!$G:$G,$D344,ASIGNACIONES!$J:$J,$F344)=0,"NUEVO","ACTIVO"))))</f>
        <v/>
      </c>
    </row>
    <row r="345">
      <c r="A345" s="30"/>
      <c r="B345" s="35"/>
      <c r="C345" s="32"/>
      <c r="D345" s="36"/>
      <c r="E345" s="36"/>
      <c r="F345" s="34"/>
      <c r="G345" s="24"/>
      <c r="H345" s="24" t="str">
        <f>IF($B345="","",IF($B345="TRANSCARNES","ACTIVO",IF(COUNTIF(RETIROS!E:E,$B345)=1,"PENDIENTE ELIMINAR",IF(COUNTIFS(ASIGNACIONES!$D:$D,$B345,ASIGNACIONES!$H:$H,E345,ASIGNACIONES!$G:$G,$D345,ASIGNACIONES!$J:$J,$F345)=0,"NUEVO","ACTIVO"))))</f>
        <v/>
      </c>
    </row>
    <row r="346">
      <c r="A346" s="30"/>
      <c r="B346" s="35"/>
      <c r="C346" s="32"/>
      <c r="D346" s="36"/>
      <c r="E346" s="36"/>
      <c r="F346" s="34"/>
      <c r="G346" s="24"/>
      <c r="H346" s="24" t="str">
        <f>IF($B346="","",IF($B346="TRANSCARNES","ACTIVO",IF(COUNTIF(RETIROS!E:E,$B346)=1,"PENDIENTE ELIMINAR",IF(COUNTIFS(ASIGNACIONES!$D:$D,$B346,ASIGNACIONES!$H:$H,E346,ASIGNACIONES!$G:$G,$D346,ASIGNACIONES!$J:$J,$F346)=0,"NUEVO","ACTIVO"))))</f>
        <v/>
      </c>
    </row>
    <row r="347">
      <c r="A347" s="30"/>
      <c r="B347" s="35"/>
      <c r="C347" s="32"/>
      <c r="D347" s="36"/>
      <c r="E347" s="36"/>
      <c r="F347" s="34"/>
      <c r="G347" s="24"/>
      <c r="H347" s="24" t="str">
        <f>IF($B347="","",IF($B347="TRANSCARNES","ACTIVO",IF(COUNTIF(RETIROS!E:E,$B347)=1,"PENDIENTE ELIMINAR",IF(COUNTIFS(ASIGNACIONES!$D:$D,$B347,ASIGNACIONES!$H:$H,E347,ASIGNACIONES!$G:$G,$D347,ASIGNACIONES!$J:$J,$F347)=0,"NUEVO","ACTIVO"))))</f>
        <v/>
      </c>
    </row>
    <row r="348">
      <c r="A348" s="30"/>
      <c r="B348" s="35"/>
      <c r="C348" s="32"/>
      <c r="D348" s="36"/>
      <c r="E348" s="36"/>
      <c r="F348" s="34"/>
      <c r="G348" s="24"/>
      <c r="H348" s="24" t="str">
        <f>IF($B348="","",IF($B348="TRANSCARNES","ACTIVO",IF(COUNTIF(RETIROS!E:E,$B348)=1,"PENDIENTE ELIMINAR",IF(COUNTIFS(ASIGNACIONES!$D:$D,$B348,ASIGNACIONES!$H:$H,E348,ASIGNACIONES!$G:$G,$D348,ASIGNACIONES!$J:$J,$F348)=0,"NUEVO","ACTIVO"))))</f>
        <v/>
      </c>
    </row>
    <row r="349">
      <c r="A349" s="30"/>
      <c r="B349" s="35"/>
      <c r="C349" s="32"/>
      <c r="D349" s="36"/>
      <c r="E349" s="36"/>
      <c r="F349" s="34"/>
      <c r="G349" s="24"/>
      <c r="H349" s="24" t="str">
        <f>IF($B349="","",IF($B349="TRANSCARNES","ACTIVO",IF(COUNTIF(RETIROS!E:E,$B349)=1,"PENDIENTE ELIMINAR",IF(COUNTIFS(ASIGNACIONES!$D:$D,$B349,ASIGNACIONES!$H:$H,E349,ASIGNACIONES!$G:$G,$D349,ASIGNACIONES!$J:$J,$F349)=0,"NUEVO","ACTIVO"))))</f>
        <v/>
      </c>
    </row>
    <row r="350">
      <c r="A350" s="30"/>
      <c r="B350" s="35"/>
      <c r="C350" s="32"/>
      <c r="D350" s="36"/>
      <c r="E350" s="36"/>
      <c r="F350" s="34"/>
      <c r="G350" s="24"/>
      <c r="H350" s="24" t="str">
        <f>IF($B350="","",IF($B350="TRANSCARNES","ACTIVO",IF(COUNTIF(RETIROS!E:E,$B350)=1,"PENDIENTE ELIMINAR",IF(COUNTIFS(ASIGNACIONES!$D:$D,$B350,ASIGNACIONES!$H:$H,E350,ASIGNACIONES!$G:$G,$D350,ASIGNACIONES!$J:$J,$F350)=0,"NUEVO","ACTIVO"))))</f>
        <v/>
      </c>
    </row>
    <row r="351">
      <c r="A351" s="30"/>
      <c r="B351" s="35"/>
      <c r="C351" s="32"/>
      <c r="D351" s="36"/>
      <c r="E351" s="36"/>
      <c r="F351" s="34"/>
      <c r="G351" s="24"/>
      <c r="H351" s="24" t="str">
        <f>IF($B351="","",IF($B351="TRANSCARNES","ACTIVO",IF(COUNTIF(RETIROS!E:E,$B351)=1,"PENDIENTE ELIMINAR",IF(COUNTIFS(ASIGNACIONES!$D:$D,$B351,ASIGNACIONES!$H:$H,E351,ASIGNACIONES!$G:$G,$D351,ASIGNACIONES!$J:$J,$F351)=0,"NUEVO","ACTIVO"))))</f>
        <v/>
      </c>
    </row>
    <row r="352">
      <c r="A352" s="30"/>
      <c r="B352" s="35"/>
      <c r="C352" s="32"/>
      <c r="D352" s="36"/>
      <c r="E352" s="36"/>
      <c r="F352" s="34"/>
      <c r="G352" s="24"/>
      <c r="H352" s="24" t="str">
        <f>IF($B352="","",IF($B352="TRANSCARNES","ACTIVO",IF(COUNTIF(RETIROS!E:E,$B352)=1,"PENDIENTE ELIMINAR",IF(COUNTIFS(ASIGNACIONES!$D:$D,$B352,ASIGNACIONES!$H:$H,E352,ASIGNACIONES!$G:$G,$D352,ASIGNACIONES!$J:$J,$F352)=0,"NUEVO","ACTIVO"))))</f>
        <v/>
      </c>
    </row>
    <row r="353">
      <c r="A353" s="30"/>
      <c r="B353" s="35"/>
      <c r="C353" s="32"/>
      <c r="D353" s="36"/>
      <c r="E353" s="36"/>
      <c r="F353" s="34"/>
      <c r="G353" s="24"/>
      <c r="H353" s="24" t="str">
        <f>IF($B353="","",IF($B353="TRANSCARNES","ACTIVO",IF(COUNTIF(RETIROS!E:E,$B353)=1,"PENDIENTE ELIMINAR",IF(COUNTIFS(ASIGNACIONES!$D:$D,$B353,ASIGNACIONES!$H:$H,E353,ASIGNACIONES!$G:$G,$D353,ASIGNACIONES!$J:$J,$F353)=0,"NUEVO","ACTIVO"))))</f>
        <v/>
      </c>
    </row>
    <row r="354">
      <c r="A354" s="30"/>
      <c r="B354" s="35"/>
      <c r="C354" s="32"/>
      <c r="D354" s="36"/>
      <c r="E354" s="36"/>
      <c r="F354" s="34"/>
      <c r="G354" s="24"/>
      <c r="H354" s="24" t="str">
        <f>IF($B354="","",IF($B354="TRANSCARNES","ACTIVO",IF(COUNTIF(RETIROS!E:E,$B354)=1,"PENDIENTE ELIMINAR",IF(COUNTIFS(ASIGNACIONES!$D:$D,$B354,ASIGNACIONES!$H:$H,E354,ASIGNACIONES!$G:$G,$D354,ASIGNACIONES!$J:$J,$F354)=0,"NUEVO","ACTIVO"))))</f>
        <v/>
      </c>
    </row>
    <row r="355">
      <c r="A355" s="30"/>
      <c r="B355" s="35"/>
      <c r="C355" s="32"/>
      <c r="D355" s="36"/>
      <c r="E355" s="36"/>
      <c r="F355" s="34"/>
      <c r="G355" s="24"/>
      <c r="H355" s="24" t="str">
        <f>IF($B355="","",IF($B355="TRANSCARNES","ACTIVO",IF(COUNTIF(RETIROS!E:E,$B355)=1,"PENDIENTE ELIMINAR",IF(COUNTIFS(ASIGNACIONES!$D:$D,$B355,ASIGNACIONES!$H:$H,E355,ASIGNACIONES!$G:$G,$D355,ASIGNACIONES!$J:$J,$F355)=0,"NUEVO","ACTIVO"))))</f>
        <v/>
      </c>
    </row>
    <row r="356">
      <c r="A356" s="30"/>
      <c r="B356" s="35"/>
      <c r="C356" s="32"/>
      <c r="D356" s="36"/>
      <c r="E356" s="36"/>
      <c r="F356" s="34"/>
      <c r="G356" s="24"/>
      <c r="H356" s="24" t="str">
        <f>IF($B356="","",IF($B356="TRANSCARNES","ACTIVO",IF(COUNTIF(RETIROS!E:E,$B356)=1,"PENDIENTE ELIMINAR",IF(COUNTIFS(ASIGNACIONES!$D:$D,$B356,ASIGNACIONES!$H:$H,E356,ASIGNACIONES!$G:$G,$D356,ASIGNACIONES!$J:$J,$F356)=0,"NUEVO","ACTIVO"))))</f>
        <v/>
      </c>
    </row>
    <row r="357">
      <c r="A357" s="30"/>
      <c r="B357" s="35"/>
      <c r="C357" s="32"/>
      <c r="D357" s="36"/>
      <c r="E357" s="36"/>
      <c r="F357" s="34"/>
      <c r="G357" s="24"/>
      <c r="H357" s="24" t="str">
        <f>IF($B357="","",IF($B357="TRANSCARNES","ACTIVO",IF(COUNTIF(RETIROS!E:E,$B357)=1,"PENDIENTE ELIMINAR",IF(COUNTIFS(ASIGNACIONES!$D:$D,$B357,ASIGNACIONES!$H:$H,E357,ASIGNACIONES!$G:$G,$D357,ASIGNACIONES!$J:$J,$F357)=0,"NUEVO","ACTIVO"))))</f>
        <v/>
      </c>
    </row>
    <row r="358">
      <c r="A358" s="30"/>
      <c r="B358" s="35"/>
      <c r="C358" s="32"/>
      <c r="D358" s="36"/>
      <c r="E358" s="36"/>
      <c r="F358" s="34"/>
      <c r="G358" s="24"/>
      <c r="H358" s="24" t="str">
        <f>IF($B358="","",IF($B358="TRANSCARNES","ACTIVO",IF(COUNTIF(RETIROS!E:E,$B358)=1,"PENDIENTE ELIMINAR",IF(COUNTIFS(ASIGNACIONES!$D:$D,$B358,ASIGNACIONES!$H:$H,E358,ASIGNACIONES!$G:$G,$D358,ASIGNACIONES!$J:$J,$F358)=0,"NUEVO","ACTIVO"))))</f>
        <v/>
      </c>
    </row>
    <row r="359">
      <c r="A359" s="30"/>
      <c r="B359" s="35"/>
      <c r="C359" s="32"/>
      <c r="D359" s="36"/>
      <c r="E359" s="36"/>
      <c r="F359" s="34"/>
      <c r="G359" s="24"/>
      <c r="H359" s="24" t="str">
        <f>IF($B359="","",IF($B359="TRANSCARNES","ACTIVO",IF(COUNTIF(RETIROS!E:E,$B359)=1,"PENDIENTE ELIMINAR",IF(COUNTIFS(ASIGNACIONES!$D:$D,$B359,ASIGNACIONES!$H:$H,E359,ASIGNACIONES!$G:$G,$D359,ASIGNACIONES!$J:$J,$F359)=0,"NUEVO","ACTIVO"))))</f>
        <v/>
      </c>
    </row>
    <row r="360">
      <c r="A360" s="30"/>
      <c r="B360" s="35"/>
      <c r="C360" s="32"/>
      <c r="D360" s="36"/>
      <c r="E360" s="36"/>
      <c r="F360" s="34"/>
      <c r="G360" s="24"/>
      <c r="H360" s="24" t="str">
        <f>IF($B360="","",IF($B360="TRANSCARNES","ACTIVO",IF(COUNTIF(RETIROS!E:E,$B360)=1,"PENDIENTE ELIMINAR",IF(COUNTIFS(ASIGNACIONES!$D:$D,$B360,ASIGNACIONES!$H:$H,E360,ASIGNACIONES!$G:$G,$D360,ASIGNACIONES!$J:$J,$F360)=0,"NUEVO","ACTIVO"))))</f>
        <v/>
      </c>
    </row>
    <row r="361">
      <c r="A361" s="30"/>
      <c r="B361" s="35"/>
      <c r="C361" s="32"/>
      <c r="D361" s="36"/>
      <c r="E361" s="36"/>
      <c r="F361" s="34"/>
      <c r="G361" s="24"/>
      <c r="H361" s="24" t="str">
        <f>IF($B361="","",IF($B361="TRANSCARNES","ACTIVO",IF(COUNTIF(RETIROS!E:E,$B361)=1,"PENDIENTE ELIMINAR",IF(COUNTIFS(ASIGNACIONES!$D:$D,$B361,ASIGNACIONES!$H:$H,E361,ASIGNACIONES!$G:$G,$D361,ASIGNACIONES!$J:$J,$F361)=0,"NUEVO","ACTIVO"))))</f>
        <v/>
      </c>
    </row>
    <row r="362">
      <c r="A362" s="30"/>
      <c r="B362" s="35"/>
      <c r="C362" s="32"/>
      <c r="D362" s="36"/>
      <c r="E362" s="36"/>
      <c r="F362" s="34"/>
      <c r="G362" s="24"/>
      <c r="H362" s="24" t="str">
        <f>IF($B362="","",IF($B362="TRANSCARNES","ACTIVO",IF(COUNTIF(RETIROS!E:E,$B362)=1,"PENDIENTE ELIMINAR",IF(COUNTIFS(ASIGNACIONES!$D:$D,$B362,ASIGNACIONES!$H:$H,E362,ASIGNACIONES!$G:$G,$D362,ASIGNACIONES!$J:$J,$F362)=0,"NUEVO","ACTIVO"))))</f>
        <v/>
      </c>
    </row>
    <row r="363">
      <c r="A363" s="30"/>
      <c r="B363" s="35"/>
      <c r="C363" s="32"/>
      <c r="D363" s="36"/>
      <c r="E363" s="36"/>
      <c r="F363" s="34"/>
      <c r="G363" s="24"/>
      <c r="H363" s="24" t="str">
        <f>IF($B363="","",IF($B363="TRANSCARNES","ACTIVO",IF(COUNTIF(RETIROS!E:E,$B363)=1,"PENDIENTE ELIMINAR",IF(COUNTIFS(ASIGNACIONES!$D:$D,$B363,ASIGNACIONES!$H:$H,E363,ASIGNACIONES!$G:$G,$D363,ASIGNACIONES!$J:$J,$F363)=0,"NUEVO","ACTIVO"))))</f>
        <v/>
      </c>
    </row>
    <row r="364">
      <c r="A364" s="30"/>
      <c r="B364" s="35"/>
      <c r="C364" s="32"/>
      <c r="D364" s="36"/>
      <c r="E364" s="36"/>
      <c r="F364" s="34"/>
      <c r="G364" s="24"/>
      <c r="H364" s="24" t="str">
        <f>IF($B364="","",IF($B364="TRANSCARNES","ACTIVO",IF(COUNTIF(RETIROS!E:E,$B364)=1,"PENDIENTE ELIMINAR",IF(COUNTIFS(ASIGNACIONES!$D:$D,$B364,ASIGNACIONES!$H:$H,E364,ASIGNACIONES!$G:$G,$D364,ASIGNACIONES!$J:$J,$F364)=0,"NUEVO","ACTIVO"))))</f>
        <v/>
      </c>
    </row>
    <row r="365">
      <c r="A365" s="30"/>
      <c r="B365" s="35"/>
      <c r="C365" s="32"/>
      <c r="D365" s="36"/>
      <c r="E365" s="36"/>
      <c r="F365" s="34"/>
      <c r="G365" s="24"/>
      <c r="H365" s="24" t="str">
        <f>IF($B365="","",IF($B365="TRANSCARNES","ACTIVO",IF(COUNTIF(RETIROS!E:E,$B365)=1,"PENDIENTE ELIMINAR",IF(COUNTIFS(ASIGNACIONES!$D:$D,$B365,ASIGNACIONES!$H:$H,E365,ASIGNACIONES!$G:$G,$D365,ASIGNACIONES!$J:$J,$F365)=0,"NUEVO","ACTIVO"))))</f>
        <v/>
      </c>
    </row>
    <row r="366">
      <c r="A366" s="30"/>
      <c r="B366" s="35"/>
      <c r="C366" s="32"/>
      <c r="D366" s="36"/>
      <c r="E366" s="36"/>
      <c r="F366" s="34"/>
      <c r="G366" s="24"/>
      <c r="H366" s="24" t="str">
        <f>IF($B366="","",IF($B366="TRANSCARNES","ACTIVO",IF(COUNTIF(RETIROS!E:E,$B366)=1,"PENDIENTE ELIMINAR",IF(COUNTIFS(ASIGNACIONES!$D:$D,$B366,ASIGNACIONES!$H:$H,E366,ASIGNACIONES!$G:$G,$D366,ASIGNACIONES!$J:$J,$F366)=0,"NUEVO","ACTIVO"))))</f>
        <v/>
      </c>
    </row>
    <row r="367">
      <c r="A367" s="30"/>
      <c r="B367" s="35"/>
      <c r="C367" s="32"/>
      <c r="D367" s="36"/>
      <c r="E367" s="36"/>
      <c r="F367" s="34"/>
      <c r="G367" s="24"/>
      <c r="H367" s="24" t="str">
        <f>IF($B367="","",IF($B367="TRANSCARNES","ACTIVO",IF(COUNTIF(RETIROS!E:E,$B367)=1,"PENDIENTE ELIMINAR",IF(COUNTIFS(ASIGNACIONES!$D:$D,$B367,ASIGNACIONES!$H:$H,E367,ASIGNACIONES!$G:$G,$D367,ASIGNACIONES!$J:$J,$F367)=0,"NUEVO","ACTIVO"))))</f>
        <v/>
      </c>
    </row>
    <row r="368">
      <c r="A368" s="30"/>
      <c r="B368" s="35"/>
      <c r="C368" s="32"/>
      <c r="D368" s="36"/>
      <c r="E368" s="36"/>
      <c r="F368" s="34"/>
      <c r="G368" s="24"/>
      <c r="H368" s="24" t="str">
        <f>IF($B368="","",IF($B368="TRANSCARNES","ACTIVO",IF(COUNTIF(RETIROS!E:E,$B368)=1,"PENDIENTE ELIMINAR",IF(COUNTIFS(ASIGNACIONES!$D:$D,$B368,ASIGNACIONES!$H:$H,E368,ASIGNACIONES!$G:$G,$D368,ASIGNACIONES!$J:$J,$F368)=0,"NUEVO","ACTIVO"))))</f>
        <v/>
      </c>
    </row>
    <row r="369">
      <c r="A369" s="30"/>
      <c r="B369" s="35"/>
      <c r="C369" s="32"/>
      <c r="D369" s="36"/>
      <c r="E369" s="36"/>
      <c r="F369" s="34"/>
      <c r="G369" s="24"/>
      <c r="H369" s="24" t="str">
        <f>IF($B369="","",IF($B369="TRANSCARNES","ACTIVO",IF(COUNTIF(RETIROS!E:E,$B369)=1,"PENDIENTE ELIMINAR",IF(COUNTIFS(ASIGNACIONES!$D:$D,$B369,ASIGNACIONES!$H:$H,E369,ASIGNACIONES!$G:$G,$D369,ASIGNACIONES!$J:$J,$F369)=0,"NUEVO","ACTIVO"))))</f>
        <v/>
      </c>
    </row>
    <row r="370">
      <c r="A370" s="30"/>
      <c r="B370" s="35"/>
      <c r="C370" s="32"/>
      <c r="D370" s="36"/>
      <c r="E370" s="36"/>
      <c r="F370" s="34"/>
      <c r="G370" s="24"/>
      <c r="H370" s="24" t="str">
        <f>IF($B370="","",IF($B370="TRANSCARNES","ACTIVO",IF(COUNTIF(RETIROS!E:E,$B370)=1,"PENDIENTE ELIMINAR",IF(COUNTIFS(ASIGNACIONES!$D:$D,$B370,ASIGNACIONES!$H:$H,E370,ASIGNACIONES!$G:$G,$D370,ASIGNACIONES!$J:$J,$F370)=0,"NUEVO","ACTIVO"))))</f>
        <v/>
      </c>
    </row>
    <row r="371">
      <c r="A371" s="30"/>
      <c r="B371" s="35"/>
      <c r="C371" s="32"/>
      <c r="D371" s="36"/>
      <c r="E371" s="36"/>
      <c r="F371" s="34"/>
      <c r="G371" s="24"/>
      <c r="H371" s="24" t="str">
        <f>IF($B371="","",IF($B371="TRANSCARNES","ACTIVO",IF(COUNTIF(RETIROS!E:E,$B371)=1,"PENDIENTE ELIMINAR",IF(COUNTIFS(ASIGNACIONES!$D:$D,$B371,ASIGNACIONES!$H:$H,E371,ASIGNACIONES!$G:$G,$D371,ASIGNACIONES!$J:$J,$F371)=0,"NUEVO","ACTIVO"))))</f>
        <v/>
      </c>
    </row>
    <row r="372">
      <c r="A372" s="30"/>
      <c r="B372" s="35"/>
      <c r="C372" s="32"/>
      <c r="D372" s="36"/>
      <c r="E372" s="36"/>
      <c r="F372" s="34"/>
      <c r="G372" s="24"/>
      <c r="H372" s="24" t="str">
        <f>IF($B372="","",IF($B372="TRANSCARNES","ACTIVO",IF(COUNTIF(RETIROS!E:E,$B372)=1,"PENDIENTE ELIMINAR",IF(COUNTIFS(ASIGNACIONES!$D:$D,$B372,ASIGNACIONES!$H:$H,E372,ASIGNACIONES!$G:$G,$D372,ASIGNACIONES!$J:$J,$F372)=0,"NUEVO","ACTIVO"))))</f>
        <v/>
      </c>
    </row>
    <row r="373">
      <c r="A373" s="30"/>
      <c r="B373" s="35"/>
      <c r="C373" s="32"/>
      <c r="D373" s="36"/>
      <c r="E373" s="36"/>
      <c r="F373" s="34"/>
      <c r="G373" s="24"/>
      <c r="H373" s="24" t="str">
        <f>IF($B373="","",IF($B373="TRANSCARNES","ACTIVO",IF(COUNTIF(RETIROS!E:E,$B373)=1,"PENDIENTE ELIMINAR",IF(COUNTIFS(ASIGNACIONES!$D:$D,$B373,ASIGNACIONES!$H:$H,E373,ASIGNACIONES!$G:$G,$D373,ASIGNACIONES!$J:$J,$F373)=0,"NUEVO","ACTIVO"))))</f>
        <v/>
      </c>
    </row>
    <row r="374">
      <c r="A374" s="30"/>
      <c r="B374" s="35"/>
      <c r="C374" s="32"/>
      <c r="D374" s="36"/>
      <c r="E374" s="36"/>
      <c r="F374" s="34"/>
      <c r="G374" s="24"/>
      <c r="H374" s="24" t="str">
        <f>IF($B374="","",IF($B374="TRANSCARNES","ACTIVO",IF(COUNTIF(RETIROS!E:E,$B374)=1,"PENDIENTE ELIMINAR",IF(COUNTIFS(ASIGNACIONES!$D:$D,$B374,ASIGNACIONES!$H:$H,E374,ASIGNACIONES!$G:$G,$D374,ASIGNACIONES!$J:$J,$F374)=0,"NUEVO","ACTIVO"))))</f>
        <v/>
      </c>
    </row>
    <row r="375">
      <c r="A375" s="30"/>
      <c r="B375" s="35"/>
      <c r="C375" s="32"/>
      <c r="D375" s="36"/>
      <c r="E375" s="36"/>
      <c r="F375" s="34"/>
      <c r="G375" s="24"/>
      <c r="H375" s="24" t="str">
        <f>IF($B375="","",IF($B375="TRANSCARNES","ACTIVO",IF(COUNTIF(RETIROS!E:E,$B375)=1,"PENDIENTE ELIMINAR",IF(COUNTIFS(ASIGNACIONES!$D:$D,$B375,ASIGNACIONES!$H:$H,E375,ASIGNACIONES!$G:$G,$D375,ASIGNACIONES!$J:$J,$F375)=0,"NUEVO","ACTIVO"))))</f>
        <v/>
      </c>
    </row>
    <row r="376">
      <c r="A376" s="30"/>
      <c r="B376" s="35"/>
      <c r="C376" s="32"/>
      <c r="D376" s="36"/>
      <c r="E376" s="36"/>
      <c r="F376" s="34"/>
      <c r="G376" s="24"/>
      <c r="H376" s="24" t="str">
        <f>IF($B376="","",IF($B376="TRANSCARNES","ACTIVO",IF(COUNTIF(RETIROS!E:E,$B376)=1,"PENDIENTE ELIMINAR",IF(COUNTIFS(ASIGNACIONES!$D:$D,$B376,ASIGNACIONES!$H:$H,E376,ASIGNACIONES!$G:$G,$D376,ASIGNACIONES!$J:$J,$F376)=0,"NUEVO","ACTIVO"))))</f>
        <v/>
      </c>
    </row>
    <row r="377">
      <c r="A377" s="30"/>
      <c r="B377" s="35"/>
      <c r="C377" s="32"/>
      <c r="D377" s="36"/>
      <c r="E377" s="36"/>
      <c r="F377" s="34"/>
      <c r="G377" s="24"/>
      <c r="H377" s="24" t="str">
        <f>IF($B377="","",IF($B377="TRANSCARNES","ACTIVO",IF(COUNTIF(RETIROS!E:E,$B377)=1,"PENDIENTE ELIMINAR",IF(COUNTIFS(ASIGNACIONES!$D:$D,$B377,ASIGNACIONES!$H:$H,E377,ASIGNACIONES!$G:$G,$D377,ASIGNACIONES!$J:$J,$F377)=0,"NUEVO","ACTIVO"))))</f>
        <v/>
      </c>
    </row>
    <row r="378">
      <c r="A378" s="30"/>
      <c r="B378" s="35"/>
      <c r="C378" s="32"/>
      <c r="D378" s="36"/>
      <c r="E378" s="36"/>
      <c r="F378" s="34"/>
      <c r="G378" s="24"/>
      <c r="H378" s="24" t="str">
        <f>IF($B378="","",IF($B378="TRANSCARNES","ACTIVO",IF(COUNTIF(RETIROS!E:E,$B378)=1,"PENDIENTE ELIMINAR",IF(COUNTIFS(ASIGNACIONES!$D:$D,$B378,ASIGNACIONES!$H:$H,E378,ASIGNACIONES!$G:$G,$D378,ASIGNACIONES!$J:$J,$F378)=0,"NUEVO","ACTIVO"))))</f>
        <v/>
      </c>
    </row>
    <row r="379">
      <c r="A379" s="30"/>
      <c r="B379" s="35"/>
      <c r="C379" s="32"/>
      <c r="D379" s="36"/>
      <c r="E379" s="36"/>
      <c r="F379" s="34"/>
      <c r="G379" s="24"/>
      <c r="H379" s="24" t="str">
        <f>IF($B379="","",IF($B379="TRANSCARNES","ACTIVO",IF(COUNTIF(RETIROS!E:E,$B379)=1,"PENDIENTE ELIMINAR",IF(COUNTIFS(ASIGNACIONES!$D:$D,$B379,ASIGNACIONES!$H:$H,E379,ASIGNACIONES!$G:$G,$D379,ASIGNACIONES!$J:$J,$F379)=0,"NUEVO","ACTIVO"))))</f>
        <v/>
      </c>
    </row>
    <row r="380">
      <c r="A380" s="30"/>
      <c r="B380" s="35"/>
      <c r="C380" s="32"/>
      <c r="D380" s="36"/>
      <c r="E380" s="36"/>
      <c r="F380" s="34"/>
      <c r="G380" s="24"/>
      <c r="H380" s="24" t="str">
        <f>IF($B380="","",IF($B380="TRANSCARNES","ACTIVO",IF(COUNTIF(RETIROS!E:E,$B380)=1,"PENDIENTE ELIMINAR",IF(COUNTIFS(ASIGNACIONES!$D:$D,$B380,ASIGNACIONES!$H:$H,E380,ASIGNACIONES!$G:$G,$D380,ASIGNACIONES!$J:$J,$F380)=0,"NUEVO","ACTIVO"))))</f>
        <v/>
      </c>
    </row>
    <row r="381">
      <c r="A381" s="30"/>
      <c r="B381" s="35"/>
      <c r="C381" s="32"/>
      <c r="D381" s="36"/>
      <c r="E381" s="36"/>
      <c r="F381" s="34"/>
      <c r="G381" s="24"/>
      <c r="H381" s="24" t="str">
        <f>IF($B381="","",IF($B381="TRANSCARNES","ACTIVO",IF(COUNTIF(RETIROS!E:E,$B381)=1,"PENDIENTE ELIMINAR",IF(COUNTIFS(ASIGNACIONES!$D:$D,$B381,ASIGNACIONES!$H:$H,E381,ASIGNACIONES!$G:$G,$D381,ASIGNACIONES!$J:$J,$F381)=0,"NUEVO","ACTIVO"))))</f>
        <v/>
      </c>
    </row>
    <row r="382">
      <c r="A382" s="30"/>
      <c r="B382" s="35"/>
      <c r="C382" s="32"/>
      <c r="D382" s="36"/>
      <c r="E382" s="36"/>
      <c r="F382" s="34"/>
      <c r="G382" s="24"/>
      <c r="H382" s="24" t="str">
        <f>IF($B382="","",IF($B382="TRANSCARNES","ACTIVO",IF(COUNTIF(RETIROS!E:E,$B382)=1,"PENDIENTE ELIMINAR",IF(COUNTIFS(ASIGNACIONES!$D:$D,$B382,ASIGNACIONES!$H:$H,E382,ASIGNACIONES!$G:$G,$D382,ASIGNACIONES!$J:$J,$F382)=0,"NUEVO","ACTIVO"))))</f>
        <v/>
      </c>
    </row>
    <row r="383">
      <c r="A383" s="30"/>
      <c r="B383" s="35"/>
      <c r="C383" s="32"/>
      <c r="D383" s="36"/>
      <c r="E383" s="36"/>
      <c r="F383" s="34"/>
      <c r="G383" s="24"/>
      <c r="H383" s="24" t="str">
        <f>IF($B383="","",IF($B383="TRANSCARNES","ACTIVO",IF(COUNTIF(RETIROS!E:E,$B383)=1,"PENDIENTE ELIMINAR",IF(COUNTIFS(ASIGNACIONES!$D:$D,$B383,ASIGNACIONES!$H:$H,E383,ASIGNACIONES!$G:$G,$D383,ASIGNACIONES!$J:$J,$F383)=0,"NUEVO","ACTIVO"))))</f>
        <v/>
      </c>
    </row>
    <row r="384">
      <c r="A384" s="30"/>
      <c r="B384" s="35"/>
      <c r="C384" s="32"/>
      <c r="D384" s="36"/>
      <c r="E384" s="36"/>
      <c r="F384" s="34"/>
      <c r="G384" s="24"/>
      <c r="H384" s="24" t="str">
        <f>IF($B384="","",IF($B384="TRANSCARNES","ACTIVO",IF(COUNTIF(RETIROS!E:E,$B384)=1,"PENDIENTE ELIMINAR",IF(COUNTIFS(ASIGNACIONES!$D:$D,$B384,ASIGNACIONES!$H:$H,E384,ASIGNACIONES!$G:$G,$D384,ASIGNACIONES!$J:$J,$F384)=0,"NUEVO","ACTIVO"))))</f>
        <v/>
      </c>
    </row>
    <row r="385">
      <c r="A385" s="30"/>
      <c r="B385" s="35"/>
      <c r="C385" s="32"/>
      <c r="D385" s="36"/>
      <c r="E385" s="36"/>
      <c r="F385" s="34"/>
      <c r="G385" s="24"/>
      <c r="H385" s="24" t="str">
        <f>IF($B385="","",IF($B385="TRANSCARNES","ACTIVO",IF(COUNTIF(RETIROS!E:E,$B385)=1,"PENDIENTE ELIMINAR",IF(COUNTIFS(ASIGNACIONES!$D:$D,$B385,ASIGNACIONES!$H:$H,E385,ASIGNACIONES!$G:$G,$D385,ASIGNACIONES!$J:$J,$F385)=0,"NUEVO","ACTIVO"))))</f>
        <v/>
      </c>
    </row>
    <row r="386">
      <c r="A386" s="30"/>
      <c r="B386" s="35"/>
      <c r="C386" s="32"/>
      <c r="D386" s="36"/>
      <c r="E386" s="36"/>
      <c r="F386" s="34"/>
      <c r="G386" s="24"/>
      <c r="H386" s="24" t="str">
        <f>IF($B386="","",IF($B386="TRANSCARNES","ACTIVO",IF(COUNTIF(RETIROS!E:E,$B386)=1,"PENDIENTE ELIMINAR",IF(COUNTIFS(ASIGNACIONES!$D:$D,$B386,ASIGNACIONES!$H:$H,E386,ASIGNACIONES!$G:$G,$D386,ASIGNACIONES!$J:$J,$F386)=0,"NUEVO","ACTIVO"))))</f>
        <v/>
      </c>
    </row>
    <row r="387">
      <c r="A387" s="30"/>
      <c r="B387" s="35"/>
      <c r="C387" s="32"/>
      <c r="D387" s="36"/>
      <c r="E387" s="36"/>
      <c r="F387" s="34"/>
      <c r="G387" s="24"/>
      <c r="H387" s="24" t="str">
        <f>IF($B387="","",IF($B387="TRANSCARNES","ACTIVO",IF(COUNTIF(RETIROS!E:E,$B387)=1,"PENDIENTE ELIMINAR",IF(COUNTIFS(ASIGNACIONES!$D:$D,$B387,ASIGNACIONES!$H:$H,E387,ASIGNACIONES!$G:$G,$D387,ASIGNACIONES!$J:$J,$F387)=0,"NUEVO","ACTIVO"))))</f>
        <v/>
      </c>
    </row>
    <row r="388">
      <c r="A388" s="30"/>
      <c r="B388" s="35"/>
      <c r="C388" s="32"/>
      <c r="D388" s="36"/>
      <c r="E388" s="36"/>
      <c r="F388" s="34"/>
      <c r="G388" s="24"/>
      <c r="H388" s="24" t="str">
        <f>IF($B388="","",IF($B388="TRANSCARNES","ACTIVO",IF(COUNTIF(RETIROS!E:E,$B388)=1,"PENDIENTE ELIMINAR",IF(COUNTIFS(ASIGNACIONES!$D:$D,$B388,ASIGNACIONES!$H:$H,E388,ASIGNACIONES!$G:$G,$D388,ASIGNACIONES!$J:$J,$F388)=0,"NUEVO","ACTIVO"))))</f>
        <v/>
      </c>
    </row>
    <row r="389">
      <c r="A389" s="30"/>
      <c r="B389" s="35"/>
      <c r="C389" s="32"/>
      <c r="D389" s="36"/>
      <c r="E389" s="36"/>
      <c r="F389" s="34"/>
      <c r="G389" s="24"/>
      <c r="H389" s="24" t="str">
        <f>IF($B389="","",IF($B389="TRANSCARNES","ACTIVO",IF(COUNTIF(RETIROS!E:E,$B389)=1,"PENDIENTE ELIMINAR",IF(COUNTIFS(ASIGNACIONES!$D:$D,$B389,ASIGNACIONES!$H:$H,E389,ASIGNACIONES!$G:$G,$D389,ASIGNACIONES!$J:$J,$F389)=0,"NUEVO","ACTIVO"))))</f>
        <v/>
      </c>
    </row>
    <row r="390">
      <c r="A390" s="30"/>
      <c r="B390" s="35"/>
      <c r="C390" s="32"/>
      <c r="D390" s="36"/>
      <c r="E390" s="36"/>
      <c r="F390" s="34"/>
      <c r="G390" s="24"/>
      <c r="H390" s="24" t="str">
        <f>IF($B390="","",IF($B390="TRANSCARNES","ACTIVO",IF(COUNTIF(RETIROS!E:E,$B390)=1,"PENDIENTE ELIMINAR",IF(COUNTIFS(ASIGNACIONES!$D:$D,$B390,ASIGNACIONES!$H:$H,E390,ASIGNACIONES!$G:$G,$D390,ASIGNACIONES!$J:$J,$F390)=0,"NUEVO","ACTIVO"))))</f>
        <v/>
      </c>
    </row>
    <row r="391">
      <c r="A391" s="30"/>
      <c r="B391" s="35"/>
      <c r="C391" s="32"/>
      <c r="D391" s="36"/>
      <c r="E391" s="36"/>
      <c r="F391" s="34"/>
      <c r="G391" s="24"/>
      <c r="H391" s="24" t="str">
        <f>IF($B391="","",IF($B391="TRANSCARNES","ACTIVO",IF(COUNTIF(RETIROS!E:E,$B391)=1,"PENDIENTE ELIMINAR",IF(COUNTIFS(ASIGNACIONES!$D:$D,$B391,ASIGNACIONES!$H:$H,E391,ASIGNACIONES!$G:$G,$D391,ASIGNACIONES!$J:$J,$F391)=0,"NUEVO","ACTIVO"))))</f>
        <v/>
      </c>
    </row>
    <row r="392">
      <c r="A392" s="30"/>
      <c r="B392" s="35"/>
      <c r="C392" s="32"/>
      <c r="D392" s="36"/>
      <c r="E392" s="36"/>
      <c r="F392" s="34"/>
      <c r="G392" s="24"/>
      <c r="H392" s="24" t="str">
        <f>IF($B392="","",IF($B392="TRANSCARNES","ACTIVO",IF(COUNTIF(RETIROS!E:E,$B392)=1,"PENDIENTE ELIMINAR",IF(COUNTIFS(ASIGNACIONES!$D:$D,$B392,ASIGNACIONES!$H:$H,E392,ASIGNACIONES!$G:$G,$D392,ASIGNACIONES!$J:$J,$F392)=0,"NUEVO","ACTIVO"))))</f>
        <v/>
      </c>
    </row>
    <row r="393">
      <c r="A393" s="30"/>
      <c r="B393" s="35"/>
      <c r="C393" s="32"/>
      <c r="D393" s="36"/>
      <c r="E393" s="36"/>
      <c r="F393" s="34"/>
      <c r="G393" s="24"/>
      <c r="H393" s="24" t="str">
        <f>IF($B393="","",IF($B393="TRANSCARNES","ACTIVO",IF(COUNTIF(RETIROS!E:E,$B393)=1,"PENDIENTE ELIMINAR",IF(COUNTIFS(ASIGNACIONES!$D:$D,$B393,ASIGNACIONES!$H:$H,E393,ASIGNACIONES!$G:$G,$D393,ASIGNACIONES!$J:$J,$F393)=0,"NUEVO","ACTIVO"))))</f>
        <v/>
      </c>
    </row>
    <row r="394">
      <c r="A394" s="30"/>
      <c r="B394" s="35"/>
      <c r="C394" s="32"/>
      <c r="D394" s="36"/>
      <c r="E394" s="36"/>
      <c r="F394" s="34"/>
      <c r="G394" s="24"/>
      <c r="H394" s="24" t="str">
        <f>IF($B394="","",IF($B394="TRANSCARNES","ACTIVO",IF(COUNTIF(RETIROS!E:E,$B394)=1,"PENDIENTE ELIMINAR",IF(COUNTIFS(ASIGNACIONES!$D:$D,$B394,ASIGNACIONES!$H:$H,E394,ASIGNACIONES!$G:$G,$D394,ASIGNACIONES!$J:$J,$F394)=0,"NUEVO","ACTIVO"))))</f>
        <v/>
      </c>
    </row>
    <row r="395">
      <c r="A395" s="30"/>
      <c r="B395" s="35"/>
      <c r="C395" s="32"/>
      <c r="D395" s="36"/>
      <c r="E395" s="36"/>
      <c r="F395" s="34"/>
      <c r="G395" s="24"/>
      <c r="H395" s="24" t="str">
        <f>IF($B395="","",IF($B395="TRANSCARNES","ACTIVO",IF(COUNTIF(RETIROS!E:E,$B395)=1,"PENDIENTE ELIMINAR",IF(COUNTIFS(ASIGNACIONES!$D:$D,$B395,ASIGNACIONES!$H:$H,E395,ASIGNACIONES!$G:$G,$D395,ASIGNACIONES!$J:$J,$F395)=0,"NUEVO","ACTIVO"))))</f>
        <v/>
      </c>
    </row>
    <row r="396">
      <c r="A396" s="30"/>
      <c r="B396" s="35"/>
      <c r="C396" s="32"/>
      <c r="D396" s="36"/>
      <c r="E396" s="36"/>
      <c r="F396" s="34"/>
      <c r="G396" s="24"/>
      <c r="H396" s="24" t="str">
        <f>IF($B396="","",IF($B396="TRANSCARNES","ACTIVO",IF(COUNTIF(RETIROS!E:E,$B396)=1,"PENDIENTE ELIMINAR",IF(COUNTIFS(ASIGNACIONES!$D:$D,$B396,ASIGNACIONES!$H:$H,E396,ASIGNACIONES!$G:$G,$D396,ASIGNACIONES!$J:$J,$F396)=0,"NUEVO","ACTIVO"))))</f>
        <v/>
      </c>
    </row>
    <row r="397">
      <c r="A397" s="30"/>
      <c r="B397" s="35"/>
      <c r="C397" s="32"/>
      <c r="D397" s="36"/>
      <c r="E397" s="36"/>
      <c r="F397" s="34"/>
      <c r="G397" s="24"/>
      <c r="H397" s="24" t="str">
        <f>IF($B397="","",IF($B397="TRANSCARNES","ACTIVO",IF(COUNTIF(RETIROS!E:E,$B397)=1,"PENDIENTE ELIMINAR",IF(COUNTIFS(ASIGNACIONES!$D:$D,$B397,ASIGNACIONES!$H:$H,E397,ASIGNACIONES!$G:$G,$D397,ASIGNACIONES!$J:$J,$F397)=0,"NUEVO","ACTIVO"))))</f>
        <v/>
      </c>
    </row>
    <row r="398">
      <c r="A398" s="30"/>
      <c r="B398" s="35"/>
      <c r="C398" s="32"/>
      <c r="D398" s="36"/>
      <c r="E398" s="36"/>
      <c r="F398" s="34"/>
      <c r="G398" s="24"/>
      <c r="H398" s="24" t="str">
        <f>IF($B398="","",IF($B398="TRANSCARNES","ACTIVO",IF(COUNTIF(RETIROS!E:E,$B398)=1,"PENDIENTE ELIMINAR",IF(COUNTIFS(ASIGNACIONES!$D:$D,$B398,ASIGNACIONES!$H:$H,E398,ASIGNACIONES!$G:$G,$D398,ASIGNACIONES!$J:$J,$F398)=0,"NUEVO","ACTIVO"))))</f>
        <v/>
      </c>
    </row>
    <row r="399">
      <c r="A399" s="30"/>
      <c r="B399" s="35"/>
      <c r="C399" s="32"/>
      <c r="D399" s="36"/>
      <c r="E399" s="36"/>
      <c r="F399" s="34"/>
      <c r="G399" s="24"/>
      <c r="H399" s="24" t="str">
        <f>IF($B399="","",IF($B399="TRANSCARNES","ACTIVO",IF(COUNTIF(RETIROS!E:E,$B399)=1,"PENDIENTE ELIMINAR",IF(COUNTIFS(ASIGNACIONES!$D:$D,$B399,ASIGNACIONES!$H:$H,E399,ASIGNACIONES!$G:$G,$D399,ASIGNACIONES!$J:$J,$F399)=0,"NUEVO","ACTIVO"))))</f>
        <v/>
      </c>
    </row>
    <row r="400">
      <c r="A400" s="30"/>
      <c r="B400" s="35"/>
      <c r="C400" s="32"/>
      <c r="D400" s="36"/>
      <c r="E400" s="36"/>
      <c r="F400" s="34"/>
      <c r="G400" s="24"/>
      <c r="H400" s="24" t="str">
        <f>IF($B400="","",IF($B400="TRANSCARNES","ACTIVO",IF(COUNTIF(RETIROS!E:E,$B400)=1,"PENDIENTE ELIMINAR",IF(COUNTIFS(ASIGNACIONES!$D:$D,$B400,ASIGNACIONES!$H:$H,E400,ASIGNACIONES!$G:$G,$D400,ASIGNACIONES!$J:$J,$F400)=0,"NUEVO","ACTIVO"))))</f>
        <v/>
      </c>
    </row>
    <row r="401">
      <c r="A401" s="30"/>
      <c r="B401" s="35"/>
      <c r="C401" s="32"/>
      <c r="D401" s="36"/>
      <c r="E401" s="36"/>
      <c r="F401" s="34"/>
      <c r="G401" s="24"/>
      <c r="H401" s="24" t="str">
        <f>IF($B401="","",IF($B401="TRANSCARNES","ACTIVO",IF(COUNTIF(RETIROS!E:E,$B401)=1,"PENDIENTE ELIMINAR",IF(COUNTIFS(ASIGNACIONES!$D:$D,$B401,ASIGNACIONES!$H:$H,E401,ASIGNACIONES!$G:$G,$D401,ASIGNACIONES!$J:$J,$F401)=0,"NUEVO","ACTIVO"))))</f>
        <v/>
      </c>
    </row>
    <row r="402">
      <c r="A402" s="30"/>
      <c r="B402" s="35"/>
      <c r="C402" s="32"/>
      <c r="D402" s="36"/>
      <c r="E402" s="36"/>
      <c r="F402" s="34"/>
      <c r="G402" s="24"/>
      <c r="H402" s="24" t="str">
        <f>IF($B402="","",IF($B402="TRANSCARNES","ACTIVO",IF(COUNTIF(RETIROS!E:E,$B402)=1,"PENDIENTE ELIMINAR",IF(COUNTIFS(ASIGNACIONES!$D:$D,$B402,ASIGNACIONES!$H:$H,E402,ASIGNACIONES!$G:$G,$D402,ASIGNACIONES!$J:$J,$F402)=0,"NUEVO","ACTIVO"))))</f>
        <v/>
      </c>
    </row>
    <row r="403">
      <c r="A403" s="30"/>
      <c r="B403" s="35"/>
      <c r="C403" s="32"/>
      <c r="D403" s="36"/>
      <c r="E403" s="36"/>
      <c r="F403" s="34"/>
      <c r="G403" s="24"/>
      <c r="H403" s="24" t="str">
        <f>IF($B403="","",IF($B403="TRANSCARNES","ACTIVO",IF(COUNTIF(RETIROS!E:E,$B403)=1,"PENDIENTE ELIMINAR",IF(COUNTIFS(ASIGNACIONES!$D:$D,$B403,ASIGNACIONES!$H:$H,E403,ASIGNACIONES!$G:$G,$D403,ASIGNACIONES!$J:$J,$F403)=0,"NUEVO","ACTIVO"))))</f>
        <v/>
      </c>
    </row>
    <row r="404">
      <c r="A404" s="30"/>
      <c r="B404" s="35"/>
      <c r="C404" s="32"/>
      <c r="D404" s="36"/>
      <c r="E404" s="36"/>
      <c r="F404" s="34"/>
      <c r="G404" s="24"/>
      <c r="H404" s="24" t="str">
        <f>IF($B404="","",IF($B404="TRANSCARNES","ACTIVO",IF(COUNTIF(RETIROS!E:E,$B404)=1,"PENDIENTE ELIMINAR",IF(COUNTIFS(ASIGNACIONES!$D:$D,$B404,ASIGNACIONES!$H:$H,E404,ASIGNACIONES!$G:$G,$D404,ASIGNACIONES!$J:$J,$F404)=0,"NUEVO","ACTIVO"))))</f>
        <v/>
      </c>
    </row>
    <row r="405">
      <c r="A405" s="30"/>
      <c r="B405" s="35"/>
      <c r="C405" s="32"/>
      <c r="D405" s="36"/>
      <c r="E405" s="36"/>
      <c r="F405" s="34"/>
      <c r="G405" s="24"/>
      <c r="H405" s="24" t="str">
        <f>IF($B405="","",IF($B405="TRANSCARNES","ACTIVO",IF(COUNTIF(RETIROS!E:E,$B405)=1,"PENDIENTE ELIMINAR",IF(COUNTIFS(ASIGNACIONES!$D:$D,$B405,ASIGNACIONES!$H:$H,E405,ASIGNACIONES!$G:$G,$D405,ASIGNACIONES!$J:$J,$F405)=0,"NUEVO","ACTIVO"))))</f>
        <v/>
      </c>
    </row>
    <row r="406">
      <c r="A406" s="30"/>
      <c r="B406" s="35"/>
      <c r="C406" s="32"/>
      <c r="D406" s="36"/>
      <c r="E406" s="36"/>
      <c r="F406" s="34"/>
      <c r="G406" s="24"/>
      <c r="H406" s="24" t="str">
        <f>IF($B406="","",IF($B406="TRANSCARNES","ACTIVO",IF(COUNTIF(RETIROS!E:E,$B406)=1,"PENDIENTE ELIMINAR",IF(COUNTIFS(ASIGNACIONES!$D:$D,$B406,ASIGNACIONES!$H:$H,E406,ASIGNACIONES!$G:$G,$D406,ASIGNACIONES!$J:$J,$F406)=0,"NUEVO","ACTIVO"))))</f>
        <v/>
      </c>
    </row>
    <row r="407">
      <c r="A407" s="30"/>
      <c r="B407" s="35"/>
      <c r="C407" s="32"/>
      <c r="D407" s="36"/>
      <c r="E407" s="36"/>
      <c r="F407" s="34"/>
      <c r="G407" s="24"/>
      <c r="H407" s="24" t="str">
        <f>IF($B407="","",IF($B407="TRANSCARNES","ACTIVO",IF(COUNTIF(RETIROS!E:E,$B407)=1,"PENDIENTE ELIMINAR",IF(COUNTIFS(ASIGNACIONES!$D:$D,$B407,ASIGNACIONES!$H:$H,E407,ASIGNACIONES!$G:$G,$D407,ASIGNACIONES!$J:$J,$F407)=0,"NUEVO","ACTIVO"))))</f>
        <v/>
      </c>
    </row>
    <row r="408">
      <c r="A408" s="30"/>
      <c r="B408" s="35"/>
      <c r="C408" s="32"/>
      <c r="D408" s="36"/>
      <c r="E408" s="36"/>
      <c r="F408" s="34"/>
      <c r="G408" s="24"/>
      <c r="H408" s="24" t="str">
        <f>IF($B408="","",IF($B408="TRANSCARNES","ACTIVO",IF(COUNTIF(RETIROS!E:E,$B408)=1,"PENDIENTE ELIMINAR",IF(COUNTIFS(ASIGNACIONES!$D:$D,$B408,ASIGNACIONES!$H:$H,E408,ASIGNACIONES!$G:$G,$D408,ASIGNACIONES!$J:$J,$F408)=0,"NUEVO","ACTIVO"))))</f>
        <v/>
      </c>
    </row>
    <row r="409">
      <c r="A409" s="30"/>
      <c r="B409" s="35"/>
      <c r="C409" s="32"/>
      <c r="D409" s="36"/>
      <c r="E409" s="36"/>
      <c r="F409" s="34"/>
      <c r="G409" s="24"/>
      <c r="H409" s="24" t="str">
        <f>IF($B409="","",IF($B409="TRANSCARNES","ACTIVO",IF(COUNTIF(RETIROS!E:E,$B409)=1,"PENDIENTE ELIMINAR",IF(COUNTIFS(ASIGNACIONES!$D:$D,$B409,ASIGNACIONES!$H:$H,E409,ASIGNACIONES!$G:$G,$D409,ASIGNACIONES!$J:$J,$F409)=0,"NUEVO","ACTIVO"))))</f>
        <v/>
      </c>
    </row>
    <row r="410">
      <c r="A410" s="30"/>
      <c r="B410" s="35"/>
      <c r="C410" s="32"/>
      <c r="D410" s="36"/>
      <c r="E410" s="36"/>
      <c r="F410" s="34"/>
      <c r="G410" s="24"/>
      <c r="H410" s="24" t="str">
        <f>IF($B410="","",IF($B410="TRANSCARNES","ACTIVO",IF(COUNTIF(RETIROS!E:E,$B410)=1,"PENDIENTE ELIMINAR",IF(COUNTIFS(ASIGNACIONES!$D:$D,$B410,ASIGNACIONES!$H:$H,E410,ASIGNACIONES!$G:$G,$D410,ASIGNACIONES!$J:$J,$F410)=0,"NUEVO","ACTIVO"))))</f>
        <v/>
      </c>
    </row>
    <row r="411">
      <c r="A411" s="30"/>
      <c r="B411" s="35"/>
      <c r="C411" s="32"/>
      <c r="D411" s="36"/>
      <c r="E411" s="36"/>
      <c r="F411" s="34"/>
      <c r="G411" s="24"/>
      <c r="H411" s="24" t="str">
        <f>IF($B411="","",IF($B411="TRANSCARNES","ACTIVO",IF(COUNTIF(RETIROS!E:E,$B411)=1,"PENDIENTE ELIMINAR",IF(COUNTIFS(ASIGNACIONES!$D:$D,$B411,ASIGNACIONES!$H:$H,E411,ASIGNACIONES!$G:$G,$D411,ASIGNACIONES!$J:$J,$F411)=0,"NUEVO","ACTIVO"))))</f>
        <v/>
      </c>
    </row>
    <row r="412">
      <c r="A412" s="30"/>
      <c r="B412" s="35"/>
      <c r="C412" s="32"/>
      <c r="D412" s="36"/>
      <c r="E412" s="36"/>
      <c r="F412" s="34"/>
      <c r="G412" s="24"/>
      <c r="H412" s="24" t="str">
        <f>IF($B412="","",IF($B412="TRANSCARNES","ACTIVO",IF(COUNTIF(RETIROS!E:E,$B412)=1,"PENDIENTE ELIMINAR",IF(COUNTIFS(ASIGNACIONES!$D:$D,$B412,ASIGNACIONES!$H:$H,E412,ASIGNACIONES!$G:$G,$D412,ASIGNACIONES!$J:$J,$F412)=0,"NUEVO","ACTIVO"))))</f>
        <v/>
      </c>
    </row>
    <row r="413">
      <c r="A413" s="30"/>
      <c r="B413" s="35"/>
      <c r="C413" s="32"/>
      <c r="D413" s="36"/>
      <c r="E413" s="36"/>
      <c r="F413" s="34"/>
      <c r="G413" s="24"/>
      <c r="H413" s="24" t="str">
        <f>IF($B413="","",IF($B413="TRANSCARNES","ACTIVO",IF(COUNTIF(RETIROS!E:E,$B413)=1,"PENDIENTE ELIMINAR",IF(COUNTIFS(ASIGNACIONES!$D:$D,$B413,ASIGNACIONES!$H:$H,E413,ASIGNACIONES!$G:$G,$D413,ASIGNACIONES!$J:$J,$F413)=0,"NUEVO","ACTIVO"))))</f>
        <v/>
      </c>
    </row>
    <row r="414">
      <c r="A414" s="30"/>
      <c r="B414" s="35"/>
      <c r="C414" s="32"/>
      <c r="D414" s="36"/>
      <c r="E414" s="36"/>
      <c r="F414" s="34"/>
      <c r="G414" s="24"/>
      <c r="H414" s="24" t="str">
        <f>IF($B414="","",IF($B414="TRANSCARNES","ACTIVO",IF(COUNTIF(RETIROS!E:E,$B414)=1,"PENDIENTE ELIMINAR",IF(COUNTIFS(ASIGNACIONES!$D:$D,$B414,ASIGNACIONES!$H:$H,E414,ASIGNACIONES!$G:$G,$D414,ASIGNACIONES!$J:$J,$F414)=0,"NUEVO","ACTIVO"))))</f>
        <v/>
      </c>
    </row>
    <row r="415">
      <c r="A415" s="30"/>
      <c r="B415" s="35"/>
      <c r="C415" s="32"/>
      <c r="D415" s="36"/>
      <c r="E415" s="36"/>
      <c r="F415" s="34"/>
      <c r="G415" s="24"/>
      <c r="H415" s="24" t="str">
        <f>IF($B415="","",IF($B415="TRANSCARNES","ACTIVO",IF(COUNTIF(RETIROS!E:E,$B415)=1,"PENDIENTE ELIMINAR",IF(COUNTIFS(ASIGNACIONES!$D:$D,$B415,ASIGNACIONES!$H:$H,E415,ASIGNACIONES!$G:$G,$D415,ASIGNACIONES!$J:$J,$F415)=0,"NUEVO","ACTIVO"))))</f>
        <v/>
      </c>
    </row>
    <row r="416">
      <c r="A416" s="30"/>
      <c r="B416" s="35"/>
      <c r="C416" s="32"/>
      <c r="D416" s="36"/>
      <c r="E416" s="36"/>
      <c r="F416" s="34"/>
      <c r="G416" s="24"/>
      <c r="H416" s="24" t="str">
        <f>IF($B416="","",IF($B416="TRANSCARNES","ACTIVO",IF(COUNTIF(RETIROS!E:E,$B416)=1,"PENDIENTE ELIMINAR",IF(COUNTIFS(ASIGNACIONES!$D:$D,$B416,ASIGNACIONES!$H:$H,E416,ASIGNACIONES!$G:$G,$D416,ASIGNACIONES!$J:$J,$F416)=0,"NUEVO","ACTIVO"))))</f>
        <v/>
      </c>
    </row>
    <row r="417">
      <c r="A417" s="30"/>
      <c r="B417" s="35"/>
      <c r="C417" s="32"/>
      <c r="D417" s="36"/>
      <c r="E417" s="36"/>
      <c r="F417" s="34"/>
      <c r="G417" s="24"/>
      <c r="H417" s="24" t="str">
        <f>IF($B417="","",IF($B417="TRANSCARNES","ACTIVO",IF(COUNTIF(RETIROS!E:E,$B417)=1,"PENDIENTE ELIMINAR",IF(COUNTIFS(ASIGNACIONES!$D:$D,$B417,ASIGNACIONES!$H:$H,E417,ASIGNACIONES!$G:$G,$D417,ASIGNACIONES!$J:$J,$F417)=0,"NUEVO","ACTIVO"))))</f>
        <v/>
      </c>
    </row>
    <row r="418">
      <c r="A418" s="30"/>
      <c r="B418" s="35"/>
      <c r="C418" s="32"/>
      <c r="D418" s="36"/>
      <c r="E418" s="36"/>
      <c r="F418" s="34"/>
      <c r="G418" s="24"/>
      <c r="H418" s="24" t="str">
        <f>IF($B418="","",IF($B418="TRANSCARNES","ACTIVO",IF(COUNTIF(RETIROS!E:E,$B418)=1,"PENDIENTE ELIMINAR",IF(COUNTIFS(ASIGNACIONES!$D:$D,$B418,ASIGNACIONES!$H:$H,E418,ASIGNACIONES!$G:$G,$D418,ASIGNACIONES!$J:$J,$F418)=0,"NUEVO","ACTIVO"))))</f>
        <v/>
      </c>
    </row>
    <row r="419">
      <c r="A419" s="30"/>
      <c r="B419" s="35"/>
      <c r="C419" s="32"/>
      <c r="D419" s="36"/>
      <c r="E419" s="36"/>
      <c r="F419" s="34"/>
      <c r="G419" s="24"/>
      <c r="H419" s="24" t="str">
        <f>IF($B419="","",IF($B419="TRANSCARNES","ACTIVO",IF(COUNTIF(RETIROS!E:E,$B419)=1,"PENDIENTE ELIMINAR",IF(COUNTIFS(ASIGNACIONES!$D:$D,$B419,ASIGNACIONES!$H:$H,E419,ASIGNACIONES!$G:$G,$D419,ASIGNACIONES!$J:$J,$F419)=0,"NUEVO","ACTIVO"))))</f>
        <v/>
      </c>
    </row>
    <row r="420">
      <c r="A420" s="30"/>
      <c r="B420" s="35"/>
      <c r="C420" s="32"/>
      <c r="D420" s="36"/>
      <c r="E420" s="36"/>
      <c r="F420" s="34"/>
      <c r="G420" s="24"/>
      <c r="H420" s="24" t="str">
        <f>IF($B420="","",IF($B420="TRANSCARNES","ACTIVO",IF(COUNTIF(RETIROS!E:E,$B420)=1,"PENDIENTE ELIMINAR",IF(COUNTIFS(ASIGNACIONES!$D:$D,$B420,ASIGNACIONES!$H:$H,E420,ASIGNACIONES!$G:$G,$D420,ASIGNACIONES!$J:$J,$F420)=0,"NUEVO","ACTIVO"))))</f>
        <v/>
      </c>
    </row>
    <row r="421">
      <c r="A421" s="30"/>
      <c r="B421" s="35"/>
      <c r="C421" s="32"/>
      <c r="D421" s="36"/>
      <c r="E421" s="36"/>
      <c r="F421" s="34"/>
      <c r="G421" s="24"/>
      <c r="H421" s="24" t="str">
        <f>IF($B421="","",IF($B421="TRANSCARNES","ACTIVO",IF(COUNTIF(RETIROS!E:E,$B421)=1,"PENDIENTE ELIMINAR",IF(COUNTIFS(ASIGNACIONES!$D:$D,$B421,ASIGNACIONES!$H:$H,E421,ASIGNACIONES!$G:$G,$D421,ASIGNACIONES!$J:$J,$F421)=0,"NUEVO","ACTIVO"))))</f>
        <v/>
      </c>
    </row>
    <row r="422">
      <c r="A422" s="30"/>
      <c r="B422" s="35"/>
      <c r="C422" s="32"/>
      <c r="D422" s="36"/>
      <c r="E422" s="36"/>
      <c r="F422" s="34"/>
      <c r="G422" s="24"/>
      <c r="H422" s="24" t="str">
        <f>IF($B422="","",IF($B422="TRANSCARNES","ACTIVO",IF(COUNTIF(RETIROS!E:E,$B422)=1,"PENDIENTE ELIMINAR",IF(COUNTIFS(ASIGNACIONES!$D:$D,$B422,ASIGNACIONES!$H:$H,E422,ASIGNACIONES!$G:$G,$D422,ASIGNACIONES!$J:$J,$F422)=0,"NUEVO","ACTIVO"))))</f>
        <v/>
      </c>
    </row>
    <row r="423">
      <c r="A423" s="30"/>
      <c r="B423" s="35"/>
      <c r="C423" s="32"/>
      <c r="D423" s="36"/>
      <c r="E423" s="36"/>
      <c r="F423" s="34"/>
      <c r="G423" s="24"/>
      <c r="H423" s="24" t="str">
        <f>IF($B423="","",IF($B423="TRANSCARNES","ACTIVO",IF(COUNTIF(RETIROS!E:E,$B423)=1,"PENDIENTE ELIMINAR",IF(COUNTIFS(ASIGNACIONES!$D:$D,$B423,ASIGNACIONES!$H:$H,E423,ASIGNACIONES!$G:$G,$D423,ASIGNACIONES!$J:$J,$F423)=0,"NUEVO","ACTIVO"))))</f>
        <v/>
      </c>
    </row>
    <row r="424">
      <c r="A424" s="30"/>
      <c r="B424" s="35"/>
      <c r="C424" s="32"/>
      <c r="D424" s="36"/>
      <c r="E424" s="36"/>
      <c r="F424" s="34"/>
      <c r="G424" s="24"/>
      <c r="H424" s="24" t="str">
        <f>IF($B424="","",IF($B424="TRANSCARNES","ACTIVO",IF(COUNTIF(RETIROS!E:E,$B424)=1,"PENDIENTE ELIMINAR",IF(COUNTIFS(ASIGNACIONES!$D:$D,$B424,ASIGNACIONES!$H:$H,E424,ASIGNACIONES!$G:$G,$D424,ASIGNACIONES!$J:$J,$F424)=0,"NUEVO","ACTIVO"))))</f>
        <v/>
      </c>
    </row>
    <row r="425">
      <c r="A425" s="30"/>
      <c r="B425" s="35"/>
      <c r="C425" s="32"/>
      <c r="D425" s="36"/>
      <c r="E425" s="36"/>
      <c r="F425" s="34"/>
      <c r="G425" s="24"/>
      <c r="H425" s="24" t="str">
        <f>IF($B425="","",IF($B425="TRANSCARNES","ACTIVO",IF(COUNTIF(RETIROS!E:E,$B425)=1,"PENDIENTE ELIMINAR",IF(COUNTIFS(ASIGNACIONES!$D:$D,$B425,ASIGNACIONES!$H:$H,E425,ASIGNACIONES!$G:$G,$D425,ASIGNACIONES!$J:$J,$F425)=0,"NUEVO","ACTIVO"))))</f>
        <v/>
      </c>
    </row>
    <row r="426">
      <c r="A426" s="30"/>
      <c r="B426" s="35"/>
      <c r="C426" s="32"/>
      <c r="D426" s="36"/>
      <c r="E426" s="36"/>
      <c r="F426" s="34"/>
      <c r="G426" s="24"/>
      <c r="H426" s="24" t="str">
        <f>IF($B426="","",IF($B426="TRANSCARNES","ACTIVO",IF(COUNTIF(RETIROS!E:E,$B426)=1,"PENDIENTE ELIMINAR",IF(COUNTIFS(ASIGNACIONES!$D:$D,$B426,ASIGNACIONES!$H:$H,E426,ASIGNACIONES!$G:$G,$D426,ASIGNACIONES!$J:$J,$F426)=0,"NUEVO","ACTIVO"))))</f>
        <v/>
      </c>
    </row>
    <row r="427">
      <c r="A427" s="30"/>
      <c r="B427" s="35"/>
      <c r="C427" s="32"/>
      <c r="D427" s="36"/>
      <c r="E427" s="36"/>
      <c r="F427" s="34"/>
      <c r="G427" s="24"/>
      <c r="H427" s="24" t="str">
        <f>IF($B427="","",IF($B427="TRANSCARNES","ACTIVO",IF(COUNTIF(RETIROS!E:E,$B427)=1,"PENDIENTE ELIMINAR",IF(COUNTIFS(ASIGNACIONES!$D:$D,$B427,ASIGNACIONES!$H:$H,E427,ASIGNACIONES!$G:$G,$D427,ASIGNACIONES!$J:$J,$F427)=0,"NUEVO","ACTIVO"))))</f>
        <v/>
      </c>
    </row>
    <row r="428">
      <c r="A428" s="30"/>
      <c r="B428" s="35"/>
      <c r="C428" s="32"/>
      <c r="D428" s="36"/>
      <c r="E428" s="36"/>
      <c r="F428" s="34"/>
      <c r="G428" s="24"/>
      <c r="H428" s="24" t="str">
        <f>IF($B428="","",IF($B428="TRANSCARNES","ACTIVO",IF(COUNTIF(RETIROS!E:E,$B428)=1,"PENDIENTE ELIMINAR",IF(COUNTIFS(ASIGNACIONES!$D:$D,$B428,ASIGNACIONES!$H:$H,E428,ASIGNACIONES!$G:$G,$D428,ASIGNACIONES!$J:$J,$F428)=0,"NUEVO","ACTIVO"))))</f>
        <v/>
      </c>
    </row>
    <row r="429">
      <c r="A429" s="30"/>
      <c r="B429" s="35"/>
      <c r="C429" s="32"/>
      <c r="D429" s="36"/>
      <c r="E429" s="36"/>
      <c r="F429" s="34"/>
      <c r="G429" s="24"/>
      <c r="H429" s="24" t="str">
        <f>IF($B429="","",IF($B429="TRANSCARNES","ACTIVO",IF(COUNTIF(RETIROS!E:E,$B429)=1,"PENDIENTE ELIMINAR",IF(COUNTIFS(ASIGNACIONES!$D:$D,$B429,ASIGNACIONES!$H:$H,E429,ASIGNACIONES!$G:$G,$D429,ASIGNACIONES!$J:$J,$F429)=0,"NUEVO","ACTIVO"))))</f>
        <v/>
      </c>
    </row>
    <row r="430">
      <c r="A430" s="30"/>
      <c r="B430" s="35"/>
      <c r="C430" s="32"/>
      <c r="D430" s="36"/>
      <c r="E430" s="36"/>
      <c r="F430" s="34"/>
      <c r="G430" s="24"/>
      <c r="H430" s="24" t="str">
        <f>IF($B430="","",IF($B430="TRANSCARNES","ACTIVO",IF(COUNTIF(RETIROS!E:E,$B430)=1,"PENDIENTE ELIMINAR",IF(COUNTIFS(ASIGNACIONES!$D:$D,$B430,ASIGNACIONES!$H:$H,E430,ASIGNACIONES!$G:$G,$D430,ASIGNACIONES!$J:$J,$F430)=0,"NUEVO","ACTIVO"))))</f>
        <v/>
      </c>
    </row>
    <row r="431">
      <c r="A431" s="30"/>
      <c r="B431" s="35"/>
      <c r="C431" s="32"/>
      <c r="D431" s="36"/>
      <c r="E431" s="36"/>
      <c r="F431" s="34"/>
      <c r="G431" s="24"/>
      <c r="H431" s="24" t="str">
        <f>IF($B431="","",IF($B431="TRANSCARNES","ACTIVO",IF(COUNTIF(RETIROS!E:E,$B431)=1,"PENDIENTE ELIMINAR",IF(COUNTIFS(ASIGNACIONES!$D:$D,$B431,ASIGNACIONES!$H:$H,E431,ASIGNACIONES!$G:$G,$D431,ASIGNACIONES!$J:$J,$F431)=0,"NUEVO","ACTIVO"))))</f>
        <v/>
      </c>
    </row>
    <row r="432">
      <c r="A432" s="30"/>
      <c r="B432" s="35"/>
      <c r="C432" s="32"/>
      <c r="D432" s="36"/>
      <c r="E432" s="36"/>
      <c r="F432" s="34"/>
      <c r="G432" s="24"/>
      <c r="H432" s="24" t="str">
        <f>IF($B432="","",IF($B432="TRANSCARNES","ACTIVO",IF(COUNTIF(RETIROS!E:E,$B432)=1,"PENDIENTE ELIMINAR",IF(COUNTIFS(ASIGNACIONES!$D:$D,$B432,ASIGNACIONES!$H:$H,E432,ASIGNACIONES!$G:$G,$D432,ASIGNACIONES!$J:$J,$F432)=0,"NUEVO","ACTIVO"))))</f>
        <v/>
      </c>
    </row>
    <row r="433">
      <c r="A433" s="30"/>
      <c r="B433" s="35"/>
      <c r="C433" s="32"/>
      <c r="D433" s="36"/>
      <c r="E433" s="36"/>
      <c r="F433" s="34"/>
      <c r="G433" s="24"/>
      <c r="H433" s="24" t="str">
        <f>IF($B433="","",IF($B433="TRANSCARNES","ACTIVO",IF(COUNTIF(RETIROS!E:E,$B433)=1,"PENDIENTE ELIMINAR",IF(COUNTIFS(ASIGNACIONES!$D:$D,$B433,ASIGNACIONES!$H:$H,E433,ASIGNACIONES!$G:$G,$D433,ASIGNACIONES!$J:$J,$F433)=0,"NUEVO","ACTIVO"))))</f>
        <v/>
      </c>
    </row>
    <row r="434">
      <c r="A434" s="30"/>
      <c r="B434" s="35"/>
      <c r="C434" s="32"/>
      <c r="D434" s="36"/>
      <c r="E434" s="36"/>
      <c r="F434" s="34"/>
      <c r="G434" s="24"/>
      <c r="H434" s="24" t="str">
        <f>IF($B434="","",IF($B434="TRANSCARNES","ACTIVO",IF(COUNTIF(RETIROS!E:E,$B434)=1,"PENDIENTE ELIMINAR",IF(COUNTIFS(ASIGNACIONES!$D:$D,$B434,ASIGNACIONES!$H:$H,E434,ASIGNACIONES!$G:$G,$D434,ASIGNACIONES!$J:$J,$F434)=0,"NUEVO","ACTIVO"))))</f>
        <v/>
      </c>
    </row>
    <row r="435">
      <c r="A435" s="30"/>
      <c r="B435" s="35"/>
      <c r="C435" s="32"/>
      <c r="D435" s="36"/>
      <c r="E435" s="36"/>
      <c r="F435" s="34"/>
      <c r="G435" s="24"/>
      <c r="H435" s="24" t="str">
        <f>IF($B435="","",IF($B435="TRANSCARNES","ACTIVO",IF(COUNTIF(RETIROS!E:E,$B435)=1,"PENDIENTE ELIMINAR",IF(COUNTIFS(ASIGNACIONES!$D:$D,$B435,ASIGNACIONES!$H:$H,E435,ASIGNACIONES!$G:$G,$D435,ASIGNACIONES!$J:$J,$F435)=0,"NUEVO","ACTIVO"))))</f>
        <v/>
      </c>
    </row>
    <row r="436">
      <c r="A436" s="30"/>
      <c r="B436" s="35"/>
      <c r="C436" s="32"/>
      <c r="D436" s="36"/>
      <c r="E436" s="36"/>
      <c r="F436" s="34"/>
      <c r="G436" s="24"/>
      <c r="H436" s="24" t="str">
        <f>IF($B436="","",IF($B436="TRANSCARNES","ACTIVO",IF(COUNTIF(RETIROS!E:E,$B436)=1,"PENDIENTE ELIMINAR",IF(COUNTIFS(ASIGNACIONES!$D:$D,$B436,ASIGNACIONES!$H:$H,E436,ASIGNACIONES!$G:$G,$D436,ASIGNACIONES!$J:$J,$F436)=0,"NUEVO","ACTIVO"))))</f>
        <v/>
      </c>
    </row>
    <row r="437">
      <c r="A437" s="30"/>
      <c r="B437" s="35"/>
      <c r="C437" s="32"/>
      <c r="D437" s="36"/>
      <c r="E437" s="36"/>
      <c r="F437" s="34"/>
      <c r="G437" s="24"/>
      <c r="H437" s="24" t="str">
        <f>IF($B437="","",IF($B437="TRANSCARNES","ACTIVO",IF(COUNTIF(RETIROS!E:E,$B437)=1,"PENDIENTE ELIMINAR",IF(COUNTIFS(ASIGNACIONES!$D:$D,$B437,ASIGNACIONES!$H:$H,E437,ASIGNACIONES!$G:$G,$D437,ASIGNACIONES!$J:$J,$F437)=0,"NUEVO","ACTIVO"))))</f>
        <v/>
      </c>
    </row>
    <row r="438">
      <c r="A438" s="30"/>
      <c r="B438" s="35"/>
      <c r="C438" s="32"/>
      <c r="D438" s="36"/>
      <c r="E438" s="36"/>
      <c r="F438" s="34"/>
      <c r="G438" s="24"/>
      <c r="H438" s="24" t="str">
        <f>IF($B438="","",IF($B438="TRANSCARNES","ACTIVO",IF(COUNTIF(RETIROS!E:E,$B438)=1,"PENDIENTE ELIMINAR",IF(COUNTIFS(ASIGNACIONES!$D:$D,$B438,ASIGNACIONES!$H:$H,E438,ASIGNACIONES!$G:$G,$D438,ASIGNACIONES!$J:$J,$F438)=0,"NUEVO","ACTIVO"))))</f>
        <v/>
      </c>
    </row>
    <row r="439">
      <c r="A439" s="30"/>
      <c r="B439" s="35"/>
      <c r="C439" s="32"/>
      <c r="D439" s="36"/>
      <c r="E439" s="36"/>
      <c r="F439" s="34"/>
      <c r="G439" s="24"/>
      <c r="H439" s="24" t="str">
        <f>IF($B439="","",IF($B439="TRANSCARNES","ACTIVO",IF(COUNTIF(RETIROS!E:E,$B439)=1,"PENDIENTE ELIMINAR",IF(COUNTIFS(ASIGNACIONES!$D:$D,$B439,ASIGNACIONES!$H:$H,E439,ASIGNACIONES!$G:$G,$D439,ASIGNACIONES!$J:$J,$F439)=0,"NUEVO","ACTIVO"))))</f>
        <v/>
      </c>
    </row>
    <row r="440">
      <c r="A440" s="30"/>
      <c r="B440" s="35"/>
      <c r="C440" s="32"/>
      <c r="D440" s="36"/>
      <c r="E440" s="36"/>
      <c r="F440" s="34"/>
      <c r="G440" s="24"/>
      <c r="H440" s="24" t="str">
        <f>IF($B440="","",IF($B440="TRANSCARNES","ACTIVO",IF(COUNTIF(RETIROS!E:E,$B440)=1,"PENDIENTE ELIMINAR",IF(COUNTIFS(ASIGNACIONES!$D:$D,$B440,ASIGNACIONES!$H:$H,E440,ASIGNACIONES!$G:$G,$D440,ASIGNACIONES!$J:$J,$F440)=0,"NUEVO","ACTIVO"))))</f>
        <v/>
      </c>
    </row>
    <row r="441">
      <c r="A441" s="30"/>
      <c r="B441" s="35"/>
      <c r="C441" s="32"/>
      <c r="D441" s="36"/>
      <c r="E441" s="36"/>
      <c r="F441" s="34"/>
      <c r="G441" s="24"/>
      <c r="H441" s="24" t="str">
        <f>IF($B441="","",IF($B441="TRANSCARNES","ACTIVO",IF(COUNTIF(RETIROS!E:E,$B441)=1,"PENDIENTE ELIMINAR",IF(COUNTIFS(ASIGNACIONES!$D:$D,$B441,ASIGNACIONES!$H:$H,E441,ASIGNACIONES!$G:$G,$D441,ASIGNACIONES!$J:$J,$F441)=0,"NUEVO","ACTIVO"))))</f>
        <v/>
      </c>
    </row>
    <row r="442">
      <c r="A442" s="30"/>
      <c r="B442" s="35"/>
      <c r="C442" s="32"/>
      <c r="D442" s="36"/>
      <c r="E442" s="36"/>
      <c r="F442" s="34"/>
      <c r="G442" s="24"/>
      <c r="H442" s="24" t="str">
        <f>IF($B442="","",IF($B442="TRANSCARNES","ACTIVO",IF(COUNTIF(RETIROS!E:E,$B442)=1,"PENDIENTE ELIMINAR",IF(COUNTIFS(ASIGNACIONES!$D:$D,$B442,ASIGNACIONES!$H:$H,E442,ASIGNACIONES!$G:$G,$D442,ASIGNACIONES!$J:$J,$F442)=0,"NUEVO","ACTIVO"))))</f>
        <v/>
      </c>
    </row>
    <row r="443">
      <c r="A443" s="30"/>
      <c r="B443" s="35"/>
      <c r="C443" s="32"/>
      <c r="D443" s="36"/>
      <c r="E443" s="36"/>
      <c r="F443" s="34"/>
      <c r="G443" s="24"/>
      <c r="H443" s="24" t="str">
        <f>IF($B443="","",IF($B443="TRANSCARNES","ACTIVO",IF(COUNTIF(RETIROS!E:E,$B443)=1,"PENDIENTE ELIMINAR",IF(COUNTIFS(ASIGNACIONES!$D:$D,$B443,ASIGNACIONES!$H:$H,E443,ASIGNACIONES!$G:$G,$D443,ASIGNACIONES!$J:$J,$F443)=0,"NUEVO","ACTIVO"))))</f>
        <v/>
      </c>
    </row>
    <row r="444">
      <c r="A444" s="30"/>
      <c r="B444" s="35"/>
      <c r="C444" s="32"/>
      <c r="D444" s="36"/>
      <c r="E444" s="36"/>
      <c r="F444" s="34"/>
      <c r="G444" s="24"/>
      <c r="H444" s="24" t="str">
        <f>IF($B444="","",IF($B444="TRANSCARNES","ACTIVO",IF(COUNTIF(RETIROS!E:E,$B444)=1,"PENDIENTE ELIMINAR",IF(COUNTIFS(ASIGNACIONES!$D:$D,$B444,ASIGNACIONES!$H:$H,E444,ASIGNACIONES!$G:$G,$D444,ASIGNACIONES!$J:$J,$F444)=0,"NUEVO","ACTIVO"))))</f>
        <v/>
      </c>
    </row>
    <row r="445">
      <c r="A445" s="30"/>
      <c r="B445" s="35"/>
      <c r="C445" s="32"/>
      <c r="D445" s="36"/>
      <c r="E445" s="36"/>
      <c r="F445" s="34"/>
      <c r="G445" s="24"/>
      <c r="H445" s="24" t="str">
        <f>IF($B445="","",IF($B445="TRANSCARNES","ACTIVO",IF(COUNTIF(RETIROS!E:E,$B445)=1,"PENDIENTE ELIMINAR",IF(COUNTIFS(ASIGNACIONES!$D:$D,$B445,ASIGNACIONES!$H:$H,E445,ASIGNACIONES!$G:$G,$D445,ASIGNACIONES!$J:$J,$F445)=0,"NUEVO","ACTIVO"))))</f>
        <v/>
      </c>
    </row>
    <row r="446">
      <c r="A446" s="30"/>
      <c r="B446" s="35"/>
      <c r="C446" s="32"/>
      <c r="D446" s="36"/>
      <c r="E446" s="36"/>
      <c r="F446" s="34"/>
      <c r="G446" s="24"/>
      <c r="H446" s="24" t="str">
        <f>IF($B446="","",IF($B446="TRANSCARNES","ACTIVO",IF(COUNTIF(RETIROS!E:E,$B446)=1,"PENDIENTE ELIMINAR",IF(COUNTIFS(ASIGNACIONES!$D:$D,$B446,ASIGNACIONES!$H:$H,E446,ASIGNACIONES!$G:$G,$D446,ASIGNACIONES!$J:$J,$F446)=0,"NUEVO","ACTIVO"))))</f>
        <v/>
      </c>
    </row>
    <row r="447">
      <c r="A447" s="30"/>
      <c r="B447" s="35"/>
      <c r="C447" s="32"/>
      <c r="D447" s="36"/>
      <c r="E447" s="36"/>
      <c r="F447" s="34"/>
      <c r="G447" s="24"/>
      <c r="H447" s="24" t="str">
        <f>IF($B447="","",IF($B447="TRANSCARNES","ACTIVO",IF(COUNTIF(RETIROS!E:E,$B447)=1,"PENDIENTE ELIMINAR",IF(COUNTIFS(ASIGNACIONES!$D:$D,$B447,ASIGNACIONES!$H:$H,E447,ASIGNACIONES!$G:$G,$D447,ASIGNACIONES!$J:$J,$F447)=0,"NUEVO","ACTIVO"))))</f>
        <v/>
      </c>
    </row>
    <row r="448">
      <c r="A448" s="30"/>
      <c r="B448" s="35"/>
      <c r="C448" s="32"/>
      <c r="D448" s="36"/>
      <c r="E448" s="36"/>
      <c r="F448" s="34"/>
      <c r="G448" s="24"/>
      <c r="H448" s="24" t="str">
        <f>IF($B448="","",IF($B448="TRANSCARNES","ACTIVO",IF(COUNTIF(RETIROS!E:E,$B448)=1,"PENDIENTE ELIMINAR",IF(COUNTIFS(ASIGNACIONES!$D:$D,$B448,ASIGNACIONES!$H:$H,E448,ASIGNACIONES!$G:$G,$D448,ASIGNACIONES!$J:$J,$F448)=0,"NUEVO","ACTIVO"))))</f>
        <v/>
      </c>
    </row>
    <row r="449">
      <c r="A449" s="30"/>
      <c r="B449" s="35"/>
      <c r="C449" s="32"/>
      <c r="D449" s="36"/>
      <c r="E449" s="36"/>
      <c r="F449" s="34"/>
      <c r="G449" s="24"/>
      <c r="H449" s="24" t="str">
        <f>IF($B449="","",IF($B449="TRANSCARNES","ACTIVO",IF(COUNTIF(RETIROS!E:E,$B449)=1,"PENDIENTE ELIMINAR",IF(COUNTIFS(ASIGNACIONES!$D:$D,$B449,ASIGNACIONES!$H:$H,E449,ASIGNACIONES!$G:$G,$D449,ASIGNACIONES!$J:$J,$F449)=0,"NUEVO","ACTIVO"))))</f>
        <v/>
      </c>
    </row>
    <row r="450">
      <c r="A450" s="30"/>
      <c r="B450" s="35"/>
      <c r="C450" s="32"/>
      <c r="D450" s="36"/>
      <c r="E450" s="36"/>
      <c r="F450" s="34"/>
      <c r="G450" s="24"/>
      <c r="H450" s="24" t="str">
        <f>IF($B450="","",IF($B450="TRANSCARNES","ACTIVO",IF(COUNTIF(RETIROS!E:E,$B450)=1,"PENDIENTE ELIMINAR",IF(COUNTIFS(ASIGNACIONES!$D:$D,$B450,ASIGNACIONES!$H:$H,E450,ASIGNACIONES!$G:$G,$D450,ASIGNACIONES!$J:$J,$F450)=0,"NUEVO","ACTIVO"))))</f>
        <v/>
      </c>
    </row>
    <row r="451">
      <c r="A451" s="30"/>
      <c r="B451" s="35"/>
      <c r="C451" s="32"/>
      <c r="D451" s="36"/>
      <c r="E451" s="36"/>
      <c r="F451" s="34"/>
      <c r="G451" s="24"/>
      <c r="H451" s="24" t="str">
        <f>IF($B451="","",IF($B451="TRANSCARNES","ACTIVO",IF(COUNTIF(RETIROS!E:E,$B451)=1,"PENDIENTE ELIMINAR",IF(COUNTIFS(ASIGNACIONES!$D:$D,$B451,ASIGNACIONES!$H:$H,E451,ASIGNACIONES!$G:$G,$D451,ASIGNACIONES!$J:$J,$F451)=0,"NUEVO","ACTIVO"))))</f>
        <v/>
      </c>
    </row>
    <row r="452">
      <c r="A452" s="30"/>
      <c r="B452" s="35"/>
      <c r="C452" s="32"/>
      <c r="D452" s="36"/>
      <c r="E452" s="36"/>
      <c r="F452" s="34"/>
      <c r="G452" s="24"/>
      <c r="H452" s="24" t="str">
        <f>IF($B452="","",IF($B452="TRANSCARNES","ACTIVO",IF(COUNTIF(RETIROS!E:E,$B452)=1,"PENDIENTE ELIMINAR",IF(COUNTIFS(ASIGNACIONES!$D:$D,$B452,ASIGNACIONES!$H:$H,E452,ASIGNACIONES!$G:$G,$D452,ASIGNACIONES!$J:$J,$F452)=0,"NUEVO","ACTIVO"))))</f>
        <v/>
      </c>
    </row>
    <row r="453">
      <c r="A453" s="30"/>
      <c r="B453" s="35"/>
      <c r="C453" s="32"/>
      <c r="D453" s="36"/>
      <c r="E453" s="36"/>
      <c r="F453" s="34"/>
      <c r="G453" s="24"/>
      <c r="H453" s="24" t="str">
        <f>IF($B453="","",IF($B453="TRANSCARNES","ACTIVO",IF(COUNTIF(RETIROS!E:E,$B453)=1,"PENDIENTE ELIMINAR",IF(COUNTIFS(ASIGNACIONES!$D:$D,$B453,ASIGNACIONES!$H:$H,E453,ASIGNACIONES!$G:$G,$D453,ASIGNACIONES!$J:$J,$F453)=0,"NUEVO","ACTIVO"))))</f>
        <v/>
      </c>
    </row>
    <row r="454">
      <c r="A454" s="30"/>
      <c r="B454" s="35"/>
      <c r="C454" s="32"/>
      <c r="D454" s="36"/>
      <c r="E454" s="36"/>
      <c r="F454" s="34"/>
      <c r="G454" s="24"/>
      <c r="H454" s="24" t="str">
        <f>IF($B454="","",IF($B454="TRANSCARNES","ACTIVO",IF(COUNTIF(RETIROS!E:E,$B454)=1,"PENDIENTE ELIMINAR",IF(COUNTIFS(ASIGNACIONES!$D:$D,$B454,ASIGNACIONES!$H:$H,E454,ASIGNACIONES!$G:$G,$D454,ASIGNACIONES!$J:$J,$F454)=0,"NUEVO","ACTIVO"))))</f>
        <v/>
      </c>
    </row>
    <row r="455">
      <c r="A455" s="30"/>
      <c r="B455" s="35"/>
      <c r="C455" s="32"/>
      <c r="D455" s="36"/>
      <c r="E455" s="36"/>
      <c r="F455" s="34"/>
      <c r="G455" s="24"/>
      <c r="H455" s="24" t="str">
        <f>IF($B455="","",IF($B455="TRANSCARNES","ACTIVO",IF(COUNTIF(RETIROS!E:E,$B455)=1,"PENDIENTE ELIMINAR",IF(COUNTIFS(ASIGNACIONES!$D:$D,$B455,ASIGNACIONES!$H:$H,E455,ASIGNACIONES!$G:$G,$D455,ASIGNACIONES!$J:$J,$F455)=0,"NUEVO","ACTIVO"))))</f>
        <v/>
      </c>
    </row>
    <row r="456">
      <c r="A456" s="30"/>
      <c r="B456" s="35"/>
      <c r="C456" s="32"/>
      <c r="D456" s="36"/>
      <c r="E456" s="36"/>
      <c r="F456" s="34"/>
      <c r="G456" s="24"/>
      <c r="H456" s="24" t="str">
        <f>IF($B456="","",IF($B456="TRANSCARNES","ACTIVO",IF(COUNTIF(RETIROS!E:E,$B456)=1,"PENDIENTE ELIMINAR",IF(COUNTIFS(ASIGNACIONES!$D:$D,$B456,ASIGNACIONES!$H:$H,E456,ASIGNACIONES!$G:$G,$D456,ASIGNACIONES!$J:$J,$F456)=0,"NUEVO","ACTIVO"))))</f>
        <v/>
      </c>
    </row>
    <row r="457">
      <c r="A457" s="30"/>
      <c r="B457" s="35"/>
      <c r="C457" s="32"/>
      <c r="D457" s="36"/>
      <c r="E457" s="36"/>
      <c r="F457" s="34"/>
      <c r="G457" s="24"/>
      <c r="H457" s="24" t="str">
        <f>IF($B457="","",IF($B457="TRANSCARNES","ACTIVO",IF(COUNTIF(RETIROS!E:E,$B457)=1,"PENDIENTE ELIMINAR",IF(COUNTIFS(ASIGNACIONES!$D:$D,$B457,ASIGNACIONES!$H:$H,E457,ASIGNACIONES!$G:$G,$D457,ASIGNACIONES!$J:$J,$F457)=0,"NUEVO","ACTIVO"))))</f>
        <v/>
      </c>
    </row>
    <row r="458">
      <c r="A458" s="30"/>
      <c r="B458" s="35"/>
      <c r="C458" s="32"/>
      <c r="D458" s="36"/>
      <c r="E458" s="36"/>
      <c r="F458" s="34"/>
      <c r="G458" s="24"/>
      <c r="H458" s="24" t="str">
        <f>IF($B458="","",IF($B458="TRANSCARNES","ACTIVO",IF(COUNTIF(RETIROS!E:E,$B458)=1,"PENDIENTE ELIMINAR",IF(COUNTIFS(ASIGNACIONES!$D:$D,$B458,ASIGNACIONES!$H:$H,E458,ASIGNACIONES!$G:$G,$D458,ASIGNACIONES!$J:$J,$F458)=0,"NUEVO","ACTIVO"))))</f>
        <v/>
      </c>
    </row>
    <row r="459">
      <c r="A459" s="30"/>
      <c r="B459" s="35"/>
      <c r="C459" s="32"/>
      <c r="D459" s="36"/>
      <c r="E459" s="36"/>
      <c r="F459" s="34"/>
      <c r="G459" s="24"/>
      <c r="H459" s="24" t="str">
        <f>IF($B459="","",IF($B459="TRANSCARNES","ACTIVO",IF(COUNTIF(RETIROS!E:E,$B459)=1,"PENDIENTE ELIMINAR",IF(COUNTIFS(ASIGNACIONES!$D:$D,$B459,ASIGNACIONES!$H:$H,E459,ASIGNACIONES!$G:$G,$D459,ASIGNACIONES!$J:$J,$F459)=0,"NUEVO","ACTIVO"))))</f>
        <v/>
      </c>
    </row>
    <row r="460">
      <c r="A460" s="30"/>
      <c r="B460" s="35"/>
      <c r="C460" s="32"/>
      <c r="D460" s="36"/>
      <c r="E460" s="36"/>
      <c r="F460" s="34"/>
      <c r="G460" s="24"/>
      <c r="H460" s="24" t="str">
        <f>IF($B460="","",IF($B460="TRANSCARNES","ACTIVO",IF(COUNTIF(RETIROS!E:E,$B460)=1,"PENDIENTE ELIMINAR",IF(COUNTIFS(ASIGNACIONES!$D:$D,$B460,ASIGNACIONES!$H:$H,E460,ASIGNACIONES!$G:$G,$D460,ASIGNACIONES!$J:$J,$F460)=0,"NUEVO","ACTIVO"))))</f>
        <v/>
      </c>
    </row>
    <row r="461">
      <c r="A461" s="30"/>
      <c r="B461" s="35"/>
      <c r="C461" s="32"/>
      <c r="D461" s="36"/>
      <c r="E461" s="36"/>
      <c r="F461" s="34"/>
      <c r="G461" s="24"/>
      <c r="H461" s="24" t="str">
        <f>IF($B461="","",IF($B461="TRANSCARNES","ACTIVO",IF(COUNTIF(RETIROS!E:E,$B461)=1,"PENDIENTE ELIMINAR",IF(COUNTIFS(ASIGNACIONES!$D:$D,$B461,ASIGNACIONES!$H:$H,E461,ASIGNACIONES!$G:$G,$D461,ASIGNACIONES!$J:$J,$F461)=0,"NUEVO","ACTIVO"))))</f>
        <v/>
      </c>
    </row>
    <row r="462">
      <c r="A462" s="30"/>
      <c r="B462" s="35"/>
      <c r="C462" s="32"/>
      <c r="D462" s="36"/>
      <c r="E462" s="36"/>
      <c r="F462" s="34"/>
      <c r="G462" s="24"/>
      <c r="H462" s="24" t="str">
        <f>IF($B462="","",IF($B462="TRANSCARNES","ACTIVO",IF(COUNTIF(RETIROS!E:E,$B462)=1,"PENDIENTE ELIMINAR",IF(COUNTIFS(ASIGNACIONES!$D:$D,$B462,ASIGNACIONES!$H:$H,E462,ASIGNACIONES!$G:$G,$D462,ASIGNACIONES!$J:$J,$F462)=0,"NUEVO","ACTIVO"))))</f>
        <v/>
      </c>
    </row>
    <row r="463">
      <c r="A463" s="30"/>
      <c r="B463" s="35"/>
      <c r="C463" s="32"/>
      <c r="D463" s="36"/>
      <c r="E463" s="36"/>
      <c r="F463" s="34"/>
      <c r="G463" s="24"/>
      <c r="H463" s="24" t="str">
        <f>IF($B463="","",IF($B463="TRANSCARNES","ACTIVO",IF(COUNTIF(RETIROS!E:E,$B463)=1,"PENDIENTE ELIMINAR",IF(COUNTIFS(ASIGNACIONES!$D:$D,$B463,ASIGNACIONES!$H:$H,E463,ASIGNACIONES!$G:$G,$D463,ASIGNACIONES!$J:$J,$F463)=0,"NUEVO","ACTIVO"))))</f>
        <v/>
      </c>
    </row>
    <row r="464">
      <c r="A464" s="30"/>
      <c r="B464" s="35"/>
      <c r="C464" s="32"/>
      <c r="D464" s="36"/>
      <c r="E464" s="36"/>
      <c r="F464" s="34"/>
      <c r="G464" s="24"/>
      <c r="H464" s="24" t="str">
        <f>IF($B464="","",IF($B464="TRANSCARNES","ACTIVO",IF(COUNTIF(RETIROS!E:E,$B464)=1,"PENDIENTE ELIMINAR",IF(COUNTIFS(ASIGNACIONES!$D:$D,$B464,ASIGNACIONES!$H:$H,E464,ASIGNACIONES!$G:$G,$D464,ASIGNACIONES!$J:$J,$F464)=0,"NUEVO","ACTIVO"))))</f>
        <v/>
      </c>
    </row>
    <row r="465">
      <c r="A465" s="30"/>
      <c r="B465" s="35"/>
      <c r="C465" s="32"/>
      <c r="D465" s="36"/>
      <c r="E465" s="36"/>
      <c r="F465" s="34"/>
      <c r="G465" s="24"/>
      <c r="H465" s="24" t="str">
        <f>IF($B465="","",IF($B465="TRANSCARNES","ACTIVO",IF(COUNTIF(RETIROS!E:E,$B465)=1,"PENDIENTE ELIMINAR",IF(COUNTIFS(ASIGNACIONES!$D:$D,$B465,ASIGNACIONES!$H:$H,E465,ASIGNACIONES!$G:$G,$D465,ASIGNACIONES!$J:$J,$F465)=0,"NUEVO","ACTIVO"))))</f>
        <v/>
      </c>
    </row>
    <row r="466">
      <c r="A466" s="30"/>
      <c r="B466" s="35"/>
      <c r="C466" s="32"/>
      <c r="D466" s="36"/>
      <c r="E466" s="36"/>
      <c r="F466" s="34"/>
      <c r="G466" s="24"/>
      <c r="H466" s="24" t="str">
        <f>IF($B466="","",IF($B466="TRANSCARNES","ACTIVO",IF(COUNTIF(RETIROS!E:E,$B466)=1,"PENDIENTE ELIMINAR",IF(COUNTIFS(ASIGNACIONES!$D:$D,$B466,ASIGNACIONES!$H:$H,E466,ASIGNACIONES!$G:$G,$D466,ASIGNACIONES!$J:$J,$F466)=0,"NUEVO","ACTIVO"))))</f>
        <v/>
      </c>
    </row>
    <row r="467">
      <c r="A467" s="30"/>
      <c r="B467" s="35"/>
      <c r="C467" s="32"/>
      <c r="D467" s="36"/>
      <c r="E467" s="36"/>
      <c r="F467" s="34"/>
      <c r="G467" s="24"/>
      <c r="H467" s="24" t="str">
        <f>IF($B467="","",IF($B467="TRANSCARNES","ACTIVO",IF(COUNTIF(RETIROS!E:E,$B467)=1,"PENDIENTE ELIMINAR",IF(COUNTIFS(ASIGNACIONES!$D:$D,$B467,ASIGNACIONES!$H:$H,E467,ASIGNACIONES!$G:$G,$D467,ASIGNACIONES!$J:$J,$F467)=0,"NUEVO","ACTIVO"))))</f>
        <v/>
      </c>
    </row>
    <row r="468">
      <c r="A468" s="30"/>
      <c r="B468" s="35"/>
      <c r="C468" s="32"/>
      <c r="D468" s="36"/>
      <c r="E468" s="36"/>
      <c r="F468" s="34"/>
      <c r="G468" s="24"/>
      <c r="H468" s="24" t="str">
        <f>IF($B468="","",IF($B468="TRANSCARNES","ACTIVO",IF(COUNTIF(RETIROS!E:E,$B468)=1,"PENDIENTE ELIMINAR",IF(COUNTIFS(ASIGNACIONES!$D:$D,$B468,ASIGNACIONES!$H:$H,E468,ASIGNACIONES!$G:$G,$D468,ASIGNACIONES!$J:$J,$F468)=0,"NUEVO","ACTIVO"))))</f>
        <v/>
      </c>
    </row>
    <row r="469">
      <c r="A469" s="30"/>
      <c r="B469" s="35"/>
      <c r="C469" s="32"/>
      <c r="D469" s="36"/>
      <c r="E469" s="36"/>
      <c r="F469" s="34"/>
      <c r="G469" s="24"/>
      <c r="H469" s="24" t="str">
        <f>IF($B469="","",IF($B469="TRANSCARNES","ACTIVO",IF(COUNTIF(RETIROS!E:E,$B469)=1,"PENDIENTE ELIMINAR",IF(COUNTIFS(ASIGNACIONES!$D:$D,$B469,ASIGNACIONES!$H:$H,E469,ASIGNACIONES!$G:$G,$D469,ASIGNACIONES!$J:$J,$F469)=0,"NUEVO","ACTIVO"))))</f>
        <v/>
      </c>
    </row>
    <row r="470">
      <c r="A470" s="30"/>
      <c r="B470" s="35"/>
      <c r="C470" s="32"/>
      <c r="D470" s="36"/>
      <c r="E470" s="36"/>
      <c r="F470" s="34"/>
      <c r="G470" s="24"/>
      <c r="H470" s="24" t="str">
        <f>IF($B470="","",IF($B470="TRANSCARNES","ACTIVO",IF(COUNTIF(RETIROS!E:E,$B470)=1,"PENDIENTE ELIMINAR",IF(COUNTIFS(ASIGNACIONES!$D:$D,$B470,ASIGNACIONES!$H:$H,E470,ASIGNACIONES!$G:$G,$D470,ASIGNACIONES!$J:$J,$F470)=0,"NUEVO","ACTIVO"))))</f>
        <v/>
      </c>
    </row>
    <row r="471">
      <c r="A471" s="30"/>
      <c r="B471" s="35"/>
      <c r="C471" s="32"/>
      <c r="D471" s="36"/>
      <c r="E471" s="36"/>
      <c r="F471" s="34"/>
      <c r="G471" s="24"/>
      <c r="H471" s="24" t="str">
        <f>IF($B471="","",IF($B471="TRANSCARNES","ACTIVO",IF(COUNTIF(RETIROS!E:E,$B471)=1,"PENDIENTE ELIMINAR",IF(COUNTIFS(ASIGNACIONES!$D:$D,$B471,ASIGNACIONES!$H:$H,E471,ASIGNACIONES!$G:$G,$D471,ASIGNACIONES!$J:$J,$F471)=0,"NUEVO","ACTIVO"))))</f>
        <v/>
      </c>
    </row>
    <row r="472">
      <c r="A472" s="30"/>
      <c r="B472" s="35"/>
      <c r="C472" s="32"/>
      <c r="D472" s="36"/>
      <c r="E472" s="36"/>
      <c r="F472" s="34"/>
      <c r="G472" s="24"/>
      <c r="H472" s="24" t="str">
        <f>IF($B472="","",IF($B472="TRANSCARNES","ACTIVO",IF(COUNTIF(RETIROS!E:E,$B472)=1,"PENDIENTE ELIMINAR",IF(COUNTIFS(ASIGNACIONES!$D:$D,$B472,ASIGNACIONES!$H:$H,E472,ASIGNACIONES!$G:$G,$D472,ASIGNACIONES!$J:$J,$F472)=0,"NUEVO","ACTIVO"))))</f>
        <v/>
      </c>
    </row>
    <row r="473">
      <c r="A473" s="30"/>
      <c r="B473" s="35"/>
      <c r="C473" s="32"/>
      <c r="D473" s="36"/>
      <c r="E473" s="36"/>
      <c r="F473" s="34"/>
      <c r="G473" s="24"/>
      <c r="H473" s="24" t="str">
        <f>IF($B473="","",IF($B473="TRANSCARNES","ACTIVO",IF(COUNTIF(RETIROS!E:E,$B473)=1,"PENDIENTE ELIMINAR",IF(COUNTIFS(ASIGNACIONES!$D:$D,$B473,ASIGNACIONES!$H:$H,E473,ASIGNACIONES!$G:$G,$D473,ASIGNACIONES!$J:$J,$F473)=0,"NUEVO","ACTIVO"))))</f>
        <v/>
      </c>
    </row>
    <row r="474">
      <c r="A474" s="30"/>
      <c r="B474" s="35"/>
      <c r="C474" s="32"/>
      <c r="D474" s="36"/>
      <c r="E474" s="36"/>
      <c r="F474" s="34"/>
      <c r="G474" s="24"/>
      <c r="H474" s="24" t="str">
        <f>IF($B474="","",IF($B474="TRANSCARNES","ACTIVO",IF(COUNTIF(RETIROS!E:E,$B474)=1,"PENDIENTE ELIMINAR",IF(COUNTIFS(ASIGNACIONES!$D:$D,$B474,ASIGNACIONES!$H:$H,E474,ASIGNACIONES!$G:$G,$D474,ASIGNACIONES!$J:$J,$F474)=0,"NUEVO","ACTIVO"))))</f>
        <v/>
      </c>
    </row>
    <row r="475">
      <c r="A475" s="30"/>
      <c r="B475" s="35"/>
      <c r="C475" s="32"/>
      <c r="D475" s="36"/>
      <c r="E475" s="36"/>
      <c r="F475" s="34"/>
      <c r="G475" s="24"/>
      <c r="H475" s="24" t="str">
        <f>IF($B475="","",IF($B475="TRANSCARNES","ACTIVO",IF(COUNTIF(RETIROS!E:E,$B475)=1,"PENDIENTE ELIMINAR",IF(COUNTIFS(ASIGNACIONES!$D:$D,$B475,ASIGNACIONES!$H:$H,E475,ASIGNACIONES!$G:$G,$D475,ASIGNACIONES!$J:$J,$F475)=0,"NUEVO","ACTIVO"))))</f>
        <v/>
      </c>
    </row>
    <row r="476">
      <c r="A476" s="30"/>
      <c r="B476" s="35"/>
      <c r="C476" s="32"/>
      <c r="D476" s="36"/>
      <c r="E476" s="36"/>
      <c r="F476" s="34"/>
      <c r="G476" s="24"/>
      <c r="H476" s="24" t="str">
        <f>IF($B476="","",IF($B476="TRANSCARNES","ACTIVO",IF(COUNTIF(RETIROS!E:E,$B476)=1,"PENDIENTE ELIMINAR",IF(COUNTIFS(ASIGNACIONES!$D:$D,$B476,ASIGNACIONES!$H:$H,E476,ASIGNACIONES!$G:$G,$D476,ASIGNACIONES!$J:$J,$F476)=0,"NUEVO","ACTIVO"))))</f>
        <v/>
      </c>
    </row>
    <row r="477">
      <c r="A477" s="30"/>
      <c r="B477" s="35"/>
      <c r="C477" s="32"/>
      <c r="D477" s="36"/>
      <c r="E477" s="36"/>
      <c r="F477" s="34"/>
      <c r="G477" s="24"/>
      <c r="H477" s="24" t="str">
        <f>IF($B477="","",IF($B477="TRANSCARNES","ACTIVO",IF(COUNTIF(RETIROS!E:E,$B477)=1,"PENDIENTE ELIMINAR",IF(COUNTIFS(ASIGNACIONES!$D:$D,$B477,ASIGNACIONES!$H:$H,E477,ASIGNACIONES!$G:$G,$D477,ASIGNACIONES!$J:$J,$F477)=0,"NUEVO","ACTIVO"))))</f>
        <v/>
      </c>
    </row>
    <row r="478">
      <c r="A478" s="30"/>
      <c r="B478" s="35"/>
      <c r="C478" s="32"/>
      <c r="D478" s="36"/>
      <c r="E478" s="36"/>
      <c r="F478" s="34"/>
      <c r="G478" s="24"/>
      <c r="H478" s="24" t="str">
        <f>IF($B478="","",IF($B478="TRANSCARNES","ACTIVO",IF(COUNTIF(RETIROS!E:E,$B478)=1,"PENDIENTE ELIMINAR",IF(COUNTIFS(ASIGNACIONES!$D:$D,$B478,ASIGNACIONES!$H:$H,E478,ASIGNACIONES!$G:$G,$D478,ASIGNACIONES!$J:$J,$F478)=0,"NUEVO","ACTIVO"))))</f>
        <v/>
      </c>
    </row>
    <row r="479">
      <c r="A479" s="30"/>
      <c r="B479" s="35"/>
      <c r="C479" s="32"/>
      <c r="D479" s="36"/>
      <c r="E479" s="36"/>
      <c r="F479" s="34"/>
      <c r="G479" s="24"/>
      <c r="H479" s="24" t="str">
        <f>IF($B479="","",IF($B479="TRANSCARNES","ACTIVO",IF(COUNTIF(RETIROS!E:E,$B479)=1,"PENDIENTE ELIMINAR",IF(COUNTIFS(ASIGNACIONES!$D:$D,$B479,ASIGNACIONES!$H:$H,E479,ASIGNACIONES!$G:$G,$D479,ASIGNACIONES!$J:$J,$F479)=0,"NUEVO","ACTIVO"))))</f>
        <v/>
      </c>
    </row>
    <row r="480">
      <c r="A480" s="30"/>
      <c r="B480" s="35"/>
      <c r="C480" s="32"/>
      <c r="D480" s="36"/>
      <c r="E480" s="36"/>
      <c r="F480" s="34"/>
      <c r="G480" s="24"/>
      <c r="H480" s="24" t="str">
        <f>IF($B480="","",IF($B480="TRANSCARNES","ACTIVO",IF(COUNTIF(RETIROS!E:E,$B480)=1,"PENDIENTE ELIMINAR",IF(COUNTIFS(ASIGNACIONES!$D:$D,$B480,ASIGNACIONES!$H:$H,E480,ASIGNACIONES!$G:$G,$D480,ASIGNACIONES!$J:$J,$F480)=0,"NUEVO","ACTIVO"))))</f>
        <v/>
      </c>
    </row>
    <row r="481">
      <c r="A481" s="30"/>
      <c r="B481" s="35"/>
      <c r="C481" s="32"/>
      <c r="D481" s="36"/>
      <c r="E481" s="36"/>
      <c r="F481" s="34"/>
      <c r="G481" s="24"/>
      <c r="H481" s="24" t="str">
        <f>IF($B481="","",IF($B481="TRANSCARNES","ACTIVO",IF(COUNTIF(RETIROS!E:E,$B481)=1,"PENDIENTE ELIMINAR",IF(COUNTIFS(ASIGNACIONES!$D:$D,$B481,ASIGNACIONES!$H:$H,E481,ASIGNACIONES!$G:$G,$D481,ASIGNACIONES!$J:$J,$F481)=0,"NUEVO","ACTIVO"))))</f>
        <v/>
      </c>
    </row>
    <row r="482">
      <c r="A482" s="30"/>
      <c r="B482" s="35"/>
      <c r="C482" s="32"/>
      <c r="D482" s="36"/>
      <c r="E482" s="36"/>
      <c r="F482" s="34"/>
      <c r="G482" s="24"/>
      <c r="H482" s="24" t="str">
        <f>IF($B482="","",IF($B482="TRANSCARNES","ACTIVO",IF(COUNTIF(RETIROS!E:E,$B482)=1,"PENDIENTE ELIMINAR",IF(COUNTIFS(ASIGNACIONES!$D:$D,$B482,ASIGNACIONES!$H:$H,E482,ASIGNACIONES!$G:$G,$D482,ASIGNACIONES!$J:$J,$F482)=0,"NUEVO","ACTIVO"))))</f>
        <v/>
      </c>
    </row>
    <row r="483">
      <c r="A483" s="30"/>
      <c r="B483" s="35"/>
      <c r="C483" s="32"/>
      <c r="D483" s="36"/>
      <c r="E483" s="36"/>
      <c r="F483" s="34"/>
      <c r="G483" s="24"/>
      <c r="H483" s="24" t="str">
        <f>IF($B483="","",IF($B483="TRANSCARNES","ACTIVO",IF(COUNTIF(RETIROS!E:E,$B483)=1,"PENDIENTE ELIMINAR",IF(COUNTIFS(ASIGNACIONES!$D:$D,$B483,ASIGNACIONES!$H:$H,E483,ASIGNACIONES!$G:$G,$D483,ASIGNACIONES!$J:$J,$F483)=0,"NUEVO","ACTIVO"))))</f>
        <v/>
      </c>
    </row>
    <row r="484">
      <c r="A484" s="30"/>
      <c r="B484" s="35"/>
      <c r="C484" s="32"/>
      <c r="D484" s="36"/>
      <c r="E484" s="36"/>
      <c r="F484" s="34"/>
      <c r="G484" s="24"/>
      <c r="H484" s="24" t="str">
        <f>IF($B484="","",IF($B484="TRANSCARNES","ACTIVO",IF(COUNTIF(RETIROS!E:E,$B484)=1,"PENDIENTE ELIMINAR",IF(COUNTIFS(ASIGNACIONES!$D:$D,$B484,ASIGNACIONES!$H:$H,E484,ASIGNACIONES!$G:$G,$D484,ASIGNACIONES!$J:$J,$F484)=0,"NUEVO","ACTIVO"))))</f>
        <v/>
      </c>
    </row>
    <row r="485">
      <c r="A485" s="30"/>
      <c r="B485" s="35"/>
      <c r="C485" s="32"/>
      <c r="D485" s="36"/>
      <c r="E485" s="36"/>
      <c r="F485" s="34"/>
      <c r="G485" s="24"/>
      <c r="H485" s="24" t="str">
        <f>IF($B485="","",IF($B485="TRANSCARNES","ACTIVO",IF(COUNTIF(RETIROS!E:E,$B485)=1,"PENDIENTE ELIMINAR",IF(COUNTIFS(ASIGNACIONES!$D:$D,$B485,ASIGNACIONES!$H:$H,E485,ASIGNACIONES!$G:$G,$D485,ASIGNACIONES!$J:$J,$F485)=0,"NUEVO","ACTIVO"))))</f>
        <v/>
      </c>
    </row>
    <row r="486">
      <c r="A486" s="30"/>
      <c r="B486" s="35"/>
      <c r="C486" s="32"/>
      <c r="D486" s="36"/>
      <c r="E486" s="36"/>
      <c r="F486" s="34"/>
      <c r="G486" s="24"/>
      <c r="H486" s="24" t="str">
        <f>IF($B486="","",IF($B486="TRANSCARNES","ACTIVO",IF(COUNTIF(RETIROS!E:E,$B486)=1,"PENDIENTE ELIMINAR",IF(COUNTIFS(ASIGNACIONES!$D:$D,$B486,ASIGNACIONES!$H:$H,E486,ASIGNACIONES!$G:$G,$D486,ASIGNACIONES!$J:$J,$F486)=0,"NUEVO","ACTIVO"))))</f>
        <v/>
      </c>
    </row>
    <row r="487">
      <c r="A487" s="30"/>
      <c r="B487" s="35"/>
      <c r="C487" s="32"/>
      <c r="D487" s="36"/>
      <c r="E487" s="36"/>
      <c r="F487" s="34"/>
      <c r="G487" s="24"/>
      <c r="H487" s="24" t="str">
        <f>IF($B487="","",IF($B487="TRANSCARNES","ACTIVO",IF(COUNTIF(RETIROS!E:E,$B487)=1,"PENDIENTE ELIMINAR",IF(COUNTIFS(ASIGNACIONES!$D:$D,$B487,ASIGNACIONES!$H:$H,E487,ASIGNACIONES!$G:$G,$D487,ASIGNACIONES!$J:$J,$F487)=0,"NUEVO","ACTIVO"))))</f>
        <v/>
      </c>
    </row>
    <row r="488">
      <c r="A488" s="30"/>
      <c r="B488" s="35"/>
      <c r="C488" s="32"/>
      <c r="D488" s="36"/>
      <c r="E488" s="36"/>
      <c r="F488" s="34"/>
      <c r="G488" s="24"/>
      <c r="H488" s="24" t="str">
        <f>IF($B488="","",IF($B488="TRANSCARNES","ACTIVO",IF(COUNTIF(RETIROS!E:E,$B488)=1,"PENDIENTE ELIMINAR",IF(COUNTIFS(ASIGNACIONES!$D:$D,$B488,ASIGNACIONES!$H:$H,E488,ASIGNACIONES!$G:$G,$D488,ASIGNACIONES!$J:$J,$F488)=0,"NUEVO","ACTIVO"))))</f>
        <v/>
      </c>
    </row>
    <row r="489">
      <c r="A489" s="30"/>
      <c r="B489" s="35"/>
      <c r="C489" s="32"/>
      <c r="D489" s="36"/>
      <c r="E489" s="36"/>
      <c r="F489" s="34"/>
      <c r="G489" s="24"/>
      <c r="H489" s="24" t="str">
        <f>IF($B489="","",IF($B489="TRANSCARNES","ACTIVO",IF(COUNTIF(RETIROS!E:E,$B489)=1,"PENDIENTE ELIMINAR",IF(COUNTIFS(ASIGNACIONES!$D:$D,$B489,ASIGNACIONES!$H:$H,E489,ASIGNACIONES!$G:$G,$D489,ASIGNACIONES!$J:$J,$F489)=0,"NUEVO","ACTIVO"))))</f>
        <v/>
      </c>
    </row>
    <row r="490">
      <c r="A490" s="30"/>
      <c r="B490" s="35"/>
      <c r="C490" s="32"/>
      <c r="D490" s="36"/>
      <c r="E490" s="36"/>
      <c r="F490" s="34"/>
      <c r="G490" s="24"/>
      <c r="H490" s="24" t="str">
        <f>IF($B490="","",IF($B490="TRANSCARNES","ACTIVO",IF(COUNTIF(RETIROS!E:E,$B490)=1,"PENDIENTE ELIMINAR",IF(COUNTIFS(ASIGNACIONES!$D:$D,$B490,ASIGNACIONES!$H:$H,E490,ASIGNACIONES!$G:$G,$D490,ASIGNACIONES!$J:$J,$F490)=0,"NUEVO","ACTIVO"))))</f>
        <v/>
      </c>
    </row>
    <row r="491">
      <c r="A491" s="30"/>
      <c r="B491" s="35"/>
      <c r="C491" s="32"/>
      <c r="D491" s="36"/>
      <c r="E491" s="36"/>
      <c r="F491" s="34"/>
      <c r="G491" s="24"/>
      <c r="H491" s="24" t="str">
        <f>IF($B491="","",IF($B491="TRANSCARNES","ACTIVO",IF(COUNTIF(RETIROS!E:E,$B491)=1,"PENDIENTE ELIMINAR",IF(COUNTIFS(ASIGNACIONES!$D:$D,$B491,ASIGNACIONES!$H:$H,E491,ASIGNACIONES!$G:$G,$D491,ASIGNACIONES!$J:$J,$F491)=0,"NUEVO","ACTIVO"))))</f>
        <v/>
      </c>
    </row>
    <row r="492">
      <c r="A492" s="30"/>
      <c r="B492" s="35"/>
      <c r="C492" s="32"/>
      <c r="D492" s="36"/>
      <c r="E492" s="36"/>
      <c r="F492" s="34"/>
      <c r="G492" s="24"/>
      <c r="H492" s="24" t="str">
        <f>IF($B492="","",IF($B492="TRANSCARNES","ACTIVO",IF(COUNTIF(RETIROS!E:E,$B492)=1,"PENDIENTE ELIMINAR",IF(COUNTIFS(ASIGNACIONES!$D:$D,$B492,ASIGNACIONES!$H:$H,E492,ASIGNACIONES!$G:$G,$D492,ASIGNACIONES!$J:$J,$F492)=0,"NUEVO","ACTIVO"))))</f>
        <v/>
      </c>
    </row>
    <row r="493">
      <c r="A493" s="30"/>
      <c r="B493" s="35"/>
      <c r="C493" s="32"/>
      <c r="D493" s="36"/>
      <c r="E493" s="36"/>
      <c r="F493" s="34"/>
      <c r="G493" s="24"/>
      <c r="H493" s="24" t="str">
        <f>IF($B493="","",IF($B493="TRANSCARNES","ACTIVO",IF(COUNTIF(RETIROS!E:E,$B493)=1,"PENDIENTE ELIMINAR",IF(COUNTIFS(ASIGNACIONES!$D:$D,$B493,ASIGNACIONES!$H:$H,E493,ASIGNACIONES!$G:$G,$D493,ASIGNACIONES!$J:$J,$F493)=0,"NUEVO","ACTIVO"))))</f>
        <v/>
      </c>
    </row>
    <row r="494">
      <c r="A494" s="30"/>
      <c r="B494" s="35"/>
      <c r="C494" s="32"/>
      <c r="D494" s="36"/>
      <c r="E494" s="36"/>
      <c r="F494" s="34"/>
      <c r="G494" s="24"/>
      <c r="H494" s="24" t="str">
        <f>IF($B494="","",IF($B494="TRANSCARNES","ACTIVO",IF(COUNTIF(RETIROS!E:E,$B494)=1,"PENDIENTE ELIMINAR",IF(COUNTIFS(ASIGNACIONES!$D:$D,$B494,ASIGNACIONES!$H:$H,E494,ASIGNACIONES!$G:$G,$D494,ASIGNACIONES!$J:$J,$F494)=0,"NUEVO","ACTIVO"))))</f>
        <v/>
      </c>
    </row>
    <row r="495">
      <c r="A495" s="30"/>
      <c r="B495" s="35"/>
      <c r="C495" s="32"/>
      <c r="D495" s="36"/>
      <c r="E495" s="36"/>
      <c r="F495" s="34"/>
      <c r="G495" s="24"/>
      <c r="H495" s="24" t="str">
        <f>IF($B495="","",IF($B495="TRANSCARNES","ACTIVO",IF(COUNTIF(RETIROS!E:E,$B495)=1,"PENDIENTE ELIMINAR",IF(COUNTIFS(ASIGNACIONES!$D:$D,$B495,ASIGNACIONES!$H:$H,E495,ASIGNACIONES!$G:$G,$D495,ASIGNACIONES!$J:$J,$F495)=0,"NUEVO","ACTIVO"))))</f>
        <v/>
      </c>
    </row>
    <row r="496">
      <c r="A496" s="30"/>
      <c r="B496" s="35"/>
      <c r="C496" s="32"/>
      <c r="D496" s="36"/>
      <c r="E496" s="36"/>
      <c r="F496" s="34"/>
      <c r="G496" s="24"/>
      <c r="H496" s="24" t="str">
        <f>IF($B496="","",IF($B496="TRANSCARNES","ACTIVO",IF(COUNTIF(RETIROS!E:E,$B496)=1,"PENDIENTE ELIMINAR",IF(COUNTIFS(ASIGNACIONES!$D:$D,$B496,ASIGNACIONES!$H:$H,E496,ASIGNACIONES!$G:$G,$D496,ASIGNACIONES!$J:$J,$F496)=0,"NUEVO","ACTIVO"))))</f>
        <v/>
      </c>
    </row>
    <row r="497">
      <c r="A497" s="30"/>
      <c r="B497" s="35"/>
      <c r="C497" s="32"/>
      <c r="D497" s="36"/>
      <c r="E497" s="36"/>
      <c r="F497" s="34"/>
      <c r="G497" s="24"/>
      <c r="H497" s="24" t="str">
        <f>IF($B497="","",IF($B497="TRANSCARNES","ACTIVO",IF(COUNTIF(RETIROS!E:E,$B497)=1,"PENDIENTE ELIMINAR",IF(COUNTIFS(ASIGNACIONES!$D:$D,$B497,ASIGNACIONES!$H:$H,E497,ASIGNACIONES!$G:$G,$D497,ASIGNACIONES!$J:$J,$F497)=0,"NUEVO","ACTIVO"))))</f>
        <v/>
      </c>
    </row>
    <row r="498">
      <c r="A498" s="30"/>
      <c r="B498" s="35"/>
      <c r="C498" s="32"/>
      <c r="D498" s="36"/>
      <c r="E498" s="36"/>
      <c r="F498" s="34"/>
      <c r="G498" s="24"/>
      <c r="H498" s="24" t="str">
        <f>IF($B498="","",IF($B498="TRANSCARNES","ACTIVO",IF(COUNTIF(RETIROS!E:E,$B498)=1,"PENDIENTE ELIMINAR",IF(COUNTIFS(ASIGNACIONES!$D:$D,$B498,ASIGNACIONES!$H:$H,E498,ASIGNACIONES!$G:$G,$D498,ASIGNACIONES!$J:$J,$F498)=0,"NUEVO","ACTIVO"))))</f>
        <v/>
      </c>
    </row>
    <row r="499">
      <c r="A499" s="30"/>
      <c r="B499" s="35"/>
      <c r="C499" s="32"/>
      <c r="D499" s="36"/>
      <c r="E499" s="36"/>
      <c r="F499" s="34"/>
      <c r="G499" s="24"/>
      <c r="H499" s="24" t="str">
        <f>IF($B499="","",IF($B499="TRANSCARNES","ACTIVO",IF(COUNTIF(RETIROS!E:E,$B499)=1,"PENDIENTE ELIMINAR",IF(COUNTIFS(ASIGNACIONES!$D:$D,$B499,ASIGNACIONES!$H:$H,E499,ASIGNACIONES!$G:$G,$D499,ASIGNACIONES!$J:$J,$F499)=0,"NUEVO","ACTIVO"))))</f>
        <v/>
      </c>
    </row>
    <row r="500">
      <c r="A500" s="30"/>
      <c r="B500" s="35"/>
      <c r="C500" s="32"/>
      <c r="D500" s="36"/>
      <c r="E500" s="36"/>
      <c r="F500" s="34"/>
      <c r="G500" s="24"/>
      <c r="H500" s="24" t="str">
        <f>IF($B500="","",IF($B500="TRANSCARNES","ACTIVO",IF(COUNTIF(RETIROS!E:E,$B500)=1,"PENDIENTE ELIMINAR",IF(COUNTIFS(ASIGNACIONES!$D:$D,$B500,ASIGNACIONES!$H:$H,E500,ASIGNACIONES!$G:$G,$D500,ASIGNACIONES!$J:$J,$F500)=0,"NUEVO","ACTIVO"))))</f>
        <v/>
      </c>
    </row>
    <row r="501">
      <c r="A501" s="30"/>
      <c r="B501" s="35"/>
      <c r="C501" s="32"/>
      <c r="D501" s="36"/>
      <c r="E501" s="36"/>
      <c r="F501" s="34"/>
      <c r="G501" s="24"/>
      <c r="H501" s="24" t="str">
        <f>IF($B501="","",IF($B501="TRANSCARNES","ACTIVO",IF(COUNTIF(RETIROS!E:E,$B501)=1,"PENDIENTE ELIMINAR",IF(COUNTIFS(ASIGNACIONES!$D:$D,$B501,ASIGNACIONES!$H:$H,E501,ASIGNACIONES!$G:$G,$D501,ASIGNACIONES!$J:$J,$F501)=0,"NUEVO","ACTIVO"))))</f>
        <v/>
      </c>
    </row>
    <row r="502">
      <c r="A502" s="30"/>
      <c r="B502" s="35"/>
      <c r="C502" s="32"/>
      <c r="D502" s="36"/>
      <c r="E502" s="36"/>
      <c r="F502" s="34"/>
      <c r="G502" s="24"/>
      <c r="H502" s="24" t="str">
        <f>IF($B502="","",IF($B502="TRANSCARNES","ACTIVO",IF(COUNTIF(RETIROS!E:E,$B502)=1,"PENDIENTE ELIMINAR",IF(COUNTIFS(ASIGNACIONES!$D:$D,$B502,ASIGNACIONES!$H:$H,E502,ASIGNACIONES!$G:$G,$D502,ASIGNACIONES!$J:$J,$F502)=0,"NUEVO","ACTIVO"))))</f>
        <v/>
      </c>
    </row>
    <row r="503">
      <c r="A503" s="30"/>
      <c r="B503" s="35"/>
      <c r="C503" s="32"/>
      <c r="D503" s="36"/>
      <c r="E503" s="36"/>
      <c r="F503" s="34"/>
      <c r="G503" s="24"/>
      <c r="H503" s="24" t="str">
        <f>IF($B503="","",IF($B503="TRANSCARNES","ACTIVO",IF(COUNTIF(RETIROS!E:E,$B503)=1,"PENDIENTE ELIMINAR",IF(COUNTIFS(ASIGNACIONES!$D:$D,$B503,ASIGNACIONES!$H:$H,E503,ASIGNACIONES!$G:$G,$D503,ASIGNACIONES!$J:$J,$F503)=0,"NUEVO","ACTIVO"))))</f>
        <v/>
      </c>
    </row>
    <row r="504">
      <c r="A504" s="30"/>
      <c r="B504" s="35"/>
      <c r="C504" s="32"/>
      <c r="D504" s="36"/>
      <c r="E504" s="36"/>
      <c r="F504" s="34"/>
      <c r="G504" s="24"/>
      <c r="H504" s="24" t="str">
        <f>IF($B504="","",IF($B504="TRANSCARNES","ACTIVO",IF(COUNTIF(RETIROS!E:E,$B504)=1,"PENDIENTE ELIMINAR",IF(COUNTIFS(ASIGNACIONES!$D:$D,$B504,ASIGNACIONES!$H:$H,E504,ASIGNACIONES!$G:$G,$D504,ASIGNACIONES!$J:$J,$F504)=0,"NUEVO","ACTIVO"))))</f>
        <v/>
      </c>
    </row>
    <row r="505">
      <c r="A505" s="30"/>
      <c r="B505" s="35"/>
      <c r="C505" s="32"/>
      <c r="D505" s="36"/>
      <c r="E505" s="36"/>
      <c r="F505" s="34"/>
      <c r="G505" s="24"/>
      <c r="H505" s="24" t="str">
        <f>IF($B505="","",IF($B505="TRANSCARNES","ACTIVO",IF(COUNTIF(RETIROS!E:E,$B505)=1,"PENDIENTE ELIMINAR",IF(COUNTIFS(ASIGNACIONES!$D:$D,$B505,ASIGNACIONES!$H:$H,E505,ASIGNACIONES!$G:$G,$D505,ASIGNACIONES!$J:$J,$F505)=0,"NUEVO","ACTIVO"))))</f>
        <v/>
      </c>
    </row>
    <row r="506">
      <c r="A506" s="30"/>
      <c r="B506" s="35"/>
      <c r="C506" s="32"/>
      <c r="D506" s="36"/>
      <c r="E506" s="36"/>
      <c r="F506" s="34"/>
      <c r="G506" s="24"/>
      <c r="H506" s="24" t="str">
        <f>IF($B506="","",IF($B506="TRANSCARNES","ACTIVO",IF(COUNTIF(RETIROS!E:E,$B506)=1,"PENDIENTE ELIMINAR",IF(COUNTIFS(ASIGNACIONES!$D:$D,$B506,ASIGNACIONES!$H:$H,E506,ASIGNACIONES!$G:$G,$D506,ASIGNACIONES!$J:$J,$F506)=0,"NUEVO","ACTIVO"))))</f>
        <v/>
      </c>
    </row>
    <row r="507">
      <c r="A507" s="30"/>
      <c r="B507" s="35"/>
      <c r="C507" s="32"/>
      <c r="D507" s="36"/>
      <c r="E507" s="36"/>
      <c r="F507" s="34"/>
      <c r="G507" s="24"/>
      <c r="H507" s="24" t="str">
        <f>IF($B507="","",IF($B507="TRANSCARNES","ACTIVO",IF(COUNTIF(RETIROS!E:E,$B507)=1,"PENDIENTE ELIMINAR",IF(COUNTIFS(ASIGNACIONES!$D:$D,$B507,ASIGNACIONES!$H:$H,E507,ASIGNACIONES!$G:$G,$D507,ASIGNACIONES!$J:$J,$F507)=0,"NUEVO","ACTIVO"))))</f>
        <v/>
      </c>
    </row>
    <row r="508">
      <c r="A508" s="30"/>
      <c r="B508" s="35"/>
      <c r="C508" s="32"/>
      <c r="D508" s="36"/>
      <c r="E508" s="36"/>
      <c r="F508" s="34"/>
      <c r="G508" s="24"/>
      <c r="H508" s="24" t="str">
        <f>IF($B508="","",IF($B508="TRANSCARNES","ACTIVO",IF(COUNTIF(RETIROS!E:E,$B508)=1,"PENDIENTE ELIMINAR",IF(COUNTIFS(ASIGNACIONES!$D:$D,$B508,ASIGNACIONES!$H:$H,E508,ASIGNACIONES!$G:$G,$D508,ASIGNACIONES!$J:$J,$F508)=0,"NUEVO","ACTIVO"))))</f>
        <v/>
      </c>
    </row>
    <row r="509">
      <c r="A509" s="30"/>
      <c r="B509" s="35"/>
      <c r="C509" s="32"/>
      <c r="D509" s="36"/>
      <c r="E509" s="36"/>
      <c r="F509" s="34"/>
      <c r="G509" s="24"/>
      <c r="H509" s="24" t="str">
        <f>IF($B509="","",IF($B509="TRANSCARNES","ACTIVO",IF(COUNTIF(RETIROS!E:E,$B509)=1,"PENDIENTE ELIMINAR",IF(COUNTIFS(ASIGNACIONES!$D:$D,$B509,ASIGNACIONES!$H:$H,E509,ASIGNACIONES!$G:$G,$D509,ASIGNACIONES!$J:$J,$F509)=0,"NUEVO","ACTIVO"))))</f>
        <v/>
      </c>
    </row>
    <row r="510">
      <c r="A510" s="30"/>
      <c r="B510" s="35"/>
      <c r="C510" s="32"/>
      <c r="D510" s="36"/>
      <c r="E510" s="36"/>
      <c r="F510" s="34"/>
      <c r="G510" s="24"/>
      <c r="H510" s="24" t="str">
        <f>IF($B510="","",IF($B510="TRANSCARNES","ACTIVO",IF(COUNTIF(RETIROS!E:E,$B510)=1,"PENDIENTE ELIMINAR",IF(COUNTIFS(ASIGNACIONES!$D:$D,$B510,ASIGNACIONES!$H:$H,E510,ASIGNACIONES!$G:$G,$D510,ASIGNACIONES!$J:$J,$F510)=0,"NUEVO","ACTIVO"))))</f>
        <v/>
      </c>
    </row>
    <row r="511">
      <c r="A511" s="30"/>
      <c r="B511" s="35"/>
      <c r="C511" s="32"/>
      <c r="D511" s="36"/>
      <c r="E511" s="36"/>
      <c r="F511" s="34"/>
      <c r="G511" s="24"/>
      <c r="H511" s="24" t="str">
        <f>IF($B511="","",IF($B511="TRANSCARNES","ACTIVO",IF(COUNTIF(RETIROS!E:E,$B511)=1,"PENDIENTE ELIMINAR",IF(COUNTIFS(ASIGNACIONES!$D:$D,$B511,ASIGNACIONES!$H:$H,E511,ASIGNACIONES!$G:$G,$D511,ASIGNACIONES!$J:$J,$F511)=0,"NUEVO","ACTIVO"))))</f>
        <v/>
      </c>
    </row>
    <row r="512">
      <c r="A512" s="30"/>
      <c r="B512" s="35"/>
      <c r="C512" s="32"/>
      <c r="D512" s="36"/>
      <c r="E512" s="36"/>
      <c r="F512" s="34"/>
      <c r="G512" s="24"/>
      <c r="H512" s="24" t="str">
        <f>IF($B512="","",IF($B512="TRANSCARNES","ACTIVO",IF(COUNTIF(RETIROS!E:E,$B512)=1,"PENDIENTE ELIMINAR",IF(COUNTIFS(ASIGNACIONES!$D:$D,$B512,ASIGNACIONES!$H:$H,E512,ASIGNACIONES!$G:$G,$D512,ASIGNACIONES!$J:$J,$F512)=0,"NUEVO","ACTIVO"))))</f>
        <v/>
      </c>
    </row>
    <row r="513">
      <c r="A513" s="30"/>
      <c r="B513" s="35"/>
      <c r="C513" s="32"/>
      <c r="D513" s="36"/>
      <c r="E513" s="36"/>
      <c r="F513" s="34"/>
      <c r="G513" s="24"/>
      <c r="H513" s="24" t="str">
        <f>IF($B513="","",IF($B513="TRANSCARNES","ACTIVO",IF(COUNTIF(RETIROS!E:E,$B513)=1,"PENDIENTE ELIMINAR",IF(COUNTIFS(ASIGNACIONES!$D:$D,$B513,ASIGNACIONES!$H:$H,E513,ASIGNACIONES!$G:$G,$D513,ASIGNACIONES!$J:$J,$F513)=0,"NUEVO","ACTIVO"))))</f>
        <v/>
      </c>
    </row>
    <row r="514">
      <c r="A514" s="30"/>
      <c r="B514" s="35"/>
      <c r="C514" s="32"/>
      <c r="D514" s="36"/>
      <c r="E514" s="36"/>
      <c r="F514" s="34"/>
      <c r="G514" s="24"/>
      <c r="H514" s="24" t="str">
        <f>IF($B514="","",IF($B514="TRANSCARNES","ACTIVO",IF(COUNTIF(RETIROS!E:E,$B514)=1,"PENDIENTE ELIMINAR",IF(COUNTIFS(ASIGNACIONES!$D:$D,$B514,ASIGNACIONES!$H:$H,E514,ASIGNACIONES!$G:$G,$D514,ASIGNACIONES!$J:$J,$F514)=0,"NUEVO","ACTIVO"))))</f>
        <v/>
      </c>
    </row>
    <row r="515">
      <c r="A515" s="30"/>
      <c r="B515" s="35"/>
      <c r="C515" s="32"/>
      <c r="D515" s="36"/>
      <c r="E515" s="36"/>
      <c r="F515" s="34"/>
      <c r="G515" s="24"/>
      <c r="H515" s="24" t="str">
        <f>IF($B515="","",IF($B515="TRANSCARNES","ACTIVO",IF(COUNTIF(RETIROS!E:E,$B515)=1,"PENDIENTE ELIMINAR",IF(COUNTIFS(ASIGNACIONES!$D:$D,$B515,ASIGNACIONES!$H:$H,E515,ASIGNACIONES!$G:$G,$D515,ASIGNACIONES!$J:$J,$F515)=0,"NUEVO","ACTIVO"))))</f>
        <v/>
      </c>
    </row>
    <row r="516">
      <c r="A516" s="30"/>
      <c r="B516" s="35"/>
      <c r="C516" s="32"/>
      <c r="D516" s="36"/>
      <c r="E516" s="36"/>
      <c r="F516" s="34"/>
      <c r="G516" s="24"/>
      <c r="H516" s="24" t="str">
        <f>IF($B516="","",IF($B516="TRANSCARNES","ACTIVO",IF(COUNTIF(RETIROS!E:E,$B516)=1,"PENDIENTE ELIMINAR",IF(COUNTIFS(ASIGNACIONES!$D:$D,$B516,ASIGNACIONES!$H:$H,E516,ASIGNACIONES!$G:$G,$D516,ASIGNACIONES!$J:$J,$F516)=0,"NUEVO","ACTIVO"))))</f>
        <v/>
      </c>
    </row>
    <row r="517">
      <c r="A517" s="30"/>
      <c r="B517" s="35"/>
      <c r="C517" s="32"/>
      <c r="D517" s="36"/>
      <c r="E517" s="36"/>
      <c r="F517" s="34"/>
      <c r="G517" s="24"/>
      <c r="H517" s="24" t="str">
        <f>IF($B517="","",IF($B517="TRANSCARNES","ACTIVO",IF(COUNTIF(RETIROS!E:E,$B517)=1,"PENDIENTE ELIMINAR",IF(COUNTIFS(ASIGNACIONES!$D:$D,$B517,ASIGNACIONES!$H:$H,E517,ASIGNACIONES!$G:$G,$D517,ASIGNACIONES!$J:$J,$F517)=0,"NUEVO","ACTIVO"))))</f>
        <v/>
      </c>
    </row>
    <row r="518">
      <c r="A518" s="30"/>
      <c r="B518" s="35"/>
      <c r="C518" s="32"/>
      <c r="D518" s="36"/>
      <c r="E518" s="36"/>
      <c r="F518" s="34"/>
      <c r="G518" s="24"/>
      <c r="H518" s="24" t="str">
        <f>IF($B518="","",IF($B518="TRANSCARNES","ACTIVO",IF(COUNTIF(RETIROS!E:E,$B518)=1,"PENDIENTE ELIMINAR",IF(COUNTIFS(ASIGNACIONES!$D:$D,$B518,ASIGNACIONES!$H:$H,E518,ASIGNACIONES!$G:$G,$D518,ASIGNACIONES!$J:$J,$F518)=0,"NUEVO","ACTIVO"))))</f>
        <v/>
      </c>
    </row>
    <row r="519">
      <c r="A519" s="30"/>
      <c r="B519" s="35"/>
      <c r="C519" s="32"/>
      <c r="D519" s="36"/>
      <c r="E519" s="36"/>
      <c r="F519" s="34"/>
      <c r="G519" s="24"/>
      <c r="H519" s="24" t="str">
        <f>IF($B519="","",IF($B519="TRANSCARNES","ACTIVO",IF(COUNTIF(RETIROS!E:E,$B519)=1,"PENDIENTE ELIMINAR",IF(COUNTIFS(ASIGNACIONES!$D:$D,$B519,ASIGNACIONES!$H:$H,E519,ASIGNACIONES!$G:$G,$D519,ASIGNACIONES!$J:$J,$F519)=0,"NUEVO","ACTIVO"))))</f>
        <v/>
      </c>
    </row>
    <row r="520">
      <c r="A520" s="30"/>
      <c r="B520" s="35"/>
      <c r="C520" s="32"/>
      <c r="D520" s="36"/>
      <c r="E520" s="36"/>
      <c r="F520" s="34"/>
      <c r="G520" s="24"/>
      <c r="H520" s="24" t="str">
        <f>IF($B520="","",IF($B520="TRANSCARNES","ACTIVO",IF(COUNTIF(RETIROS!E:E,$B520)=1,"PENDIENTE ELIMINAR",IF(COUNTIFS(ASIGNACIONES!$D:$D,$B520,ASIGNACIONES!$H:$H,E520,ASIGNACIONES!$G:$G,$D520,ASIGNACIONES!$J:$J,$F520)=0,"NUEVO","ACTIVO"))))</f>
        <v/>
      </c>
    </row>
    <row r="521">
      <c r="A521" s="30"/>
      <c r="B521" s="35"/>
      <c r="C521" s="32"/>
      <c r="D521" s="36"/>
      <c r="E521" s="36"/>
      <c r="F521" s="34"/>
      <c r="G521" s="24"/>
      <c r="H521" s="24" t="str">
        <f>IF($B521="","",IF($B521="TRANSCARNES","ACTIVO",IF(COUNTIF(RETIROS!E:E,$B521)=1,"PENDIENTE ELIMINAR",IF(COUNTIFS(ASIGNACIONES!$D:$D,$B521,ASIGNACIONES!$H:$H,E521,ASIGNACIONES!$G:$G,$D521,ASIGNACIONES!$J:$J,$F521)=0,"NUEVO","ACTIVO"))))</f>
        <v/>
      </c>
    </row>
    <row r="522">
      <c r="A522" s="30"/>
      <c r="B522" s="35"/>
      <c r="C522" s="32"/>
      <c r="D522" s="36"/>
      <c r="E522" s="36"/>
      <c r="F522" s="34"/>
      <c r="G522" s="24"/>
      <c r="H522" s="24" t="str">
        <f>IF($B522="","",IF($B522="TRANSCARNES","ACTIVO",IF(COUNTIF(RETIROS!E:E,$B522)=1,"PENDIENTE ELIMINAR",IF(COUNTIFS(ASIGNACIONES!$D:$D,$B522,ASIGNACIONES!$H:$H,E522,ASIGNACIONES!$G:$G,$D522,ASIGNACIONES!$J:$J,$F522)=0,"NUEVO","ACTIVO"))))</f>
        <v/>
      </c>
    </row>
    <row r="523">
      <c r="A523" s="30"/>
      <c r="B523" s="35"/>
      <c r="C523" s="32"/>
      <c r="D523" s="36"/>
      <c r="E523" s="36"/>
      <c r="F523" s="34"/>
      <c r="G523" s="24"/>
      <c r="H523" s="24" t="str">
        <f>IF($B523="","",IF($B523="TRANSCARNES","ACTIVO",IF(COUNTIF(RETIROS!E:E,$B523)=1,"PENDIENTE ELIMINAR",IF(COUNTIFS(ASIGNACIONES!$D:$D,$B523,ASIGNACIONES!$H:$H,E523,ASIGNACIONES!$G:$G,$D523,ASIGNACIONES!$J:$J,$F523)=0,"NUEVO","ACTIVO"))))</f>
        <v/>
      </c>
    </row>
    <row r="524">
      <c r="A524" s="30"/>
      <c r="B524" s="35"/>
      <c r="C524" s="32"/>
      <c r="D524" s="36"/>
      <c r="E524" s="36"/>
      <c r="F524" s="34"/>
      <c r="G524" s="24"/>
      <c r="H524" s="24" t="str">
        <f>IF($B524="","",IF($B524="TRANSCARNES","ACTIVO",IF(COUNTIF(RETIROS!E:E,$B524)=1,"PENDIENTE ELIMINAR",IF(COUNTIFS(ASIGNACIONES!$D:$D,$B524,ASIGNACIONES!$H:$H,E524,ASIGNACIONES!$G:$G,$D524,ASIGNACIONES!$J:$J,$F524)=0,"NUEVO","ACTIVO"))))</f>
        <v/>
      </c>
    </row>
    <row r="525">
      <c r="A525" s="30"/>
      <c r="B525" s="35"/>
      <c r="C525" s="32"/>
      <c r="D525" s="36"/>
      <c r="E525" s="36"/>
      <c r="F525" s="34"/>
      <c r="G525" s="24"/>
      <c r="H525" s="24" t="str">
        <f>IF($B525="","",IF($B525="TRANSCARNES","ACTIVO",IF(COUNTIF(RETIROS!E:E,$B525)=1,"PENDIENTE ELIMINAR",IF(COUNTIFS(ASIGNACIONES!$D:$D,$B525,ASIGNACIONES!$H:$H,E525,ASIGNACIONES!$G:$G,$D525,ASIGNACIONES!$J:$J,$F525)=0,"NUEVO","ACTIVO"))))</f>
        <v/>
      </c>
    </row>
    <row r="526">
      <c r="A526" s="30"/>
      <c r="B526" s="35"/>
      <c r="C526" s="32"/>
      <c r="D526" s="36"/>
      <c r="E526" s="36"/>
      <c r="F526" s="34"/>
      <c r="G526" s="24"/>
      <c r="H526" s="24" t="str">
        <f>IF($B526="","",IF($B526="TRANSCARNES","ACTIVO",IF(COUNTIF(RETIROS!E:E,$B526)=1,"PENDIENTE ELIMINAR",IF(COUNTIFS(ASIGNACIONES!$D:$D,$B526,ASIGNACIONES!$H:$H,E526,ASIGNACIONES!$G:$G,$D526,ASIGNACIONES!$J:$J,$F526)=0,"NUEVO","ACTIVO"))))</f>
        <v/>
      </c>
    </row>
    <row r="527">
      <c r="A527" s="30"/>
      <c r="B527" s="35"/>
      <c r="C527" s="32"/>
      <c r="D527" s="36"/>
      <c r="E527" s="36"/>
      <c r="F527" s="34"/>
      <c r="G527" s="24"/>
      <c r="H527" s="24" t="str">
        <f>IF($B527="","",IF($B527="TRANSCARNES","ACTIVO",IF(COUNTIF(RETIROS!E:E,$B527)=1,"PENDIENTE ELIMINAR",IF(COUNTIFS(ASIGNACIONES!$D:$D,$B527,ASIGNACIONES!$H:$H,E527,ASIGNACIONES!$G:$G,$D527,ASIGNACIONES!$J:$J,$F527)=0,"NUEVO","ACTIVO"))))</f>
        <v/>
      </c>
    </row>
    <row r="528">
      <c r="A528" s="30"/>
      <c r="B528" s="35"/>
      <c r="C528" s="32"/>
      <c r="D528" s="36"/>
      <c r="E528" s="36"/>
      <c r="F528" s="34"/>
      <c r="G528" s="24"/>
      <c r="H528" s="24" t="str">
        <f>IF($B528="","",IF($B528="TRANSCARNES","ACTIVO",IF(COUNTIF(RETIROS!E:E,$B528)=1,"PENDIENTE ELIMINAR",IF(COUNTIFS(ASIGNACIONES!$D:$D,$B528,ASIGNACIONES!$H:$H,E528,ASIGNACIONES!$G:$G,$D528,ASIGNACIONES!$J:$J,$F528)=0,"NUEVO","ACTIVO"))))</f>
        <v/>
      </c>
    </row>
    <row r="529">
      <c r="A529" s="30"/>
      <c r="B529" s="35"/>
      <c r="C529" s="32"/>
      <c r="D529" s="36"/>
      <c r="E529" s="36"/>
      <c r="F529" s="34"/>
      <c r="G529" s="24"/>
      <c r="H529" s="24" t="str">
        <f>IF($B529="","",IF($B529="TRANSCARNES","ACTIVO",IF(COUNTIF(RETIROS!E:E,$B529)=1,"PENDIENTE ELIMINAR",IF(COUNTIFS(ASIGNACIONES!$D:$D,$B529,ASIGNACIONES!$H:$H,E529,ASIGNACIONES!$G:$G,$D529,ASIGNACIONES!$J:$J,$F529)=0,"NUEVO","ACTIVO"))))</f>
        <v/>
      </c>
    </row>
    <row r="530">
      <c r="A530" s="30"/>
      <c r="B530" s="35"/>
      <c r="C530" s="32"/>
      <c r="D530" s="36"/>
      <c r="E530" s="36"/>
      <c r="F530" s="34"/>
      <c r="G530" s="24"/>
      <c r="H530" s="24" t="str">
        <f>IF($B530="","",IF($B530="TRANSCARNES","ACTIVO",IF(COUNTIF(RETIROS!E:E,$B530)=1,"PENDIENTE ELIMINAR",IF(COUNTIFS(ASIGNACIONES!$D:$D,$B530,ASIGNACIONES!$H:$H,E530,ASIGNACIONES!$G:$G,$D530,ASIGNACIONES!$J:$J,$F530)=0,"NUEVO","ACTIVO"))))</f>
        <v/>
      </c>
    </row>
    <row r="531">
      <c r="A531" s="30"/>
      <c r="B531" s="35"/>
      <c r="C531" s="32"/>
      <c r="D531" s="36"/>
      <c r="E531" s="36"/>
      <c r="F531" s="34"/>
      <c r="G531" s="24"/>
      <c r="H531" s="24" t="str">
        <f>IF($B531="","",IF($B531="TRANSCARNES","ACTIVO",IF(COUNTIF(RETIROS!E:E,$B531)=1,"PENDIENTE ELIMINAR",IF(COUNTIFS(ASIGNACIONES!$D:$D,$B531,ASIGNACIONES!$H:$H,E531,ASIGNACIONES!$G:$G,$D531,ASIGNACIONES!$J:$J,$F531)=0,"NUEVO","ACTIVO"))))</f>
        <v/>
      </c>
    </row>
    <row r="532">
      <c r="A532" s="30"/>
      <c r="B532" s="35"/>
      <c r="C532" s="32"/>
      <c r="D532" s="36"/>
      <c r="E532" s="36"/>
      <c r="F532" s="34"/>
      <c r="G532" s="24"/>
      <c r="H532" s="24" t="str">
        <f>IF($B532="","",IF($B532="TRANSCARNES","ACTIVO",IF(COUNTIF(RETIROS!E:E,$B532)=1,"PENDIENTE ELIMINAR",IF(COUNTIFS(ASIGNACIONES!$D:$D,$B532,ASIGNACIONES!$H:$H,E532,ASIGNACIONES!$G:$G,$D532,ASIGNACIONES!$J:$J,$F532)=0,"NUEVO","ACTIVO"))))</f>
        <v/>
      </c>
    </row>
    <row r="533">
      <c r="A533" s="30"/>
      <c r="B533" s="35"/>
      <c r="C533" s="32"/>
      <c r="D533" s="36"/>
      <c r="E533" s="36"/>
      <c r="F533" s="34"/>
      <c r="G533" s="24"/>
      <c r="H533" s="24" t="str">
        <f>IF($B533="","",IF($B533="TRANSCARNES","ACTIVO",IF(COUNTIF(RETIROS!E:E,$B533)=1,"PENDIENTE ELIMINAR",IF(COUNTIFS(ASIGNACIONES!$D:$D,$B533,ASIGNACIONES!$H:$H,E533,ASIGNACIONES!$G:$G,$D533,ASIGNACIONES!$J:$J,$F533)=0,"NUEVO","ACTIVO"))))</f>
        <v/>
      </c>
    </row>
    <row r="534">
      <c r="A534" s="30"/>
      <c r="B534" s="35"/>
      <c r="C534" s="32"/>
      <c r="D534" s="36"/>
      <c r="E534" s="36"/>
      <c r="F534" s="34"/>
      <c r="G534" s="24"/>
      <c r="H534" s="24" t="str">
        <f>IF($B534="","",IF($B534="TRANSCARNES","ACTIVO",IF(COUNTIF(RETIROS!E:E,$B534)=1,"PENDIENTE ELIMINAR",IF(COUNTIFS(ASIGNACIONES!$D:$D,$B534,ASIGNACIONES!$H:$H,E534,ASIGNACIONES!$G:$G,$D534,ASIGNACIONES!$J:$J,$F534)=0,"NUEVO","ACTIVO"))))</f>
        <v/>
      </c>
    </row>
    <row r="535">
      <c r="A535" s="30"/>
      <c r="B535" s="35"/>
      <c r="C535" s="32"/>
      <c r="D535" s="36"/>
      <c r="E535" s="36"/>
      <c r="F535" s="34"/>
      <c r="G535" s="24"/>
      <c r="H535" s="24" t="str">
        <f>IF($B535="","",IF($B535="TRANSCARNES","ACTIVO",IF(COUNTIF(RETIROS!E:E,$B535)=1,"PENDIENTE ELIMINAR",IF(COUNTIFS(ASIGNACIONES!$D:$D,$B535,ASIGNACIONES!$H:$H,E535,ASIGNACIONES!$G:$G,$D535,ASIGNACIONES!$J:$J,$F535)=0,"NUEVO","ACTIVO"))))</f>
        <v/>
      </c>
    </row>
    <row r="536">
      <c r="A536" s="30"/>
      <c r="B536" s="35"/>
      <c r="C536" s="32"/>
      <c r="D536" s="36"/>
      <c r="E536" s="36"/>
      <c r="F536" s="34"/>
      <c r="G536" s="24"/>
      <c r="H536" s="24" t="str">
        <f>IF($B536="","",IF($B536="TRANSCARNES","ACTIVO",IF(COUNTIF(RETIROS!E:E,$B536)=1,"PENDIENTE ELIMINAR",IF(COUNTIFS(ASIGNACIONES!$D:$D,$B536,ASIGNACIONES!$H:$H,E536,ASIGNACIONES!$G:$G,$D536,ASIGNACIONES!$J:$J,$F536)=0,"NUEVO","ACTIVO"))))</f>
        <v/>
      </c>
    </row>
    <row r="537">
      <c r="A537" s="30"/>
      <c r="B537" s="35"/>
      <c r="C537" s="32"/>
      <c r="D537" s="36"/>
      <c r="E537" s="36"/>
      <c r="F537" s="34"/>
      <c r="G537" s="24"/>
      <c r="H537" s="24" t="str">
        <f>IF($B537="","",IF($B537="TRANSCARNES","ACTIVO",IF(COUNTIF(RETIROS!E:E,$B537)=1,"PENDIENTE ELIMINAR",IF(COUNTIFS(ASIGNACIONES!$D:$D,$B537,ASIGNACIONES!$H:$H,E537,ASIGNACIONES!$G:$G,$D537,ASIGNACIONES!$J:$J,$F537)=0,"NUEVO","ACTIVO"))))</f>
        <v/>
      </c>
    </row>
    <row r="538">
      <c r="A538" s="30"/>
      <c r="B538" s="35"/>
      <c r="C538" s="32"/>
      <c r="D538" s="36"/>
      <c r="E538" s="36"/>
      <c r="F538" s="34"/>
      <c r="G538" s="24"/>
      <c r="H538" s="24" t="str">
        <f>IF($B538="","",IF($B538="TRANSCARNES","ACTIVO",IF(COUNTIF(RETIROS!E:E,$B538)=1,"PENDIENTE ELIMINAR",IF(COUNTIFS(ASIGNACIONES!$D:$D,$B538,ASIGNACIONES!$H:$H,E538,ASIGNACIONES!$G:$G,$D538,ASIGNACIONES!$J:$J,$F538)=0,"NUEVO","ACTIVO"))))</f>
        <v/>
      </c>
    </row>
    <row r="539">
      <c r="A539" s="30"/>
      <c r="B539" s="35"/>
      <c r="C539" s="32"/>
      <c r="D539" s="36"/>
      <c r="E539" s="36"/>
      <c r="F539" s="34"/>
      <c r="G539" s="24"/>
      <c r="H539" s="24" t="str">
        <f>IF($B539="","",IF($B539="TRANSCARNES","ACTIVO",IF(COUNTIF(RETIROS!E:E,$B539)=1,"PENDIENTE ELIMINAR",IF(COUNTIFS(ASIGNACIONES!$D:$D,$B539,ASIGNACIONES!$H:$H,E539,ASIGNACIONES!$G:$G,$D539,ASIGNACIONES!$J:$J,$F539)=0,"NUEVO","ACTIVO"))))</f>
        <v/>
      </c>
    </row>
    <row r="540">
      <c r="A540" s="30"/>
      <c r="B540" s="35"/>
      <c r="C540" s="32"/>
      <c r="D540" s="36"/>
      <c r="E540" s="36"/>
      <c r="F540" s="34"/>
      <c r="G540" s="24"/>
      <c r="H540" s="24" t="str">
        <f>IF($B540="","",IF($B540="TRANSCARNES","ACTIVO",IF(COUNTIF(RETIROS!E:E,$B540)=1,"PENDIENTE ELIMINAR",IF(COUNTIFS(ASIGNACIONES!$D:$D,$B540,ASIGNACIONES!$H:$H,E540,ASIGNACIONES!$G:$G,$D540,ASIGNACIONES!$J:$J,$F540)=0,"NUEVO","ACTIVO"))))</f>
        <v/>
      </c>
    </row>
    <row r="541">
      <c r="A541" s="30"/>
      <c r="B541" s="35"/>
      <c r="C541" s="32"/>
      <c r="D541" s="36"/>
      <c r="E541" s="36"/>
      <c r="F541" s="34"/>
      <c r="G541" s="24"/>
      <c r="H541" s="24" t="str">
        <f>IF($B541="","",IF($B541="TRANSCARNES","ACTIVO",IF(COUNTIF(RETIROS!E:E,$B541)=1,"PENDIENTE ELIMINAR",IF(COUNTIFS(ASIGNACIONES!$D:$D,$B541,ASIGNACIONES!$H:$H,E541,ASIGNACIONES!$G:$G,$D541,ASIGNACIONES!$J:$J,$F541)=0,"NUEVO","ACTIVO"))))</f>
        <v/>
      </c>
    </row>
    <row r="542">
      <c r="A542" s="30"/>
      <c r="B542" s="35"/>
      <c r="C542" s="32"/>
      <c r="D542" s="36"/>
      <c r="E542" s="36"/>
      <c r="F542" s="34"/>
      <c r="G542" s="24"/>
      <c r="H542" s="24" t="str">
        <f>IF($B542="","",IF($B542="TRANSCARNES","ACTIVO",IF(COUNTIF(RETIROS!E:E,$B542)=1,"PENDIENTE ELIMINAR",IF(COUNTIFS(ASIGNACIONES!$D:$D,$B542,ASIGNACIONES!$H:$H,E542,ASIGNACIONES!$G:$G,$D542,ASIGNACIONES!$J:$J,$F542)=0,"NUEVO","ACTIVO"))))</f>
        <v/>
      </c>
    </row>
    <row r="543">
      <c r="A543" s="30"/>
      <c r="B543" s="35"/>
      <c r="C543" s="32"/>
      <c r="D543" s="36"/>
      <c r="E543" s="36"/>
      <c r="F543" s="34"/>
      <c r="G543" s="24"/>
      <c r="H543" s="24" t="str">
        <f>IF($B543="","",IF($B543="TRANSCARNES","ACTIVO",IF(COUNTIF(RETIROS!E:E,$B543)=1,"PENDIENTE ELIMINAR",IF(COUNTIFS(ASIGNACIONES!$D:$D,$B543,ASIGNACIONES!$H:$H,E543,ASIGNACIONES!$G:$G,$D543,ASIGNACIONES!$J:$J,$F543)=0,"NUEVO","ACTIVO"))))</f>
        <v/>
      </c>
    </row>
    <row r="544">
      <c r="A544" s="30"/>
      <c r="B544" s="35"/>
      <c r="C544" s="32"/>
      <c r="D544" s="36"/>
      <c r="E544" s="36"/>
      <c r="F544" s="34"/>
      <c r="G544" s="24"/>
      <c r="H544" s="24" t="str">
        <f>IF($B544="","",IF($B544="TRANSCARNES","ACTIVO",IF(COUNTIF(RETIROS!E:E,$B544)=1,"PENDIENTE ELIMINAR",IF(COUNTIFS(ASIGNACIONES!$D:$D,$B544,ASIGNACIONES!$H:$H,E544,ASIGNACIONES!$G:$G,$D544,ASIGNACIONES!$J:$J,$F544)=0,"NUEVO","ACTIVO"))))</f>
        <v/>
      </c>
    </row>
    <row r="545">
      <c r="A545" s="30"/>
      <c r="B545" s="35"/>
      <c r="C545" s="32"/>
      <c r="D545" s="36"/>
      <c r="E545" s="36"/>
      <c r="F545" s="34"/>
      <c r="G545" s="24"/>
      <c r="H545" s="24" t="str">
        <f>IF($B545="","",IF($B545="TRANSCARNES","ACTIVO",IF(COUNTIF(RETIROS!E:E,$B545)=1,"PENDIENTE ELIMINAR",IF(COUNTIFS(ASIGNACIONES!$D:$D,$B545,ASIGNACIONES!$H:$H,E545,ASIGNACIONES!$G:$G,$D545,ASIGNACIONES!$J:$J,$F545)=0,"NUEVO","ACTIVO"))))</f>
        <v/>
      </c>
    </row>
    <row r="546">
      <c r="A546" s="30"/>
      <c r="B546" s="35"/>
      <c r="C546" s="32"/>
      <c r="D546" s="36"/>
      <c r="E546" s="36"/>
      <c r="F546" s="34"/>
      <c r="G546" s="24"/>
      <c r="H546" s="24" t="str">
        <f>IF($B546="","",IF($B546="TRANSCARNES","ACTIVO",IF(COUNTIF(RETIROS!E:E,$B546)=1,"PENDIENTE ELIMINAR",IF(COUNTIFS(ASIGNACIONES!$D:$D,$B546,ASIGNACIONES!$H:$H,E546,ASIGNACIONES!$G:$G,$D546,ASIGNACIONES!$J:$J,$F546)=0,"NUEVO","ACTIVO"))))</f>
        <v/>
      </c>
    </row>
    <row r="547">
      <c r="A547" s="30"/>
      <c r="B547" s="35"/>
      <c r="C547" s="32"/>
      <c r="D547" s="36"/>
      <c r="E547" s="36"/>
      <c r="F547" s="34"/>
      <c r="G547" s="24"/>
      <c r="H547" s="24" t="str">
        <f>IF($B547="","",IF($B547="TRANSCARNES","ACTIVO",IF(COUNTIF(RETIROS!E:E,$B547)=1,"PENDIENTE ELIMINAR",IF(COUNTIFS(ASIGNACIONES!$D:$D,$B547,ASIGNACIONES!$H:$H,E547,ASIGNACIONES!$G:$G,$D547,ASIGNACIONES!$J:$J,$F547)=0,"NUEVO","ACTIVO"))))</f>
        <v/>
      </c>
    </row>
    <row r="548">
      <c r="A548" s="30"/>
      <c r="B548" s="35"/>
      <c r="C548" s="32"/>
      <c r="D548" s="36"/>
      <c r="E548" s="36"/>
      <c r="F548" s="34"/>
      <c r="G548" s="24"/>
      <c r="H548" s="24" t="str">
        <f>IF($B548="","",IF($B548="TRANSCARNES","ACTIVO",IF(COUNTIF(RETIROS!E:E,$B548)=1,"PENDIENTE ELIMINAR",IF(COUNTIFS(ASIGNACIONES!$D:$D,$B548,ASIGNACIONES!$H:$H,E548,ASIGNACIONES!$G:$G,$D548,ASIGNACIONES!$J:$J,$F548)=0,"NUEVO","ACTIVO"))))</f>
        <v/>
      </c>
    </row>
    <row r="549">
      <c r="A549" s="30"/>
      <c r="B549" s="35"/>
      <c r="C549" s="32"/>
      <c r="D549" s="36"/>
      <c r="E549" s="36"/>
      <c r="F549" s="34"/>
      <c r="G549" s="24"/>
      <c r="H549" s="24" t="str">
        <f>IF($B549="","",IF($B549="TRANSCARNES","ACTIVO",IF(COUNTIF(RETIROS!E:E,$B549)=1,"PENDIENTE ELIMINAR",IF(COUNTIFS(ASIGNACIONES!$D:$D,$B549,ASIGNACIONES!$H:$H,E549,ASIGNACIONES!$G:$G,$D549,ASIGNACIONES!$J:$J,$F549)=0,"NUEVO","ACTIVO"))))</f>
        <v/>
      </c>
    </row>
    <row r="550">
      <c r="A550" s="30"/>
      <c r="B550" s="35"/>
      <c r="C550" s="32"/>
      <c r="D550" s="36"/>
      <c r="E550" s="36"/>
      <c r="F550" s="34"/>
      <c r="G550" s="24"/>
      <c r="H550" s="24" t="str">
        <f>IF($B550="","",IF($B550="TRANSCARNES","ACTIVO",IF(COUNTIF(RETIROS!E:E,$B550)=1,"PENDIENTE ELIMINAR",IF(COUNTIFS(ASIGNACIONES!$D:$D,$B550,ASIGNACIONES!$H:$H,E550,ASIGNACIONES!$G:$G,$D550,ASIGNACIONES!$J:$J,$F550)=0,"NUEVO","ACTIVO"))))</f>
        <v/>
      </c>
    </row>
    <row r="551">
      <c r="A551" s="30"/>
      <c r="B551" s="35"/>
      <c r="C551" s="32"/>
      <c r="D551" s="36"/>
      <c r="E551" s="36"/>
      <c r="F551" s="34"/>
      <c r="G551" s="24"/>
      <c r="H551" s="24" t="str">
        <f>IF($B551="","",IF($B551="TRANSCARNES","ACTIVO",IF(COUNTIF(RETIROS!E:E,$B551)=1,"PENDIENTE ELIMINAR",IF(COUNTIFS(ASIGNACIONES!$D:$D,$B551,ASIGNACIONES!$H:$H,E551,ASIGNACIONES!$G:$G,$D551,ASIGNACIONES!$J:$J,$F551)=0,"NUEVO","ACTIVO"))))</f>
        <v/>
      </c>
    </row>
    <row r="552">
      <c r="A552" s="30"/>
      <c r="B552" s="35"/>
      <c r="C552" s="32"/>
      <c r="D552" s="36"/>
      <c r="E552" s="36"/>
      <c r="F552" s="34"/>
      <c r="G552" s="24"/>
      <c r="H552" s="24" t="str">
        <f>IF($B552="","",IF($B552="TRANSCARNES","ACTIVO",IF(COUNTIF(RETIROS!E:E,$B552)=1,"PENDIENTE ELIMINAR",IF(COUNTIFS(ASIGNACIONES!$D:$D,$B552,ASIGNACIONES!$H:$H,E552,ASIGNACIONES!$G:$G,$D552,ASIGNACIONES!$J:$J,$F552)=0,"NUEVO","ACTIVO"))))</f>
        <v/>
      </c>
    </row>
    <row r="553">
      <c r="A553" s="30"/>
      <c r="B553" s="35"/>
      <c r="C553" s="32"/>
      <c r="D553" s="36"/>
      <c r="E553" s="36"/>
      <c r="F553" s="34"/>
      <c r="G553" s="24"/>
      <c r="H553" s="24" t="str">
        <f>IF($B553="","",IF($B553="TRANSCARNES","ACTIVO",IF(COUNTIF(RETIROS!E:E,$B553)=1,"PENDIENTE ELIMINAR",IF(COUNTIFS(ASIGNACIONES!$D:$D,$B553,ASIGNACIONES!$H:$H,E553,ASIGNACIONES!$G:$G,$D553,ASIGNACIONES!$J:$J,$F553)=0,"NUEVO","ACTIVO"))))</f>
        <v/>
      </c>
    </row>
    <row r="554">
      <c r="A554" s="30"/>
      <c r="B554" s="35"/>
      <c r="C554" s="32"/>
      <c r="D554" s="36"/>
      <c r="E554" s="36"/>
      <c r="F554" s="34"/>
      <c r="G554" s="24"/>
      <c r="H554" s="24" t="str">
        <f>IF($B554="","",IF($B554="TRANSCARNES","ACTIVO",IF(COUNTIF(RETIROS!E:E,$B554)=1,"PENDIENTE ELIMINAR",IF(COUNTIFS(ASIGNACIONES!$D:$D,$B554,ASIGNACIONES!$H:$H,E554,ASIGNACIONES!$G:$G,$D554,ASIGNACIONES!$J:$J,$F554)=0,"NUEVO","ACTIVO"))))</f>
        <v/>
      </c>
    </row>
    <row r="555">
      <c r="A555" s="30"/>
      <c r="B555" s="35"/>
      <c r="C555" s="32"/>
      <c r="D555" s="36"/>
      <c r="E555" s="36"/>
      <c r="F555" s="34"/>
      <c r="G555" s="24"/>
      <c r="H555" s="24" t="str">
        <f>IF($B555="","",IF($B555="TRANSCARNES","ACTIVO",IF(COUNTIF(RETIROS!E:E,$B555)=1,"PENDIENTE ELIMINAR",IF(COUNTIFS(ASIGNACIONES!$D:$D,$B555,ASIGNACIONES!$H:$H,E555,ASIGNACIONES!$G:$G,$D555,ASIGNACIONES!$J:$J,$F555)=0,"NUEVO","ACTIVO"))))</f>
        <v/>
      </c>
    </row>
    <row r="556">
      <c r="A556" s="30"/>
      <c r="B556" s="35"/>
      <c r="C556" s="32"/>
      <c r="D556" s="36"/>
      <c r="E556" s="36"/>
      <c r="F556" s="34"/>
      <c r="G556" s="24"/>
      <c r="H556" s="24" t="str">
        <f>IF($B556="","",IF($B556="TRANSCARNES","ACTIVO",IF(COUNTIF(RETIROS!E:E,$B556)=1,"PENDIENTE ELIMINAR",IF(COUNTIFS(ASIGNACIONES!$D:$D,$B556,ASIGNACIONES!$H:$H,E556,ASIGNACIONES!$G:$G,$D556,ASIGNACIONES!$J:$J,$F556)=0,"NUEVO","ACTIVO"))))</f>
        <v/>
      </c>
    </row>
    <row r="557">
      <c r="A557" s="30"/>
      <c r="B557" s="35"/>
      <c r="C557" s="32"/>
      <c r="D557" s="36"/>
      <c r="E557" s="36"/>
      <c r="F557" s="34"/>
      <c r="G557" s="24"/>
      <c r="H557" s="24" t="str">
        <f>IF($B557="","",IF($B557="TRANSCARNES","ACTIVO",IF(COUNTIF(RETIROS!E:E,$B557)=1,"PENDIENTE ELIMINAR",IF(COUNTIFS(ASIGNACIONES!$D:$D,$B557,ASIGNACIONES!$H:$H,E557,ASIGNACIONES!$G:$G,$D557,ASIGNACIONES!$J:$J,$F557)=0,"NUEVO","ACTIVO"))))</f>
        <v/>
      </c>
    </row>
    <row r="558">
      <c r="A558" s="30"/>
      <c r="B558" s="35"/>
      <c r="C558" s="32"/>
      <c r="D558" s="36"/>
      <c r="E558" s="36"/>
      <c r="F558" s="34"/>
      <c r="G558" s="24"/>
      <c r="H558" s="24" t="str">
        <f>IF($B558="","",IF($B558="TRANSCARNES","ACTIVO",IF(COUNTIF(RETIROS!E:E,$B558)=1,"PENDIENTE ELIMINAR",IF(COUNTIFS(ASIGNACIONES!$D:$D,$B558,ASIGNACIONES!$H:$H,E558,ASIGNACIONES!$G:$G,$D558,ASIGNACIONES!$J:$J,$F558)=0,"NUEVO","ACTIVO"))))</f>
        <v/>
      </c>
    </row>
    <row r="559">
      <c r="A559" s="30"/>
      <c r="B559" s="35"/>
      <c r="C559" s="32"/>
      <c r="D559" s="36"/>
      <c r="E559" s="36"/>
      <c r="F559" s="34"/>
      <c r="G559" s="24"/>
      <c r="H559" s="24" t="str">
        <f>IF($B559="","",IF($B559="TRANSCARNES","ACTIVO",IF(COUNTIF(RETIROS!E:E,$B559)=1,"PENDIENTE ELIMINAR",IF(COUNTIFS(ASIGNACIONES!$D:$D,$B559,ASIGNACIONES!$H:$H,E559,ASIGNACIONES!$G:$G,$D559,ASIGNACIONES!$J:$J,$F559)=0,"NUEVO","ACTIVO"))))</f>
        <v/>
      </c>
    </row>
    <row r="560">
      <c r="A560" s="30"/>
      <c r="B560" s="35"/>
      <c r="C560" s="32"/>
      <c r="D560" s="36"/>
      <c r="E560" s="36"/>
      <c r="F560" s="34"/>
      <c r="G560" s="24"/>
      <c r="H560" s="24" t="str">
        <f>IF($B560="","",IF($B560="TRANSCARNES","ACTIVO",IF(COUNTIF(RETIROS!E:E,$B560)=1,"PENDIENTE ELIMINAR",IF(COUNTIFS(ASIGNACIONES!$D:$D,$B560,ASIGNACIONES!$H:$H,E560,ASIGNACIONES!$G:$G,$D560,ASIGNACIONES!$J:$J,$F560)=0,"NUEVO","ACTIVO"))))</f>
        <v/>
      </c>
    </row>
    <row r="561">
      <c r="A561" s="30"/>
      <c r="B561" s="35"/>
      <c r="C561" s="32"/>
      <c r="D561" s="36"/>
      <c r="E561" s="36"/>
      <c r="F561" s="34"/>
      <c r="G561" s="24"/>
      <c r="H561" s="24" t="str">
        <f>IF($B561="","",IF($B561="TRANSCARNES","ACTIVO",IF(COUNTIF(RETIROS!E:E,$B561)=1,"PENDIENTE ELIMINAR",IF(COUNTIFS(ASIGNACIONES!$D:$D,$B561,ASIGNACIONES!$H:$H,E561,ASIGNACIONES!$G:$G,$D561,ASIGNACIONES!$J:$J,$F561)=0,"NUEVO","ACTIVO"))))</f>
        <v/>
      </c>
    </row>
    <row r="562">
      <c r="A562" s="30"/>
      <c r="B562" s="35"/>
      <c r="C562" s="32"/>
      <c r="D562" s="36"/>
      <c r="E562" s="36"/>
      <c r="F562" s="34"/>
      <c r="G562" s="24"/>
      <c r="H562" s="24" t="str">
        <f>IF($B562="","",IF($B562="TRANSCARNES","ACTIVO",IF(COUNTIF(RETIROS!E:E,$B562)=1,"PENDIENTE ELIMINAR",IF(COUNTIFS(ASIGNACIONES!$D:$D,$B562,ASIGNACIONES!$H:$H,E562,ASIGNACIONES!$G:$G,$D562,ASIGNACIONES!$J:$J,$F562)=0,"NUEVO","ACTIVO"))))</f>
        <v/>
      </c>
    </row>
    <row r="563">
      <c r="A563" s="30"/>
      <c r="B563" s="35"/>
      <c r="C563" s="32"/>
      <c r="D563" s="36"/>
      <c r="E563" s="36"/>
      <c r="F563" s="34"/>
      <c r="G563" s="24"/>
      <c r="H563" s="24" t="str">
        <f>IF($B563="","",IF($B563="TRANSCARNES","ACTIVO",IF(COUNTIF(RETIROS!E:E,$B563)=1,"PENDIENTE ELIMINAR",IF(COUNTIFS(ASIGNACIONES!$D:$D,$B563,ASIGNACIONES!$H:$H,E563,ASIGNACIONES!$G:$G,$D563,ASIGNACIONES!$J:$J,$F563)=0,"NUEVO","ACTIVO"))))</f>
        <v/>
      </c>
    </row>
    <row r="564">
      <c r="A564" s="30"/>
      <c r="B564" s="35"/>
      <c r="C564" s="32"/>
      <c r="D564" s="36"/>
      <c r="E564" s="36"/>
      <c r="F564" s="34"/>
      <c r="G564" s="24"/>
      <c r="H564" s="24" t="str">
        <f>IF($B564="","",IF($B564="TRANSCARNES","ACTIVO",IF(COUNTIF(RETIROS!E:E,$B564)=1,"PENDIENTE ELIMINAR",IF(COUNTIFS(ASIGNACIONES!$D:$D,$B564,ASIGNACIONES!$H:$H,E564,ASIGNACIONES!$G:$G,$D564,ASIGNACIONES!$J:$J,$F564)=0,"NUEVO","ACTIVO"))))</f>
        <v/>
      </c>
    </row>
    <row r="565">
      <c r="A565" s="30"/>
      <c r="B565" s="35"/>
      <c r="C565" s="32"/>
      <c r="D565" s="36"/>
      <c r="E565" s="36"/>
      <c r="F565" s="34"/>
      <c r="G565" s="24"/>
      <c r="H565" s="24" t="str">
        <f>IF($B565="","",IF($B565="TRANSCARNES","ACTIVO",IF(COUNTIF(RETIROS!E:E,$B565)=1,"PENDIENTE ELIMINAR",IF(COUNTIFS(ASIGNACIONES!$D:$D,$B565,ASIGNACIONES!$H:$H,E565,ASIGNACIONES!$G:$G,$D565,ASIGNACIONES!$J:$J,$F565)=0,"NUEVO","ACTIVO"))))</f>
        <v/>
      </c>
    </row>
    <row r="566">
      <c r="A566" s="30"/>
      <c r="B566" s="35"/>
      <c r="C566" s="32"/>
      <c r="D566" s="36"/>
      <c r="E566" s="36"/>
      <c r="F566" s="34"/>
      <c r="G566" s="24"/>
      <c r="H566" s="24" t="str">
        <f>IF($B566="","",IF($B566="TRANSCARNES","ACTIVO",IF(COUNTIF(RETIROS!E:E,$B566)=1,"PENDIENTE ELIMINAR",IF(COUNTIFS(ASIGNACIONES!$D:$D,$B566,ASIGNACIONES!$H:$H,E566,ASIGNACIONES!$G:$G,$D566,ASIGNACIONES!$J:$J,$F566)=0,"NUEVO","ACTIVO"))))</f>
        <v/>
      </c>
    </row>
    <row r="567">
      <c r="A567" s="30"/>
      <c r="B567" s="35"/>
      <c r="C567" s="32"/>
      <c r="D567" s="36"/>
      <c r="E567" s="36"/>
      <c r="F567" s="34"/>
      <c r="G567" s="24"/>
      <c r="H567" s="24" t="str">
        <f>IF($B567="","",IF($B567="TRANSCARNES","ACTIVO",IF(COUNTIF(RETIROS!E:E,$B567)=1,"PENDIENTE ELIMINAR",IF(COUNTIFS(ASIGNACIONES!$D:$D,$B567,ASIGNACIONES!$H:$H,E567,ASIGNACIONES!$G:$G,$D567,ASIGNACIONES!$J:$J,$F567)=0,"NUEVO","ACTIVO"))))</f>
        <v/>
      </c>
    </row>
    <row r="568">
      <c r="A568" s="30"/>
      <c r="B568" s="35"/>
      <c r="C568" s="32"/>
      <c r="D568" s="36"/>
      <c r="E568" s="36"/>
      <c r="F568" s="34"/>
      <c r="G568" s="24"/>
      <c r="H568" s="24" t="str">
        <f>IF($B568="","",IF($B568="TRANSCARNES","ACTIVO",IF(COUNTIF(RETIROS!E:E,$B568)=1,"PENDIENTE ELIMINAR",IF(COUNTIFS(ASIGNACIONES!$D:$D,$B568,ASIGNACIONES!$H:$H,E568,ASIGNACIONES!$G:$G,$D568,ASIGNACIONES!$J:$J,$F568)=0,"NUEVO","ACTIVO"))))</f>
        <v/>
      </c>
    </row>
    <row r="569">
      <c r="A569" s="30"/>
      <c r="B569" s="35"/>
      <c r="C569" s="32"/>
      <c r="D569" s="36"/>
      <c r="E569" s="36"/>
      <c r="F569" s="34"/>
      <c r="G569" s="24"/>
      <c r="H569" s="24" t="str">
        <f>IF($B569="","",IF($B569="TRANSCARNES","ACTIVO",IF(COUNTIF(RETIROS!E:E,$B569)=1,"PENDIENTE ELIMINAR",IF(COUNTIFS(ASIGNACIONES!$D:$D,$B569,ASIGNACIONES!$H:$H,E569,ASIGNACIONES!$G:$G,$D569,ASIGNACIONES!$J:$J,$F569)=0,"NUEVO","ACTIVO"))))</f>
        <v/>
      </c>
    </row>
    <row r="570">
      <c r="A570" s="30"/>
      <c r="B570" s="35"/>
      <c r="C570" s="32"/>
      <c r="D570" s="36"/>
      <c r="E570" s="36"/>
      <c r="F570" s="34"/>
      <c r="G570" s="24"/>
      <c r="H570" s="24" t="str">
        <f>IF($B570="","",IF($B570="TRANSCARNES","ACTIVO",IF(COUNTIF(RETIROS!E:E,$B570)=1,"PENDIENTE ELIMINAR",IF(COUNTIFS(ASIGNACIONES!$D:$D,$B570,ASIGNACIONES!$H:$H,E570,ASIGNACIONES!$G:$G,$D570,ASIGNACIONES!$J:$J,$F570)=0,"NUEVO","ACTIVO"))))</f>
        <v/>
      </c>
    </row>
    <row r="571">
      <c r="A571" s="30"/>
      <c r="B571" s="35"/>
      <c r="C571" s="32"/>
      <c r="D571" s="36"/>
      <c r="E571" s="36"/>
      <c r="F571" s="34"/>
      <c r="G571" s="24"/>
      <c r="H571" s="24" t="str">
        <f>IF($B571="","",IF($B571="TRANSCARNES","ACTIVO",IF(COUNTIF(RETIROS!E:E,$B571)=1,"PENDIENTE ELIMINAR",IF(COUNTIFS(ASIGNACIONES!$D:$D,$B571,ASIGNACIONES!$H:$H,E571,ASIGNACIONES!$G:$G,$D571,ASIGNACIONES!$J:$J,$F571)=0,"NUEVO","ACTIVO"))))</f>
        <v/>
      </c>
    </row>
    <row r="572">
      <c r="A572" s="30"/>
      <c r="B572" s="35"/>
      <c r="C572" s="32"/>
      <c r="D572" s="36"/>
      <c r="E572" s="36"/>
      <c r="F572" s="34"/>
      <c r="G572" s="24"/>
      <c r="H572" s="24" t="str">
        <f>IF($B572="","",IF($B572="TRANSCARNES","ACTIVO",IF(COUNTIF(RETIROS!E:E,$B572)=1,"PENDIENTE ELIMINAR",IF(COUNTIFS(ASIGNACIONES!$D:$D,$B572,ASIGNACIONES!$H:$H,E572,ASIGNACIONES!$G:$G,$D572,ASIGNACIONES!$J:$J,$F572)=0,"NUEVO","ACTIVO"))))</f>
        <v/>
      </c>
    </row>
    <row r="573">
      <c r="A573" s="30"/>
      <c r="B573" s="35"/>
      <c r="C573" s="32"/>
      <c r="D573" s="36"/>
      <c r="E573" s="36"/>
      <c r="F573" s="34"/>
      <c r="G573" s="24"/>
      <c r="H573" s="24" t="str">
        <f>IF($B573="","",IF($B573="TRANSCARNES","ACTIVO",IF(COUNTIF(RETIROS!E:E,$B573)=1,"PENDIENTE ELIMINAR",IF(COUNTIFS(ASIGNACIONES!$D:$D,$B573,ASIGNACIONES!$H:$H,E573,ASIGNACIONES!$G:$G,$D573,ASIGNACIONES!$J:$J,$F573)=0,"NUEVO","ACTIVO"))))</f>
        <v/>
      </c>
    </row>
    <row r="574">
      <c r="A574" s="30"/>
      <c r="B574" s="35"/>
      <c r="C574" s="32"/>
      <c r="D574" s="36"/>
      <c r="E574" s="36"/>
      <c r="F574" s="34"/>
      <c r="G574" s="24"/>
      <c r="H574" s="24" t="str">
        <f>IF($B574="","",IF($B574="TRANSCARNES","ACTIVO",IF(COUNTIF(RETIROS!E:E,$B574)=1,"PENDIENTE ELIMINAR",IF(COUNTIFS(ASIGNACIONES!$D:$D,$B574,ASIGNACIONES!$H:$H,E574,ASIGNACIONES!$G:$G,$D574,ASIGNACIONES!$J:$J,$F574)=0,"NUEVO","ACTIVO"))))</f>
        <v/>
      </c>
    </row>
    <row r="575">
      <c r="A575" s="30"/>
      <c r="B575" s="35"/>
      <c r="C575" s="32"/>
      <c r="D575" s="36"/>
      <c r="E575" s="36"/>
      <c r="F575" s="34"/>
      <c r="G575" s="24"/>
      <c r="H575" s="24" t="str">
        <f>IF($B575="","",IF($B575="TRANSCARNES","ACTIVO",IF(COUNTIF(RETIROS!E:E,$B575)=1,"PENDIENTE ELIMINAR",IF(COUNTIFS(ASIGNACIONES!$D:$D,$B575,ASIGNACIONES!$H:$H,E575,ASIGNACIONES!$G:$G,$D575,ASIGNACIONES!$J:$J,$F575)=0,"NUEVO","ACTIVO"))))</f>
        <v/>
      </c>
    </row>
    <row r="576">
      <c r="A576" s="30"/>
      <c r="B576" s="35"/>
      <c r="C576" s="32"/>
      <c r="D576" s="36"/>
      <c r="E576" s="36"/>
      <c r="F576" s="34"/>
      <c r="G576" s="24"/>
      <c r="H576" s="24" t="str">
        <f>IF($B576="","",IF($B576="TRANSCARNES","ACTIVO",IF(COUNTIF(RETIROS!E:E,$B576)=1,"PENDIENTE ELIMINAR",IF(COUNTIFS(ASIGNACIONES!$D:$D,$B576,ASIGNACIONES!$H:$H,E576,ASIGNACIONES!$G:$G,$D576,ASIGNACIONES!$J:$J,$F576)=0,"NUEVO","ACTIVO"))))</f>
        <v/>
      </c>
    </row>
    <row r="577">
      <c r="A577" s="30"/>
      <c r="B577" s="35"/>
      <c r="C577" s="32"/>
      <c r="D577" s="36"/>
      <c r="E577" s="36"/>
      <c r="F577" s="34"/>
      <c r="G577" s="24"/>
      <c r="H577" s="24" t="str">
        <f>IF($B577="","",IF($B577="TRANSCARNES","ACTIVO",IF(COUNTIF(RETIROS!E:E,$B577)=1,"PENDIENTE ELIMINAR",IF(COUNTIFS(ASIGNACIONES!$D:$D,$B577,ASIGNACIONES!$H:$H,E577,ASIGNACIONES!$G:$G,$D577,ASIGNACIONES!$J:$J,$F577)=0,"NUEVO","ACTIVO"))))</f>
        <v/>
      </c>
    </row>
    <row r="578">
      <c r="A578" s="30"/>
      <c r="B578" s="35"/>
      <c r="C578" s="32"/>
      <c r="D578" s="36"/>
      <c r="E578" s="36"/>
      <c r="F578" s="34"/>
      <c r="G578" s="24"/>
      <c r="H578" s="24" t="str">
        <f>IF($B578="","",IF($B578="TRANSCARNES","ACTIVO",IF(COUNTIF(RETIROS!E:E,$B578)=1,"PENDIENTE ELIMINAR",IF(COUNTIFS(ASIGNACIONES!$D:$D,$B578,ASIGNACIONES!$H:$H,E578,ASIGNACIONES!$G:$G,$D578,ASIGNACIONES!$J:$J,$F578)=0,"NUEVO","ACTIVO"))))</f>
        <v/>
      </c>
    </row>
    <row r="579">
      <c r="A579" s="30"/>
      <c r="B579" s="35"/>
      <c r="C579" s="32"/>
      <c r="D579" s="36"/>
      <c r="E579" s="36"/>
      <c r="F579" s="34"/>
      <c r="G579" s="24"/>
      <c r="H579" s="24" t="str">
        <f>IF($B579="","",IF($B579="TRANSCARNES","ACTIVO",IF(COUNTIF(RETIROS!E:E,$B579)=1,"PENDIENTE ELIMINAR",IF(COUNTIFS(ASIGNACIONES!$D:$D,$B579,ASIGNACIONES!$H:$H,E579,ASIGNACIONES!$G:$G,$D579,ASIGNACIONES!$J:$J,$F579)=0,"NUEVO","ACTIVO"))))</f>
        <v/>
      </c>
    </row>
    <row r="580">
      <c r="A580" s="30"/>
      <c r="B580" s="35"/>
      <c r="C580" s="32"/>
      <c r="D580" s="36"/>
      <c r="E580" s="36"/>
      <c r="F580" s="34"/>
      <c r="G580" s="24"/>
      <c r="H580" s="24" t="str">
        <f>IF($B580="","",IF($B580="TRANSCARNES","ACTIVO",IF(COUNTIF(RETIROS!E:E,$B580)=1,"PENDIENTE ELIMINAR",IF(COUNTIFS(ASIGNACIONES!$D:$D,$B580,ASIGNACIONES!$H:$H,E580,ASIGNACIONES!$G:$G,$D580,ASIGNACIONES!$J:$J,$F580)=0,"NUEVO","ACTIVO"))))</f>
        <v/>
      </c>
    </row>
    <row r="581">
      <c r="A581" s="30"/>
      <c r="B581" s="35"/>
      <c r="C581" s="32"/>
      <c r="D581" s="36"/>
      <c r="E581" s="36"/>
      <c r="F581" s="34"/>
      <c r="G581" s="24"/>
      <c r="H581" s="24" t="str">
        <f>IF($B581="","",IF($B581="TRANSCARNES","ACTIVO",IF(COUNTIF(RETIROS!E:E,$B581)=1,"PENDIENTE ELIMINAR",IF(COUNTIFS(ASIGNACIONES!$D:$D,$B581,ASIGNACIONES!$H:$H,E581,ASIGNACIONES!$G:$G,$D581,ASIGNACIONES!$J:$J,$F581)=0,"NUEVO","ACTIVO"))))</f>
        <v/>
      </c>
    </row>
    <row r="582">
      <c r="A582" s="30"/>
      <c r="B582" s="35"/>
      <c r="C582" s="32"/>
      <c r="D582" s="36"/>
      <c r="E582" s="36"/>
      <c r="F582" s="34"/>
      <c r="G582" s="24"/>
      <c r="H582" s="24" t="str">
        <f>IF($B582="","",IF($B582="TRANSCARNES","ACTIVO",IF(COUNTIF(RETIROS!E:E,$B582)=1,"PENDIENTE ELIMINAR",IF(COUNTIFS(ASIGNACIONES!$D:$D,$B582,ASIGNACIONES!$H:$H,E582,ASIGNACIONES!$G:$G,$D582,ASIGNACIONES!$J:$J,$F582)=0,"NUEVO","ACTIVO"))))</f>
        <v/>
      </c>
    </row>
    <row r="583">
      <c r="A583" s="30"/>
      <c r="B583" s="35"/>
      <c r="C583" s="32"/>
      <c r="D583" s="36"/>
      <c r="E583" s="36"/>
      <c r="F583" s="34"/>
      <c r="G583" s="24"/>
      <c r="H583" s="24" t="str">
        <f>IF($B583="","",IF($B583="TRANSCARNES","ACTIVO",IF(COUNTIF(RETIROS!E:E,$B583)=1,"PENDIENTE ELIMINAR",IF(COUNTIFS(ASIGNACIONES!$D:$D,$B583,ASIGNACIONES!$H:$H,E583,ASIGNACIONES!$G:$G,$D583,ASIGNACIONES!$J:$J,$F583)=0,"NUEVO","ACTIVO"))))</f>
        <v/>
      </c>
    </row>
    <row r="584">
      <c r="A584" s="30"/>
      <c r="B584" s="35"/>
      <c r="C584" s="32"/>
      <c r="D584" s="36"/>
      <c r="E584" s="36"/>
      <c r="F584" s="34"/>
      <c r="G584" s="24"/>
      <c r="H584" s="24" t="str">
        <f>IF($B584="","",IF($B584="TRANSCARNES","ACTIVO",IF(COUNTIF(RETIROS!E:E,$B584)=1,"PENDIENTE ELIMINAR",IF(COUNTIFS(ASIGNACIONES!$D:$D,$B584,ASIGNACIONES!$H:$H,E584,ASIGNACIONES!$G:$G,$D584,ASIGNACIONES!$J:$J,$F584)=0,"NUEVO","ACTIVO"))))</f>
        <v/>
      </c>
    </row>
    <row r="585">
      <c r="A585" s="30"/>
      <c r="B585" s="35"/>
      <c r="C585" s="32"/>
      <c r="D585" s="36"/>
      <c r="E585" s="36"/>
      <c r="F585" s="34"/>
      <c r="G585" s="24"/>
      <c r="H585" s="24" t="str">
        <f>IF($B585="","",IF($B585="TRANSCARNES","ACTIVO",IF(COUNTIF(RETIROS!E:E,$B585)=1,"PENDIENTE ELIMINAR",IF(COUNTIFS(ASIGNACIONES!$D:$D,$B585,ASIGNACIONES!$H:$H,E585,ASIGNACIONES!$G:$G,$D585,ASIGNACIONES!$J:$J,$F585)=0,"NUEVO","ACTIVO"))))</f>
        <v/>
      </c>
    </row>
    <row r="586">
      <c r="A586" s="30"/>
      <c r="B586" s="35"/>
      <c r="C586" s="32"/>
      <c r="D586" s="36"/>
      <c r="E586" s="36"/>
      <c r="F586" s="34"/>
      <c r="G586" s="24"/>
      <c r="H586" s="24" t="str">
        <f>IF($B586="","",IF($B586="TRANSCARNES","ACTIVO",IF(COUNTIF(RETIROS!E:E,$B586)=1,"PENDIENTE ELIMINAR",IF(COUNTIFS(ASIGNACIONES!$D:$D,$B586,ASIGNACIONES!$H:$H,E586,ASIGNACIONES!$G:$G,$D586,ASIGNACIONES!$J:$J,$F586)=0,"NUEVO","ACTIVO"))))</f>
        <v/>
      </c>
    </row>
    <row r="587">
      <c r="A587" s="30"/>
      <c r="B587" s="35"/>
      <c r="C587" s="32"/>
      <c r="D587" s="36"/>
      <c r="E587" s="36"/>
      <c r="F587" s="34"/>
      <c r="G587" s="24"/>
      <c r="H587" s="24" t="str">
        <f>IF($B587="","",IF($B587="TRANSCARNES","ACTIVO",IF(COUNTIF(RETIROS!E:E,$B587)=1,"PENDIENTE ELIMINAR",IF(COUNTIFS(ASIGNACIONES!$D:$D,$B587,ASIGNACIONES!$H:$H,E587,ASIGNACIONES!$G:$G,$D587,ASIGNACIONES!$J:$J,$F587)=0,"NUEVO","ACTIVO"))))</f>
        <v/>
      </c>
    </row>
    <row r="588">
      <c r="A588" s="30"/>
      <c r="B588" s="35"/>
      <c r="C588" s="32"/>
      <c r="D588" s="36"/>
      <c r="E588" s="36"/>
      <c r="F588" s="34"/>
      <c r="G588" s="24"/>
      <c r="H588" s="24" t="str">
        <f>IF($B588="","",IF($B588="TRANSCARNES","ACTIVO",IF(COUNTIF(RETIROS!E:E,$B588)=1,"PENDIENTE ELIMINAR",IF(COUNTIFS(ASIGNACIONES!$D:$D,$B588,ASIGNACIONES!$H:$H,E588,ASIGNACIONES!$G:$G,$D588,ASIGNACIONES!$J:$J,$F588)=0,"NUEVO","ACTIVO"))))</f>
        <v/>
      </c>
    </row>
    <row r="589">
      <c r="A589" s="30"/>
      <c r="B589" s="35"/>
      <c r="C589" s="32"/>
      <c r="D589" s="36"/>
      <c r="E589" s="36"/>
      <c r="F589" s="34"/>
      <c r="G589" s="24"/>
      <c r="H589" s="24" t="str">
        <f>IF($B589="","",IF($B589="TRANSCARNES","ACTIVO",IF(COUNTIF(RETIROS!E:E,$B589)=1,"PENDIENTE ELIMINAR",IF(COUNTIFS(ASIGNACIONES!$D:$D,$B589,ASIGNACIONES!$H:$H,E589,ASIGNACIONES!$G:$G,$D589,ASIGNACIONES!$J:$J,$F589)=0,"NUEVO","ACTIVO"))))</f>
        <v/>
      </c>
    </row>
    <row r="590">
      <c r="A590" s="30"/>
      <c r="B590" s="35"/>
      <c r="C590" s="32"/>
      <c r="D590" s="36"/>
      <c r="E590" s="36"/>
      <c r="F590" s="34"/>
      <c r="G590" s="24"/>
      <c r="H590" s="24" t="str">
        <f>IF($B590="","",IF($B590="TRANSCARNES","ACTIVO",IF(COUNTIF(RETIROS!E:E,$B590)=1,"PENDIENTE ELIMINAR",IF(COUNTIFS(ASIGNACIONES!$D:$D,$B590,ASIGNACIONES!$H:$H,E590,ASIGNACIONES!$G:$G,$D590,ASIGNACIONES!$J:$J,$F590)=0,"NUEVO","ACTIVO"))))</f>
        <v/>
      </c>
    </row>
    <row r="591">
      <c r="A591" s="30"/>
      <c r="B591" s="35"/>
      <c r="C591" s="32"/>
      <c r="D591" s="36"/>
      <c r="E591" s="36"/>
      <c r="F591" s="34"/>
      <c r="G591" s="24"/>
      <c r="H591" s="24" t="str">
        <f>IF($B591="","",IF($B591="TRANSCARNES","ACTIVO",IF(COUNTIF(RETIROS!E:E,$B591)=1,"PENDIENTE ELIMINAR",IF(COUNTIFS(ASIGNACIONES!$D:$D,$B591,ASIGNACIONES!$H:$H,E591,ASIGNACIONES!$G:$G,$D591,ASIGNACIONES!$J:$J,$F591)=0,"NUEVO","ACTIVO"))))</f>
        <v/>
      </c>
    </row>
    <row r="592">
      <c r="A592" s="30"/>
      <c r="B592" s="35"/>
      <c r="C592" s="32"/>
      <c r="D592" s="36"/>
      <c r="E592" s="36"/>
      <c r="F592" s="34"/>
      <c r="G592" s="24"/>
      <c r="H592" s="24" t="str">
        <f>IF($B592="","",IF($B592="TRANSCARNES","ACTIVO",IF(COUNTIF(RETIROS!E:E,$B592)=1,"PENDIENTE ELIMINAR",IF(COUNTIFS(ASIGNACIONES!$D:$D,$B592,ASIGNACIONES!$H:$H,E592,ASIGNACIONES!$G:$G,$D592,ASIGNACIONES!$J:$J,$F592)=0,"NUEVO","ACTIVO"))))</f>
        <v/>
      </c>
    </row>
    <row r="593">
      <c r="A593" s="30"/>
      <c r="B593" s="35"/>
      <c r="C593" s="32"/>
      <c r="D593" s="36"/>
      <c r="E593" s="36"/>
      <c r="F593" s="34"/>
      <c r="G593" s="24"/>
      <c r="H593" s="24" t="str">
        <f>IF($B593="","",IF($B593="TRANSCARNES","ACTIVO",IF(COUNTIF(RETIROS!E:E,$B593)=1,"PENDIENTE ELIMINAR",IF(COUNTIFS(ASIGNACIONES!$D:$D,$B593,ASIGNACIONES!$H:$H,E593,ASIGNACIONES!$G:$G,$D593,ASIGNACIONES!$J:$J,$F593)=0,"NUEVO","ACTIVO"))))</f>
        <v/>
      </c>
    </row>
    <row r="594">
      <c r="A594" s="30"/>
      <c r="B594" s="35"/>
      <c r="C594" s="32"/>
      <c r="D594" s="36"/>
      <c r="E594" s="36"/>
      <c r="F594" s="34"/>
      <c r="G594" s="24"/>
      <c r="H594" s="24" t="str">
        <f>IF($B594="","",IF($B594="TRANSCARNES","ACTIVO",IF(COUNTIF(RETIROS!E:E,$B594)=1,"PENDIENTE ELIMINAR",IF(COUNTIFS(ASIGNACIONES!$D:$D,$B594,ASIGNACIONES!$H:$H,E594,ASIGNACIONES!$G:$G,$D594,ASIGNACIONES!$J:$J,$F594)=0,"NUEVO","ACTIVO"))))</f>
        <v/>
      </c>
    </row>
    <row r="595">
      <c r="A595" s="30"/>
      <c r="B595" s="35"/>
      <c r="C595" s="32"/>
      <c r="D595" s="36"/>
      <c r="E595" s="36"/>
      <c r="F595" s="34"/>
      <c r="G595" s="24"/>
      <c r="H595" s="24" t="str">
        <f>IF($B595="","",IF($B595="TRANSCARNES","ACTIVO",IF(COUNTIF(RETIROS!E:E,$B595)=1,"PENDIENTE ELIMINAR",IF(COUNTIFS(ASIGNACIONES!$D:$D,$B595,ASIGNACIONES!$H:$H,E595,ASIGNACIONES!$G:$G,$D595,ASIGNACIONES!$J:$J,$F595)=0,"NUEVO","ACTIVO"))))</f>
        <v/>
      </c>
    </row>
    <row r="596">
      <c r="A596" s="30"/>
      <c r="B596" s="35"/>
      <c r="C596" s="32"/>
      <c r="D596" s="36"/>
      <c r="E596" s="36"/>
      <c r="F596" s="34"/>
      <c r="G596" s="24"/>
      <c r="H596" s="24" t="str">
        <f>IF($B596="","",IF($B596="TRANSCARNES","ACTIVO",IF(COUNTIF(RETIROS!E:E,$B596)=1,"PENDIENTE ELIMINAR",IF(COUNTIFS(ASIGNACIONES!$D:$D,$B596,ASIGNACIONES!$H:$H,E596,ASIGNACIONES!$G:$G,$D596,ASIGNACIONES!$J:$J,$F596)=0,"NUEVO","ACTIVO"))))</f>
        <v/>
      </c>
    </row>
    <row r="597">
      <c r="A597" s="30"/>
      <c r="B597" s="35"/>
      <c r="C597" s="32"/>
      <c r="D597" s="36"/>
      <c r="E597" s="36"/>
      <c r="F597" s="34"/>
      <c r="G597" s="24"/>
      <c r="H597" s="24" t="str">
        <f>IF($B597="","",IF($B597="TRANSCARNES","ACTIVO",IF(COUNTIF(RETIROS!E:E,$B597)=1,"PENDIENTE ELIMINAR",IF(COUNTIFS(ASIGNACIONES!$D:$D,$B597,ASIGNACIONES!$H:$H,E597,ASIGNACIONES!$G:$G,$D597,ASIGNACIONES!$J:$J,$F597)=0,"NUEVO","ACTIVO"))))</f>
        <v/>
      </c>
    </row>
    <row r="598">
      <c r="A598" s="30"/>
      <c r="B598" s="35"/>
      <c r="C598" s="32"/>
      <c r="D598" s="36"/>
      <c r="E598" s="36"/>
      <c r="F598" s="34"/>
      <c r="G598" s="24"/>
      <c r="H598" s="24" t="str">
        <f>IF($B598="","",IF($B598="TRANSCARNES","ACTIVO",IF(COUNTIF(RETIROS!E:E,$B598)=1,"PENDIENTE ELIMINAR",IF(COUNTIFS(ASIGNACIONES!$D:$D,$B598,ASIGNACIONES!$H:$H,E598,ASIGNACIONES!$G:$G,$D598,ASIGNACIONES!$J:$J,$F598)=0,"NUEVO","ACTIVO"))))</f>
        <v/>
      </c>
    </row>
    <row r="599">
      <c r="A599" s="30"/>
      <c r="B599" s="35"/>
      <c r="C599" s="32"/>
      <c r="D599" s="36"/>
      <c r="E599" s="36"/>
      <c r="F599" s="34"/>
      <c r="G599" s="24"/>
      <c r="H599" s="24" t="str">
        <f>IF($B599="","",IF($B599="TRANSCARNES","ACTIVO",IF(COUNTIF(RETIROS!E:E,$B599)=1,"PENDIENTE ELIMINAR",IF(COUNTIFS(ASIGNACIONES!$D:$D,$B599,ASIGNACIONES!$H:$H,E599,ASIGNACIONES!$G:$G,$D599,ASIGNACIONES!$J:$J,$F599)=0,"NUEVO","ACTIVO"))))</f>
        <v/>
      </c>
    </row>
    <row r="600">
      <c r="A600" s="30"/>
      <c r="B600" s="35"/>
      <c r="C600" s="32"/>
      <c r="D600" s="36"/>
      <c r="E600" s="36"/>
      <c r="F600" s="34"/>
      <c r="G600" s="24"/>
      <c r="H600" s="24" t="str">
        <f>IF($B600="","",IF($B600="TRANSCARNES","ACTIVO",IF(COUNTIF(RETIROS!E:E,$B600)=1,"PENDIENTE ELIMINAR",IF(COUNTIFS(ASIGNACIONES!$D:$D,$B600,ASIGNACIONES!$H:$H,E600,ASIGNACIONES!$G:$G,$D600,ASIGNACIONES!$J:$J,$F600)=0,"NUEVO","ACTIVO"))))</f>
        <v/>
      </c>
    </row>
    <row r="601">
      <c r="A601" s="30"/>
      <c r="B601" s="35"/>
      <c r="C601" s="32"/>
      <c r="D601" s="36"/>
      <c r="E601" s="36"/>
      <c r="F601" s="34"/>
      <c r="G601" s="24"/>
      <c r="H601" s="24" t="str">
        <f>IF($B601="","",IF($B601="TRANSCARNES","ACTIVO",IF(COUNTIF(RETIROS!E:E,$B601)=1,"PENDIENTE ELIMINAR",IF(COUNTIFS(ASIGNACIONES!$D:$D,$B601,ASIGNACIONES!$H:$H,E601,ASIGNACIONES!$G:$G,$D601,ASIGNACIONES!$J:$J,$F601)=0,"NUEVO","ACTIVO"))))</f>
        <v/>
      </c>
    </row>
    <row r="602">
      <c r="A602" s="30"/>
      <c r="B602" s="35"/>
      <c r="C602" s="32"/>
      <c r="D602" s="36"/>
      <c r="E602" s="36"/>
      <c r="F602" s="34"/>
      <c r="G602" s="24"/>
      <c r="H602" s="24" t="str">
        <f>IF($B602="","",IF($B602="TRANSCARNES","ACTIVO",IF(COUNTIF(RETIROS!E:E,$B602)=1,"PENDIENTE ELIMINAR",IF(COUNTIFS(ASIGNACIONES!$D:$D,$B602,ASIGNACIONES!$H:$H,E602,ASIGNACIONES!$G:$G,$D602,ASIGNACIONES!$J:$J,$F602)=0,"NUEVO","ACTIVO"))))</f>
        <v/>
      </c>
    </row>
    <row r="603">
      <c r="A603" s="30"/>
      <c r="B603" s="35"/>
      <c r="C603" s="32"/>
      <c r="D603" s="36"/>
      <c r="E603" s="36"/>
      <c r="F603" s="34"/>
      <c r="G603" s="24"/>
      <c r="H603" s="24" t="str">
        <f>IF($B603="","",IF($B603="TRANSCARNES","ACTIVO",IF(COUNTIF(RETIROS!E:E,$B603)=1,"PENDIENTE ELIMINAR",IF(COUNTIFS(ASIGNACIONES!$D:$D,$B603,ASIGNACIONES!$H:$H,E603,ASIGNACIONES!$G:$G,$D603,ASIGNACIONES!$J:$J,$F603)=0,"NUEVO","ACTIVO"))))</f>
        <v/>
      </c>
    </row>
    <row r="604">
      <c r="A604" s="30"/>
      <c r="B604" s="35"/>
      <c r="C604" s="32"/>
      <c r="D604" s="36"/>
      <c r="E604" s="36"/>
      <c r="F604" s="34"/>
      <c r="G604" s="24"/>
      <c r="H604" s="24" t="str">
        <f>IF($B604="","",IF($B604="TRANSCARNES","ACTIVO",IF(COUNTIF(RETIROS!E:E,$B604)=1,"PENDIENTE ELIMINAR",IF(COUNTIFS(ASIGNACIONES!$D:$D,$B604,ASIGNACIONES!$H:$H,E604,ASIGNACIONES!$G:$G,$D604,ASIGNACIONES!$J:$J,$F604)=0,"NUEVO","ACTIVO"))))</f>
        <v/>
      </c>
    </row>
    <row r="605">
      <c r="A605" s="30"/>
      <c r="B605" s="35"/>
      <c r="C605" s="32"/>
      <c r="D605" s="36"/>
      <c r="E605" s="36"/>
      <c r="F605" s="34"/>
      <c r="G605" s="24"/>
      <c r="H605" s="24" t="str">
        <f>IF($B605="","",IF($B605="TRANSCARNES","ACTIVO",IF(COUNTIF(RETIROS!E:E,$B605)=1,"PENDIENTE ELIMINAR",IF(COUNTIFS(ASIGNACIONES!$D:$D,$B605,ASIGNACIONES!$H:$H,E605,ASIGNACIONES!$G:$G,$D605,ASIGNACIONES!$J:$J,$F605)=0,"NUEVO","ACTIVO"))))</f>
        <v/>
      </c>
    </row>
    <row r="606">
      <c r="A606" s="30"/>
      <c r="B606" s="35"/>
      <c r="C606" s="32"/>
      <c r="D606" s="36"/>
      <c r="E606" s="36"/>
      <c r="F606" s="34"/>
      <c r="G606" s="24"/>
      <c r="H606" s="24" t="str">
        <f>IF($B606="","",IF($B606="TRANSCARNES","ACTIVO",IF(COUNTIF(RETIROS!E:E,$B606)=1,"PENDIENTE ELIMINAR",IF(COUNTIFS(ASIGNACIONES!$D:$D,$B606,ASIGNACIONES!$H:$H,E606,ASIGNACIONES!$G:$G,$D606,ASIGNACIONES!$J:$J,$F606)=0,"NUEVO","ACTIVO"))))</f>
        <v/>
      </c>
    </row>
    <row r="607">
      <c r="A607" s="30"/>
      <c r="B607" s="35"/>
      <c r="C607" s="32"/>
      <c r="D607" s="36"/>
      <c r="E607" s="36"/>
      <c r="F607" s="34"/>
      <c r="G607" s="24"/>
      <c r="H607" s="24" t="str">
        <f>IF($B607="","",IF($B607="TRANSCARNES","ACTIVO",IF(COUNTIF(RETIROS!E:E,$B607)=1,"PENDIENTE ELIMINAR",IF(COUNTIFS(ASIGNACIONES!$D:$D,$B607,ASIGNACIONES!$H:$H,E607,ASIGNACIONES!$G:$G,$D607,ASIGNACIONES!$J:$J,$F607)=0,"NUEVO","ACTIVO"))))</f>
        <v/>
      </c>
    </row>
    <row r="608">
      <c r="A608" s="30"/>
      <c r="B608" s="35"/>
      <c r="C608" s="32"/>
      <c r="D608" s="36"/>
      <c r="E608" s="36"/>
      <c r="F608" s="34"/>
      <c r="G608" s="24"/>
      <c r="H608" s="24" t="str">
        <f>IF($B608="","",IF($B608="TRANSCARNES","ACTIVO",IF(COUNTIF(RETIROS!E:E,$B608)=1,"PENDIENTE ELIMINAR",IF(COUNTIFS(ASIGNACIONES!$D:$D,$B608,ASIGNACIONES!$H:$H,E608,ASIGNACIONES!$G:$G,$D608,ASIGNACIONES!$J:$J,$F608)=0,"NUEVO","ACTIVO"))))</f>
        <v/>
      </c>
    </row>
    <row r="609">
      <c r="A609" s="30"/>
      <c r="B609" s="35"/>
      <c r="C609" s="32"/>
      <c r="D609" s="36"/>
      <c r="E609" s="36"/>
      <c r="F609" s="34"/>
      <c r="G609" s="24"/>
      <c r="H609" s="24" t="str">
        <f>IF($B609="","",IF($B609="TRANSCARNES","ACTIVO",IF(COUNTIF(RETIROS!E:E,$B609)=1,"PENDIENTE ELIMINAR",IF(COUNTIFS(ASIGNACIONES!$D:$D,$B609,ASIGNACIONES!$H:$H,E609,ASIGNACIONES!$G:$G,$D609,ASIGNACIONES!$J:$J,$F609)=0,"NUEVO","ACTIVO"))))</f>
        <v/>
      </c>
    </row>
    <row r="610">
      <c r="A610" s="30"/>
      <c r="B610" s="35"/>
      <c r="C610" s="32"/>
      <c r="D610" s="36"/>
      <c r="E610" s="36"/>
      <c r="F610" s="34"/>
      <c r="G610" s="24"/>
      <c r="H610" s="24" t="str">
        <f>IF($B610="","",IF($B610="TRANSCARNES","ACTIVO",IF(COUNTIF(RETIROS!E:E,$B610)=1,"PENDIENTE ELIMINAR",IF(COUNTIFS(ASIGNACIONES!$D:$D,$B610,ASIGNACIONES!$H:$H,E610,ASIGNACIONES!$G:$G,$D610,ASIGNACIONES!$J:$J,$F610)=0,"NUEVO","ACTIVO"))))</f>
        <v/>
      </c>
    </row>
    <row r="611">
      <c r="A611" s="30"/>
      <c r="B611" s="35"/>
      <c r="C611" s="32"/>
      <c r="D611" s="36"/>
      <c r="E611" s="36"/>
      <c r="F611" s="34"/>
      <c r="G611" s="24"/>
      <c r="H611" s="24" t="str">
        <f>IF($B611="","",IF($B611="TRANSCARNES","ACTIVO",IF(COUNTIF(RETIROS!E:E,$B611)=1,"PENDIENTE ELIMINAR",IF(COUNTIFS(ASIGNACIONES!$D:$D,$B611,ASIGNACIONES!$H:$H,E611,ASIGNACIONES!$G:$G,$D611,ASIGNACIONES!$J:$J,$F611)=0,"NUEVO","ACTIVO"))))</f>
        <v/>
      </c>
    </row>
    <row r="612">
      <c r="A612" s="30"/>
      <c r="B612" s="35"/>
      <c r="C612" s="32"/>
      <c r="D612" s="36"/>
      <c r="E612" s="36"/>
      <c r="F612" s="34"/>
      <c r="G612" s="24"/>
      <c r="H612" s="24" t="str">
        <f>IF($B612="","",IF($B612="TRANSCARNES","ACTIVO",IF(COUNTIF(RETIROS!E:E,$B612)=1,"PENDIENTE ELIMINAR",IF(COUNTIFS(ASIGNACIONES!$D:$D,$B612,ASIGNACIONES!$H:$H,E612,ASIGNACIONES!$G:$G,$D612,ASIGNACIONES!$J:$J,$F612)=0,"NUEVO","ACTIVO"))))</f>
        <v/>
      </c>
    </row>
    <row r="613">
      <c r="A613" s="30"/>
      <c r="B613" s="35"/>
      <c r="C613" s="32"/>
      <c r="D613" s="36"/>
      <c r="E613" s="36"/>
      <c r="F613" s="34"/>
      <c r="G613" s="24"/>
      <c r="H613" s="24" t="str">
        <f>IF($B613="","",IF($B613="TRANSCARNES","ACTIVO",IF(COUNTIF(RETIROS!E:E,$B613)=1,"PENDIENTE ELIMINAR",IF(COUNTIFS(ASIGNACIONES!$D:$D,$B613,ASIGNACIONES!$H:$H,E613,ASIGNACIONES!$G:$G,$D613,ASIGNACIONES!$J:$J,$F613)=0,"NUEVO","ACTIVO"))))</f>
        <v/>
      </c>
    </row>
    <row r="614">
      <c r="A614" s="30"/>
      <c r="B614" s="35"/>
      <c r="C614" s="32"/>
      <c r="D614" s="36"/>
      <c r="E614" s="36"/>
      <c r="F614" s="34"/>
      <c r="G614" s="24"/>
      <c r="H614" s="24" t="str">
        <f>IF($B614="","",IF($B614="TRANSCARNES","ACTIVO",IF(COUNTIF(RETIROS!E:E,$B614)=1,"PENDIENTE ELIMINAR",IF(COUNTIFS(ASIGNACIONES!$D:$D,$B614,ASIGNACIONES!$H:$H,E614,ASIGNACIONES!$G:$G,$D614,ASIGNACIONES!$J:$J,$F614)=0,"NUEVO","ACTIVO"))))</f>
        <v/>
      </c>
    </row>
    <row r="615">
      <c r="A615" s="30"/>
      <c r="B615" s="35"/>
      <c r="C615" s="32"/>
      <c r="D615" s="36"/>
      <c r="E615" s="36"/>
      <c r="F615" s="34"/>
      <c r="G615" s="24"/>
      <c r="H615" s="24" t="str">
        <f>IF($B615="","",IF($B615="TRANSCARNES","ACTIVO",IF(COUNTIF(RETIROS!E:E,$B615)=1,"PENDIENTE ELIMINAR",IF(COUNTIFS(ASIGNACIONES!$D:$D,$B615,ASIGNACIONES!$H:$H,E615,ASIGNACIONES!$G:$G,$D615,ASIGNACIONES!$J:$J,$F615)=0,"NUEVO","ACTIVO"))))</f>
        <v/>
      </c>
    </row>
    <row r="616">
      <c r="A616" s="30"/>
      <c r="B616" s="35"/>
      <c r="C616" s="32"/>
      <c r="D616" s="36"/>
      <c r="E616" s="36"/>
      <c r="F616" s="34"/>
      <c r="G616" s="24"/>
      <c r="H616" s="24" t="str">
        <f>IF($B616="","",IF($B616="TRANSCARNES","ACTIVO",IF(COUNTIF(RETIROS!E:E,$B616)=1,"PENDIENTE ELIMINAR",IF(COUNTIFS(ASIGNACIONES!$D:$D,$B616,ASIGNACIONES!$H:$H,E616,ASIGNACIONES!$G:$G,$D616,ASIGNACIONES!$J:$J,$F616)=0,"NUEVO","ACTIVO"))))</f>
        <v/>
      </c>
    </row>
    <row r="617">
      <c r="A617" s="30"/>
      <c r="B617" s="35"/>
      <c r="C617" s="32"/>
      <c r="D617" s="36"/>
      <c r="E617" s="36"/>
      <c r="F617" s="34"/>
      <c r="G617" s="24"/>
      <c r="H617" s="24" t="str">
        <f>IF($B617="","",IF($B617="TRANSCARNES","ACTIVO",IF(COUNTIF(RETIROS!E:E,$B617)=1,"PENDIENTE ELIMINAR",IF(COUNTIFS(ASIGNACIONES!$D:$D,$B617,ASIGNACIONES!$H:$H,E617,ASIGNACIONES!$G:$G,$D617,ASIGNACIONES!$J:$J,$F617)=0,"NUEVO","ACTIVO"))))</f>
        <v/>
      </c>
    </row>
    <row r="618">
      <c r="A618" s="30"/>
      <c r="B618" s="35"/>
      <c r="C618" s="32"/>
      <c r="D618" s="36"/>
      <c r="E618" s="36"/>
      <c r="F618" s="34"/>
      <c r="G618" s="24"/>
      <c r="H618" s="24" t="str">
        <f>IF($B618="","",IF($B618="TRANSCARNES","ACTIVO",IF(COUNTIF(RETIROS!E:E,$B618)=1,"PENDIENTE ELIMINAR",IF(COUNTIFS(ASIGNACIONES!$D:$D,$B618,ASIGNACIONES!$H:$H,E618,ASIGNACIONES!$G:$G,$D618,ASIGNACIONES!$J:$J,$F618)=0,"NUEVO","ACTIVO"))))</f>
        <v/>
      </c>
    </row>
    <row r="619">
      <c r="A619" s="30"/>
      <c r="B619" s="35"/>
      <c r="C619" s="32"/>
      <c r="D619" s="36"/>
      <c r="E619" s="36"/>
      <c r="F619" s="34"/>
      <c r="G619" s="24"/>
      <c r="H619" s="24" t="str">
        <f>IF($B619="","",IF($B619="TRANSCARNES","ACTIVO",IF(COUNTIF(RETIROS!E:E,$B619)=1,"PENDIENTE ELIMINAR",IF(COUNTIFS(ASIGNACIONES!$D:$D,$B619,ASIGNACIONES!$H:$H,E619,ASIGNACIONES!$G:$G,$D619,ASIGNACIONES!$J:$J,$F619)=0,"NUEVO","ACTIVO"))))</f>
        <v/>
      </c>
    </row>
    <row r="620">
      <c r="A620" s="30"/>
      <c r="B620" s="35"/>
      <c r="C620" s="32"/>
      <c r="D620" s="36"/>
      <c r="E620" s="36"/>
      <c r="F620" s="34"/>
      <c r="G620" s="24"/>
      <c r="H620" s="24" t="str">
        <f>IF($B620="","",IF($B620="TRANSCARNES","ACTIVO",IF(COUNTIF(RETIROS!E:E,$B620)=1,"PENDIENTE ELIMINAR",IF(COUNTIFS(ASIGNACIONES!$D:$D,$B620,ASIGNACIONES!$H:$H,E620,ASIGNACIONES!$G:$G,$D620,ASIGNACIONES!$J:$J,$F620)=0,"NUEVO","ACTIVO"))))</f>
        <v/>
      </c>
    </row>
    <row r="621">
      <c r="A621" s="30"/>
      <c r="B621" s="35"/>
      <c r="C621" s="32"/>
      <c r="D621" s="36"/>
      <c r="E621" s="36"/>
      <c r="F621" s="34"/>
      <c r="G621" s="24"/>
      <c r="H621" s="24" t="str">
        <f>IF($B621="","",IF($B621="TRANSCARNES","ACTIVO",IF(COUNTIF(RETIROS!E:E,$B621)=1,"PENDIENTE ELIMINAR",IF(COUNTIFS(ASIGNACIONES!$D:$D,$B621,ASIGNACIONES!$H:$H,E621,ASIGNACIONES!$G:$G,$D621,ASIGNACIONES!$J:$J,$F621)=0,"NUEVO","ACTIVO"))))</f>
        <v/>
      </c>
    </row>
    <row r="622">
      <c r="A622" s="30"/>
      <c r="B622" s="35"/>
      <c r="C622" s="32"/>
      <c r="D622" s="36"/>
      <c r="E622" s="36"/>
      <c r="F622" s="34"/>
      <c r="G622" s="24"/>
      <c r="H622" s="24" t="str">
        <f>IF($B622="","",IF($B622="TRANSCARNES","ACTIVO",IF(COUNTIF(RETIROS!E:E,$B622)=1,"PENDIENTE ELIMINAR",IF(COUNTIFS(ASIGNACIONES!$D:$D,$B622,ASIGNACIONES!$H:$H,E622,ASIGNACIONES!$G:$G,$D622,ASIGNACIONES!$J:$J,$F622)=0,"NUEVO","ACTIVO"))))</f>
        <v/>
      </c>
    </row>
    <row r="623">
      <c r="A623" s="30"/>
      <c r="B623" s="35"/>
      <c r="C623" s="32"/>
      <c r="D623" s="36"/>
      <c r="E623" s="36"/>
      <c r="F623" s="34"/>
      <c r="G623" s="24"/>
      <c r="H623" s="24" t="str">
        <f>IF($B623="","",IF($B623="TRANSCARNES","ACTIVO",IF(COUNTIF(RETIROS!E:E,$B623)=1,"PENDIENTE ELIMINAR",IF(COUNTIFS(ASIGNACIONES!$D:$D,$B623,ASIGNACIONES!$H:$H,E623,ASIGNACIONES!$G:$G,$D623,ASIGNACIONES!$J:$J,$F623)=0,"NUEVO","ACTIVO"))))</f>
        <v/>
      </c>
    </row>
    <row r="624">
      <c r="A624" s="30"/>
      <c r="B624" s="35"/>
      <c r="C624" s="32"/>
      <c r="D624" s="36"/>
      <c r="E624" s="36"/>
      <c r="F624" s="34"/>
      <c r="G624" s="24"/>
      <c r="H624" s="24" t="str">
        <f>IF($B624="","",IF($B624="TRANSCARNES","ACTIVO",IF(COUNTIF(RETIROS!E:E,$B624)=1,"PENDIENTE ELIMINAR",IF(COUNTIFS(ASIGNACIONES!$D:$D,$B624,ASIGNACIONES!$H:$H,E624,ASIGNACIONES!$G:$G,$D624,ASIGNACIONES!$J:$J,$F624)=0,"NUEVO","ACTIVO"))))</f>
        <v/>
      </c>
    </row>
    <row r="625">
      <c r="A625" s="30"/>
      <c r="B625" s="35"/>
      <c r="C625" s="32"/>
      <c r="D625" s="36"/>
      <c r="E625" s="36"/>
      <c r="F625" s="34"/>
      <c r="G625" s="24"/>
      <c r="H625" s="24" t="str">
        <f>IF($B625="","",IF($B625="TRANSCARNES","ACTIVO",IF(COUNTIF(RETIROS!E:E,$B625)=1,"PENDIENTE ELIMINAR",IF(COUNTIFS(ASIGNACIONES!$D:$D,$B625,ASIGNACIONES!$H:$H,E625,ASIGNACIONES!$G:$G,$D625,ASIGNACIONES!$J:$J,$F625)=0,"NUEVO","ACTIVO"))))</f>
        <v/>
      </c>
    </row>
    <row r="626">
      <c r="A626" s="30"/>
      <c r="B626" s="35"/>
      <c r="C626" s="32"/>
      <c r="D626" s="36"/>
      <c r="E626" s="36"/>
      <c r="F626" s="34"/>
      <c r="G626" s="24"/>
      <c r="H626" s="24" t="str">
        <f>IF($B626="","",IF($B626="TRANSCARNES","ACTIVO",IF(COUNTIF(RETIROS!E:E,$B626)=1,"PENDIENTE ELIMINAR",IF(COUNTIFS(ASIGNACIONES!$D:$D,$B626,ASIGNACIONES!$H:$H,E626,ASIGNACIONES!$G:$G,$D626,ASIGNACIONES!$J:$J,$F626)=0,"NUEVO","ACTIVO"))))</f>
        <v/>
      </c>
    </row>
    <row r="627">
      <c r="A627" s="30"/>
      <c r="B627" s="35"/>
      <c r="C627" s="32"/>
      <c r="D627" s="36"/>
      <c r="E627" s="36"/>
      <c r="F627" s="34"/>
      <c r="G627" s="24"/>
      <c r="H627" s="24" t="str">
        <f>IF($B627="","",IF($B627="TRANSCARNES","ACTIVO",IF(COUNTIF(RETIROS!E:E,$B627)=1,"PENDIENTE ELIMINAR",IF(COUNTIFS(ASIGNACIONES!$D:$D,$B627,ASIGNACIONES!$H:$H,E627,ASIGNACIONES!$G:$G,$D627,ASIGNACIONES!$J:$J,$F627)=0,"NUEVO","ACTIVO"))))</f>
        <v/>
      </c>
    </row>
    <row r="628">
      <c r="A628" s="30"/>
      <c r="B628" s="35"/>
      <c r="C628" s="32"/>
      <c r="D628" s="36"/>
      <c r="E628" s="36"/>
      <c r="F628" s="34"/>
      <c r="G628" s="24"/>
      <c r="H628" s="24" t="str">
        <f>IF($B628="","",IF($B628="TRANSCARNES","ACTIVO",IF(COUNTIF(RETIROS!E:E,$B628)=1,"PENDIENTE ELIMINAR",IF(COUNTIFS(ASIGNACIONES!$D:$D,$B628,ASIGNACIONES!$H:$H,E628,ASIGNACIONES!$G:$G,$D628,ASIGNACIONES!$J:$J,$F628)=0,"NUEVO","ACTIVO"))))</f>
        <v/>
      </c>
    </row>
    <row r="629">
      <c r="A629" s="30"/>
      <c r="B629" s="35"/>
      <c r="C629" s="32"/>
      <c r="D629" s="36"/>
      <c r="E629" s="36"/>
      <c r="F629" s="34"/>
      <c r="G629" s="24"/>
      <c r="H629" s="24" t="str">
        <f>IF($B629="","",IF($B629="TRANSCARNES","ACTIVO",IF(COUNTIF(RETIROS!E:E,$B629)=1,"PENDIENTE ELIMINAR",IF(COUNTIFS(ASIGNACIONES!$D:$D,$B629,ASIGNACIONES!$H:$H,E629,ASIGNACIONES!$G:$G,$D629,ASIGNACIONES!$J:$J,$F629)=0,"NUEVO","ACTIVO"))))</f>
        <v/>
      </c>
    </row>
    <row r="630">
      <c r="A630" s="30"/>
      <c r="B630" s="35"/>
      <c r="C630" s="32"/>
      <c r="D630" s="36"/>
      <c r="E630" s="36"/>
      <c r="F630" s="34"/>
      <c r="G630" s="24"/>
      <c r="H630" s="24" t="str">
        <f>IF($B630="","",IF($B630="TRANSCARNES","ACTIVO",IF(COUNTIF(RETIROS!E:E,$B630)=1,"PENDIENTE ELIMINAR",IF(COUNTIFS(ASIGNACIONES!$D:$D,$B630,ASIGNACIONES!$H:$H,E630,ASIGNACIONES!$G:$G,$D630,ASIGNACIONES!$J:$J,$F630)=0,"NUEVO","ACTIVO"))))</f>
        <v/>
      </c>
    </row>
    <row r="631">
      <c r="A631" s="30"/>
      <c r="B631" s="35"/>
      <c r="C631" s="32"/>
      <c r="D631" s="36"/>
      <c r="E631" s="36"/>
      <c r="F631" s="34"/>
      <c r="G631" s="24"/>
      <c r="H631" s="24" t="str">
        <f>IF($B631="","",IF($B631="TRANSCARNES","ACTIVO",IF(COUNTIF(RETIROS!E:E,$B631)=1,"PENDIENTE ELIMINAR",IF(COUNTIFS(ASIGNACIONES!$D:$D,$B631,ASIGNACIONES!$H:$H,E631,ASIGNACIONES!$G:$G,$D631,ASIGNACIONES!$J:$J,$F631)=0,"NUEVO","ACTIVO"))))</f>
        <v/>
      </c>
    </row>
    <row r="632">
      <c r="A632" s="30"/>
      <c r="B632" s="35"/>
      <c r="C632" s="32"/>
      <c r="D632" s="36"/>
      <c r="E632" s="36"/>
      <c r="F632" s="34"/>
      <c r="G632" s="24"/>
      <c r="H632" s="24" t="str">
        <f>IF($B632="","",IF($B632="TRANSCARNES","ACTIVO",IF(COUNTIF(RETIROS!E:E,$B632)=1,"PENDIENTE ELIMINAR",IF(COUNTIFS(ASIGNACIONES!$D:$D,$B632,ASIGNACIONES!$H:$H,E632,ASIGNACIONES!$G:$G,$D632,ASIGNACIONES!$J:$J,$F632)=0,"NUEVO","ACTIVO"))))</f>
        <v/>
      </c>
    </row>
    <row r="633">
      <c r="A633" s="30"/>
      <c r="B633" s="35"/>
      <c r="C633" s="32"/>
      <c r="D633" s="36"/>
      <c r="E633" s="36"/>
      <c r="F633" s="34"/>
      <c r="G633" s="24"/>
      <c r="H633" s="24" t="str">
        <f>IF($B633="","",IF($B633="TRANSCARNES","ACTIVO",IF(COUNTIF(RETIROS!E:E,$B633)=1,"PENDIENTE ELIMINAR",IF(COUNTIFS(ASIGNACIONES!$D:$D,$B633,ASIGNACIONES!$H:$H,E633,ASIGNACIONES!$G:$G,$D633,ASIGNACIONES!$J:$J,$F633)=0,"NUEVO","ACTIVO"))))</f>
        <v/>
      </c>
    </row>
    <row r="634">
      <c r="A634" s="30"/>
      <c r="B634" s="35"/>
      <c r="C634" s="32"/>
      <c r="D634" s="36"/>
      <c r="E634" s="36"/>
      <c r="F634" s="34"/>
      <c r="G634" s="24"/>
      <c r="H634" s="24" t="str">
        <f>IF($B634="","",IF($B634="TRANSCARNES","ACTIVO",IF(COUNTIF(RETIROS!E:E,$B634)=1,"PENDIENTE ELIMINAR",IF(COUNTIFS(ASIGNACIONES!$D:$D,$B634,ASIGNACIONES!$H:$H,E634,ASIGNACIONES!$G:$G,$D634,ASIGNACIONES!$J:$J,$F634)=0,"NUEVO","ACTIVO"))))</f>
        <v/>
      </c>
    </row>
    <row r="635">
      <c r="A635" s="30"/>
      <c r="B635" s="35"/>
      <c r="C635" s="32"/>
      <c r="D635" s="36"/>
      <c r="E635" s="36"/>
      <c r="F635" s="34"/>
      <c r="G635" s="24"/>
      <c r="H635" s="24" t="str">
        <f>IF($B635="","",IF($B635="TRANSCARNES","ACTIVO",IF(COUNTIF(RETIROS!E:E,$B635)=1,"PENDIENTE ELIMINAR",IF(COUNTIFS(ASIGNACIONES!$D:$D,$B635,ASIGNACIONES!$H:$H,E635,ASIGNACIONES!$G:$G,$D635,ASIGNACIONES!$J:$J,$F635)=0,"NUEVO","ACTIVO"))))</f>
        <v/>
      </c>
    </row>
    <row r="636">
      <c r="A636" s="30"/>
      <c r="B636" s="35"/>
      <c r="C636" s="32"/>
      <c r="D636" s="36"/>
      <c r="E636" s="36"/>
      <c r="F636" s="34"/>
      <c r="G636" s="24"/>
      <c r="H636" s="24" t="str">
        <f>IF($B636="","",IF($B636="TRANSCARNES","ACTIVO",IF(COUNTIF(RETIROS!E:E,$B636)=1,"PENDIENTE ELIMINAR",IF(COUNTIFS(ASIGNACIONES!$D:$D,$B636,ASIGNACIONES!$H:$H,E636,ASIGNACIONES!$G:$G,$D636,ASIGNACIONES!$J:$J,$F636)=0,"NUEVO","ACTIVO"))))</f>
        <v/>
      </c>
    </row>
    <row r="637">
      <c r="A637" s="30"/>
      <c r="B637" s="35"/>
      <c r="C637" s="32"/>
      <c r="D637" s="36"/>
      <c r="E637" s="36"/>
      <c r="F637" s="34"/>
      <c r="G637" s="24"/>
      <c r="H637" s="24" t="str">
        <f>IF($B637="","",IF($B637="TRANSCARNES","ACTIVO",IF(COUNTIF(RETIROS!E:E,$B637)=1,"PENDIENTE ELIMINAR",IF(COUNTIFS(ASIGNACIONES!$D:$D,$B637,ASIGNACIONES!$H:$H,E637,ASIGNACIONES!$G:$G,$D637,ASIGNACIONES!$J:$J,$F637)=0,"NUEVO","ACTIVO"))))</f>
        <v/>
      </c>
    </row>
    <row r="638">
      <c r="A638" s="30"/>
      <c r="B638" s="35"/>
      <c r="C638" s="32"/>
      <c r="D638" s="36"/>
      <c r="E638" s="36"/>
      <c r="F638" s="34"/>
      <c r="G638" s="24"/>
      <c r="H638" s="24" t="str">
        <f>IF($B638="","",IF($B638="TRANSCARNES","ACTIVO",IF(COUNTIF(RETIROS!E:E,$B638)=1,"PENDIENTE ELIMINAR",IF(COUNTIFS(ASIGNACIONES!$D:$D,$B638,ASIGNACIONES!$H:$H,E638,ASIGNACIONES!$G:$G,$D638,ASIGNACIONES!$J:$J,$F638)=0,"NUEVO","ACTIVO"))))</f>
        <v/>
      </c>
    </row>
    <row r="639">
      <c r="A639" s="30"/>
      <c r="B639" s="35"/>
      <c r="C639" s="32"/>
      <c r="D639" s="36"/>
      <c r="E639" s="36"/>
      <c r="F639" s="34"/>
      <c r="G639" s="24"/>
      <c r="H639" s="24" t="str">
        <f>IF($B639="","",IF($B639="TRANSCARNES","ACTIVO",IF(COUNTIF(RETIROS!E:E,$B639)=1,"PENDIENTE ELIMINAR",IF(COUNTIFS(ASIGNACIONES!$D:$D,$B639,ASIGNACIONES!$H:$H,E639,ASIGNACIONES!$G:$G,$D639,ASIGNACIONES!$J:$J,$F639)=0,"NUEVO","ACTIVO"))))</f>
        <v/>
      </c>
    </row>
    <row r="640">
      <c r="A640" s="30"/>
      <c r="B640" s="35"/>
      <c r="C640" s="32"/>
      <c r="D640" s="36"/>
      <c r="E640" s="36"/>
      <c r="F640" s="34"/>
      <c r="G640" s="24"/>
      <c r="H640" s="24" t="str">
        <f>IF($B640="","",IF($B640="TRANSCARNES","ACTIVO",IF(COUNTIF(RETIROS!E:E,$B640)=1,"PENDIENTE ELIMINAR",IF(COUNTIFS(ASIGNACIONES!$D:$D,$B640,ASIGNACIONES!$H:$H,E640,ASIGNACIONES!$G:$G,$D640,ASIGNACIONES!$J:$J,$F640)=0,"NUEVO","ACTIVO"))))</f>
        <v/>
      </c>
    </row>
    <row r="641">
      <c r="A641" s="30"/>
      <c r="B641" s="35"/>
      <c r="C641" s="32"/>
      <c r="D641" s="36"/>
      <c r="E641" s="36"/>
      <c r="F641" s="34"/>
      <c r="G641" s="24"/>
      <c r="H641" s="24" t="str">
        <f>IF($B641="","",IF($B641="TRANSCARNES","ACTIVO",IF(COUNTIF(RETIROS!E:E,$B641)=1,"PENDIENTE ELIMINAR",IF(COUNTIFS(ASIGNACIONES!$D:$D,$B641,ASIGNACIONES!$H:$H,E641,ASIGNACIONES!$G:$G,$D641,ASIGNACIONES!$J:$J,$F641)=0,"NUEVO","ACTIVO"))))</f>
        <v/>
      </c>
    </row>
    <row r="642">
      <c r="A642" s="30"/>
      <c r="B642" s="35"/>
      <c r="C642" s="32"/>
      <c r="D642" s="36"/>
      <c r="E642" s="36"/>
      <c r="F642" s="34"/>
      <c r="G642" s="24"/>
      <c r="H642" s="24" t="str">
        <f>IF($B642="","",IF($B642="TRANSCARNES","ACTIVO",IF(COUNTIF(RETIROS!E:E,$B642)=1,"PENDIENTE ELIMINAR",IF(COUNTIFS(ASIGNACIONES!$D:$D,$B642,ASIGNACIONES!$H:$H,E642,ASIGNACIONES!$G:$G,$D642,ASIGNACIONES!$J:$J,$F642)=0,"NUEVO","ACTIVO"))))</f>
        <v/>
      </c>
    </row>
    <row r="643">
      <c r="A643" s="30"/>
      <c r="B643" s="35"/>
      <c r="C643" s="32"/>
      <c r="D643" s="36"/>
      <c r="E643" s="36"/>
      <c r="F643" s="34"/>
      <c r="G643" s="24"/>
      <c r="H643" s="24" t="str">
        <f>IF($B643="","",IF($B643="TRANSCARNES","ACTIVO",IF(COUNTIF(RETIROS!E:E,$B643)=1,"PENDIENTE ELIMINAR",IF(COUNTIFS(ASIGNACIONES!$D:$D,$B643,ASIGNACIONES!$H:$H,E643,ASIGNACIONES!$G:$G,$D643,ASIGNACIONES!$J:$J,$F643)=0,"NUEVO","ACTIVO"))))</f>
        <v/>
      </c>
    </row>
    <row r="644">
      <c r="A644" s="30"/>
      <c r="B644" s="35"/>
      <c r="C644" s="32"/>
      <c r="D644" s="36"/>
      <c r="E644" s="36"/>
      <c r="F644" s="34"/>
      <c r="G644" s="24"/>
      <c r="H644" s="24" t="str">
        <f>IF($B644="","",IF($B644="TRANSCARNES","ACTIVO",IF(COUNTIF(RETIROS!E:E,$B644)=1,"PENDIENTE ELIMINAR",IF(COUNTIFS(ASIGNACIONES!$D:$D,$B644,ASIGNACIONES!$H:$H,E644,ASIGNACIONES!$G:$G,$D644,ASIGNACIONES!$J:$J,$F644)=0,"NUEVO","ACTIVO"))))</f>
        <v/>
      </c>
    </row>
    <row r="645">
      <c r="A645" s="30"/>
      <c r="B645" s="35"/>
      <c r="C645" s="32"/>
      <c r="D645" s="36"/>
      <c r="E645" s="36"/>
      <c r="F645" s="34"/>
      <c r="G645" s="24"/>
      <c r="H645" s="24" t="str">
        <f>IF($B645="","",IF($B645="TRANSCARNES","ACTIVO",IF(COUNTIF(RETIROS!E:E,$B645)=1,"PENDIENTE ELIMINAR",IF(COUNTIFS(ASIGNACIONES!$D:$D,$B645,ASIGNACIONES!$H:$H,E645,ASIGNACIONES!$G:$G,$D645,ASIGNACIONES!$J:$J,$F645)=0,"NUEVO","ACTIVO"))))</f>
        <v/>
      </c>
    </row>
    <row r="646">
      <c r="A646" s="30"/>
      <c r="B646" s="35"/>
      <c r="C646" s="32"/>
      <c r="D646" s="36"/>
      <c r="E646" s="36"/>
      <c r="F646" s="34"/>
      <c r="G646" s="24"/>
      <c r="H646" s="24" t="str">
        <f>IF($B646="","",IF($B646="TRANSCARNES","ACTIVO",IF(COUNTIF(RETIROS!E:E,$B646)=1,"PENDIENTE ELIMINAR",IF(COUNTIFS(ASIGNACIONES!$D:$D,$B646,ASIGNACIONES!$H:$H,E646,ASIGNACIONES!$G:$G,$D646,ASIGNACIONES!$J:$J,$F646)=0,"NUEVO","ACTIVO"))))</f>
        <v/>
      </c>
    </row>
    <row r="647">
      <c r="A647" s="30"/>
      <c r="B647" s="35"/>
      <c r="C647" s="32"/>
      <c r="D647" s="36"/>
      <c r="E647" s="36"/>
      <c r="F647" s="34"/>
      <c r="G647" s="24"/>
      <c r="H647" s="24" t="str">
        <f>IF($B647="","",IF($B647="TRANSCARNES","ACTIVO",IF(COUNTIF(RETIROS!E:E,$B647)=1,"PENDIENTE ELIMINAR",IF(COUNTIFS(ASIGNACIONES!$D:$D,$B647,ASIGNACIONES!$H:$H,E647,ASIGNACIONES!$G:$G,$D647,ASIGNACIONES!$J:$J,$F647)=0,"NUEVO","ACTIVO"))))</f>
        <v/>
      </c>
    </row>
    <row r="648">
      <c r="A648" s="30"/>
      <c r="B648" s="35"/>
      <c r="C648" s="32"/>
      <c r="D648" s="36"/>
      <c r="E648" s="36"/>
      <c r="F648" s="34"/>
      <c r="G648" s="24"/>
      <c r="H648" s="24" t="str">
        <f>IF($B648="","",IF($B648="TRANSCARNES","ACTIVO",IF(COUNTIF(RETIROS!E:E,$B648)=1,"PENDIENTE ELIMINAR",IF(COUNTIFS(ASIGNACIONES!$D:$D,$B648,ASIGNACIONES!$H:$H,E648,ASIGNACIONES!$G:$G,$D648,ASIGNACIONES!$J:$J,$F648)=0,"NUEVO","ACTIVO"))))</f>
        <v/>
      </c>
    </row>
    <row r="649">
      <c r="A649" s="30"/>
      <c r="B649" s="35"/>
      <c r="C649" s="32"/>
      <c r="D649" s="36"/>
      <c r="E649" s="36"/>
      <c r="F649" s="34"/>
      <c r="G649" s="24"/>
      <c r="H649" s="24" t="str">
        <f>IF($B649="","",IF($B649="TRANSCARNES","ACTIVO",IF(COUNTIF(RETIROS!E:E,$B649)=1,"PENDIENTE ELIMINAR",IF(COUNTIFS(ASIGNACIONES!$D:$D,$B649,ASIGNACIONES!$H:$H,E649,ASIGNACIONES!$G:$G,$D649,ASIGNACIONES!$J:$J,$F649)=0,"NUEVO","ACTIVO"))))</f>
        <v/>
      </c>
    </row>
    <row r="650">
      <c r="A650" s="30"/>
      <c r="B650" s="35"/>
      <c r="C650" s="32"/>
      <c r="D650" s="36"/>
      <c r="E650" s="36"/>
      <c r="F650" s="34"/>
      <c r="G650" s="24"/>
      <c r="H650" s="24" t="str">
        <f>IF($B650="","",IF($B650="TRANSCARNES","ACTIVO",IF(COUNTIF(RETIROS!E:E,$B650)=1,"PENDIENTE ELIMINAR",IF(COUNTIFS(ASIGNACIONES!$D:$D,$B650,ASIGNACIONES!$H:$H,E650,ASIGNACIONES!$G:$G,$D650,ASIGNACIONES!$J:$J,$F650)=0,"NUEVO","ACTIVO"))))</f>
        <v/>
      </c>
    </row>
    <row r="651">
      <c r="A651" s="30"/>
      <c r="B651" s="35"/>
      <c r="C651" s="32"/>
      <c r="D651" s="36"/>
      <c r="E651" s="36"/>
      <c r="F651" s="34"/>
      <c r="G651" s="24"/>
      <c r="H651" s="24" t="str">
        <f>IF($B651="","",IF($B651="TRANSCARNES","ACTIVO",IF(COUNTIF(RETIROS!E:E,$B651)=1,"PENDIENTE ELIMINAR",IF(COUNTIFS(ASIGNACIONES!$D:$D,$B651,ASIGNACIONES!$H:$H,E651,ASIGNACIONES!$G:$G,$D651,ASIGNACIONES!$J:$J,$F651)=0,"NUEVO","ACTIVO"))))</f>
        <v/>
      </c>
    </row>
    <row r="652">
      <c r="A652" s="30"/>
      <c r="B652" s="35"/>
      <c r="C652" s="32"/>
      <c r="D652" s="36"/>
      <c r="E652" s="36"/>
      <c r="F652" s="34"/>
      <c r="G652" s="24"/>
      <c r="H652" s="24" t="str">
        <f>IF($B652="","",IF($B652="TRANSCARNES","ACTIVO",IF(COUNTIF(RETIROS!E:E,$B652)=1,"PENDIENTE ELIMINAR",IF(COUNTIFS(ASIGNACIONES!$D:$D,$B652,ASIGNACIONES!$H:$H,E652,ASIGNACIONES!$G:$G,$D652,ASIGNACIONES!$J:$J,$F652)=0,"NUEVO","ACTIVO"))))</f>
        <v/>
      </c>
    </row>
    <row r="653">
      <c r="A653" s="30"/>
      <c r="B653" s="35"/>
      <c r="C653" s="32"/>
      <c r="D653" s="36"/>
      <c r="E653" s="36"/>
      <c r="F653" s="34"/>
      <c r="G653" s="24"/>
      <c r="H653" s="24" t="str">
        <f>IF($B653="","",IF($B653="TRANSCARNES","ACTIVO",IF(COUNTIF(RETIROS!E:E,$B653)=1,"PENDIENTE ELIMINAR",IF(COUNTIFS(ASIGNACIONES!$D:$D,$B653,ASIGNACIONES!$H:$H,E653,ASIGNACIONES!$G:$G,$D653,ASIGNACIONES!$J:$J,$F653)=0,"NUEVO","ACTIVO"))))</f>
        <v/>
      </c>
    </row>
    <row r="654">
      <c r="A654" s="30"/>
      <c r="B654" s="35"/>
      <c r="C654" s="32"/>
      <c r="D654" s="36"/>
      <c r="E654" s="36"/>
      <c r="F654" s="34"/>
      <c r="G654" s="24"/>
      <c r="H654" s="24" t="str">
        <f>IF($B654="","",IF($B654="TRANSCARNES","ACTIVO",IF(COUNTIF(RETIROS!E:E,$B654)=1,"PENDIENTE ELIMINAR",IF(COUNTIFS(ASIGNACIONES!$D:$D,$B654,ASIGNACIONES!$H:$H,E654,ASIGNACIONES!$G:$G,$D654,ASIGNACIONES!$J:$J,$F654)=0,"NUEVO","ACTIVO"))))</f>
        <v/>
      </c>
    </row>
    <row r="655">
      <c r="A655" s="30"/>
      <c r="B655" s="35"/>
      <c r="C655" s="32"/>
      <c r="D655" s="36"/>
      <c r="E655" s="36"/>
      <c r="F655" s="34"/>
      <c r="G655" s="24"/>
      <c r="H655" s="24" t="str">
        <f>IF($B655="","",IF($B655="TRANSCARNES","ACTIVO",IF(COUNTIF(RETIROS!E:E,$B655)=1,"PENDIENTE ELIMINAR",IF(COUNTIFS(ASIGNACIONES!$D:$D,$B655,ASIGNACIONES!$H:$H,E655,ASIGNACIONES!$G:$G,$D655,ASIGNACIONES!$J:$J,$F655)=0,"NUEVO","ACTIVO"))))</f>
        <v/>
      </c>
    </row>
    <row r="656">
      <c r="A656" s="30"/>
      <c r="B656" s="35"/>
      <c r="C656" s="32"/>
      <c r="D656" s="36"/>
      <c r="E656" s="36"/>
      <c r="F656" s="34"/>
      <c r="G656" s="24"/>
      <c r="H656" s="24" t="str">
        <f>IF($B656="","",IF($B656="TRANSCARNES","ACTIVO",IF(COUNTIF(RETIROS!E:E,$B656)=1,"PENDIENTE ELIMINAR",IF(COUNTIFS(ASIGNACIONES!$D:$D,$B656,ASIGNACIONES!$H:$H,E656,ASIGNACIONES!$G:$G,$D656,ASIGNACIONES!$J:$J,$F656)=0,"NUEVO","ACTIVO"))))</f>
        <v/>
      </c>
    </row>
    <row r="657">
      <c r="A657" s="30"/>
      <c r="B657" s="35"/>
      <c r="C657" s="32"/>
      <c r="D657" s="36"/>
      <c r="E657" s="36"/>
      <c r="F657" s="34"/>
      <c r="G657" s="24"/>
      <c r="H657" s="24" t="str">
        <f>IF($B657="","",IF($B657="TRANSCARNES","ACTIVO",IF(COUNTIF(RETIROS!E:E,$B657)=1,"PENDIENTE ELIMINAR",IF(COUNTIFS(ASIGNACIONES!$D:$D,$B657,ASIGNACIONES!$H:$H,E657,ASIGNACIONES!$G:$G,$D657,ASIGNACIONES!$J:$J,$F657)=0,"NUEVO","ACTIVO"))))</f>
        <v/>
      </c>
    </row>
    <row r="658">
      <c r="A658" s="30"/>
      <c r="B658" s="35"/>
      <c r="C658" s="32"/>
      <c r="D658" s="36"/>
      <c r="E658" s="36"/>
      <c r="F658" s="34"/>
      <c r="G658" s="24"/>
      <c r="H658" s="24" t="str">
        <f>IF($B658="","",IF($B658="TRANSCARNES","ACTIVO",IF(COUNTIF(RETIROS!E:E,$B658)=1,"PENDIENTE ELIMINAR",IF(COUNTIFS(ASIGNACIONES!$D:$D,$B658,ASIGNACIONES!$H:$H,E658,ASIGNACIONES!$G:$G,$D658,ASIGNACIONES!$J:$J,$F658)=0,"NUEVO","ACTIVO"))))</f>
        <v/>
      </c>
    </row>
    <row r="659">
      <c r="A659" s="30"/>
      <c r="B659" s="35"/>
      <c r="C659" s="32"/>
      <c r="D659" s="36"/>
      <c r="E659" s="36"/>
      <c r="F659" s="34"/>
      <c r="G659" s="24"/>
      <c r="H659" s="24" t="str">
        <f>IF($B659="","",IF($B659="TRANSCARNES","ACTIVO",IF(COUNTIF(RETIROS!E:E,$B659)=1,"PENDIENTE ELIMINAR",IF(COUNTIFS(ASIGNACIONES!$D:$D,$B659,ASIGNACIONES!$H:$H,E659,ASIGNACIONES!$G:$G,$D659,ASIGNACIONES!$J:$J,$F659)=0,"NUEVO","ACTIVO"))))</f>
        <v/>
      </c>
    </row>
    <row r="660">
      <c r="A660" s="30"/>
      <c r="B660" s="35"/>
      <c r="C660" s="32"/>
      <c r="D660" s="36"/>
      <c r="E660" s="36"/>
      <c r="F660" s="34"/>
      <c r="G660" s="24"/>
      <c r="H660" s="24" t="str">
        <f>IF($B660="","",IF($B660="TRANSCARNES","ACTIVO",IF(COUNTIF(RETIROS!E:E,$B660)=1,"PENDIENTE ELIMINAR",IF(COUNTIFS(ASIGNACIONES!$D:$D,$B660,ASIGNACIONES!$H:$H,E660,ASIGNACIONES!$G:$G,$D660,ASIGNACIONES!$J:$J,$F660)=0,"NUEVO","ACTIVO"))))</f>
        <v/>
      </c>
    </row>
    <row r="661">
      <c r="A661" s="30"/>
      <c r="B661" s="35"/>
      <c r="C661" s="32"/>
      <c r="D661" s="36"/>
      <c r="E661" s="36"/>
      <c r="F661" s="34"/>
      <c r="G661" s="24"/>
      <c r="H661" s="24" t="str">
        <f>IF($B661="","",IF($B661="TRANSCARNES","ACTIVO",IF(COUNTIF(RETIROS!E:E,$B661)=1,"PENDIENTE ELIMINAR",IF(COUNTIFS(ASIGNACIONES!$D:$D,$B661,ASIGNACIONES!$H:$H,E661,ASIGNACIONES!$G:$G,$D661,ASIGNACIONES!$J:$J,$F661)=0,"NUEVO","ACTIVO"))))</f>
        <v/>
      </c>
    </row>
    <row r="662">
      <c r="A662" s="30"/>
      <c r="B662" s="35"/>
      <c r="C662" s="32"/>
      <c r="D662" s="36"/>
      <c r="E662" s="36"/>
      <c r="F662" s="34"/>
      <c r="G662" s="24"/>
      <c r="H662" s="24" t="str">
        <f>IF($B662="","",IF($B662="TRANSCARNES","ACTIVO",IF(COUNTIF(RETIROS!E:E,$B662)=1,"PENDIENTE ELIMINAR",IF(COUNTIFS(ASIGNACIONES!$D:$D,$B662,ASIGNACIONES!$H:$H,E662,ASIGNACIONES!$G:$G,$D662,ASIGNACIONES!$J:$J,$F662)=0,"NUEVO","ACTIVO"))))</f>
        <v/>
      </c>
    </row>
    <row r="663">
      <c r="A663" s="30"/>
      <c r="B663" s="35"/>
      <c r="C663" s="32"/>
      <c r="D663" s="36"/>
      <c r="E663" s="36"/>
      <c r="F663" s="34"/>
      <c r="G663" s="24"/>
      <c r="H663" s="24" t="str">
        <f>IF($B663="","",IF($B663="TRANSCARNES","ACTIVO",IF(COUNTIF(RETIROS!E:E,$B663)=1,"PENDIENTE ELIMINAR",IF(COUNTIFS(ASIGNACIONES!$D:$D,$B663,ASIGNACIONES!$H:$H,E663,ASIGNACIONES!$G:$G,$D663,ASIGNACIONES!$J:$J,$F663)=0,"NUEVO","ACTIVO"))))</f>
        <v/>
      </c>
    </row>
    <row r="664">
      <c r="A664" s="30"/>
      <c r="B664" s="35"/>
      <c r="C664" s="32"/>
      <c r="D664" s="36"/>
      <c r="E664" s="36"/>
      <c r="F664" s="34"/>
      <c r="G664" s="24"/>
      <c r="H664" s="24" t="str">
        <f>IF($B664="","",IF($B664="TRANSCARNES","ACTIVO",IF(COUNTIF(RETIROS!E:E,$B664)=1,"PENDIENTE ELIMINAR",IF(COUNTIFS(ASIGNACIONES!$D:$D,$B664,ASIGNACIONES!$H:$H,E664,ASIGNACIONES!$G:$G,$D664,ASIGNACIONES!$J:$J,$F664)=0,"NUEVO","ACTIVO"))))</f>
        <v/>
      </c>
    </row>
    <row r="665">
      <c r="A665" s="30"/>
      <c r="B665" s="35"/>
      <c r="C665" s="32"/>
      <c r="D665" s="36"/>
      <c r="E665" s="36"/>
      <c r="F665" s="34"/>
      <c r="G665" s="24"/>
      <c r="H665" s="24" t="str">
        <f>IF($B665="","",IF($B665="TRANSCARNES","ACTIVO",IF(COUNTIF(RETIROS!E:E,$B665)=1,"PENDIENTE ELIMINAR",IF(COUNTIFS(ASIGNACIONES!$D:$D,$B665,ASIGNACIONES!$H:$H,E665,ASIGNACIONES!$G:$G,$D665,ASIGNACIONES!$J:$J,$F665)=0,"NUEVO","ACTIVO"))))</f>
        <v/>
      </c>
    </row>
    <row r="666">
      <c r="A666" s="30"/>
      <c r="B666" s="35"/>
      <c r="C666" s="32"/>
      <c r="D666" s="36"/>
      <c r="E666" s="36"/>
      <c r="F666" s="34"/>
      <c r="G666" s="24"/>
      <c r="H666" s="24" t="str">
        <f>IF($B666="","",IF($B666="TRANSCARNES","ACTIVO",IF(COUNTIF(RETIROS!E:E,$B666)=1,"PENDIENTE ELIMINAR",IF(COUNTIFS(ASIGNACIONES!$D:$D,$B666,ASIGNACIONES!$H:$H,E666,ASIGNACIONES!$G:$G,$D666,ASIGNACIONES!$J:$J,$F666)=0,"NUEVO","ACTIVO"))))</f>
        <v/>
      </c>
    </row>
    <row r="667">
      <c r="A667" s="30"/>
      <c r="B667" s="35"/>
      <c r="C667" s="32"/>
      <c r="D667" s="36"/>
      <c r="E667" s="36"/>
      <c r="F667" s="34"/>
      <c r="G667" s="24"/>
      <c r="H667" s="24" t="str">
        <f>IF($B667="","",IF($B667="TRANSCARNES","ACTIVO",IF(COUNTIF(RETIROS!E:E,$B667)=1,"PENDIENTE ELIMINAR",IF(COUNTIFS(ASIGNACIONES!$D:$D,$B667,ASIGNACIONES!$H:$H,E667,ASIGNACIONES!$G:$G,$D667,ASIGNACIONES!$J:$J,$F667)=0,"NUEVO","ACTIVO"))))</f>
        <v/>
      </c>
    </row>
    <row r="668">
      <c r="A668" s="30"/>
      <c r="B668" s="35"/>
      <c r="C668" s="32"/>
      <c r="D668" s="36"/>
      <c r="E668" s="36"/>
      <c r="F668" s="34"/>
      <c r="G668" s="24"/>
      <c r="H668" s="24" t="str">
        <f>IF($B668="","",IF($B668="TRANSCARNES","ACTIVO",IF(COUNTIF(RETIROS!E:E,$B668)=1,"PENDIENTE ELIMINAR",IF(COUNTIFS(ASIGNACIONES!$D:$D,$B668,ASIGNACIONES!$H:$H,E668,ASIGNACIONES!$G:$G,$D668,ASIGNACIONES!$J:$J,$F668)=0,"NUEVO","ACTIVO"))))</f>
        <v/>
      </c>
    </row>
    <row r="669">
      <c r="A669" s="30"/>
      <c r="B669" s="35"/>
      <c r="C669" s="32"/>
      <c r="D669" s="36"/>
      <c r="E669" s="36"/>
      <c r="F669" s="34"/>
      <c r="G669" s="24"/>
      <c r="H669" s="24" t="str">
        <f>IF($B669="","",IF($B669="TRANSCARNES","ACTIVO",IF(COUNTIF(RETIROS!E:E,$B669)=1,"PENDIENTE ELIMINAR",IF(COUNTIFS(ASIGNACIONES!$D:$D,$B669,ASIGNACIONES!$H:$H,E669,ASIGNACIONES!$G:$G,$D669,ASIGNACIONES!$J:$J,$F669)=0,"NUEVO","ACTIVO"))))</f>
        <v/>
      </c>
    </row>
    <row r="670">
      <c r="A670" s="30"/>
      <c r="B670" s="35"/>
      <c r="C670" s="32"/>
      <c r="D670" s="36"/>
      <c r="E670" s="36"/>
      <c r="F670" s="34"/>
      <c r="G670" s="24"/>
      <c r="H670" s="24" t="str">
        <f>IF($B670="","",IF($B670="TRANSCARNES","ACTIVO",IF(COUNTIF(RETIROS!E:E,$B670)=1,"PENDIENTE ELIMINAR",IF(COUNTIFS(ASIGNACIONES!$D:$D,$B670,ASIGNACIONES!$H:$H,E670,ASIGNACIONES!$G:$G,$D670,ASIGNACIONES!$J:$J,$F670)=0,"NUEVO","ACTIVO"))))</f>
        <v/>
      </c>
    </row>
    <row r="671">
      <c r="A671" s="30"/>
      <c r="B671" s="35"/>
      <c r="C671" s="32"/>
      <c r="D671" s="36"/>
      <c r="E671" s="36"/>
      <c r="F671" s="34"/>
      <c r="G671" s="24"/>
      <c r="H671" s="24" t="str">
        <f>IF($B671="","",IF($B671="TRANSCARNES","ACTIVO",IF(COUNTIF(RETIROS!E:E,$B671)=1,"PENDIENTE ELIMINAR",IF(COUNTIFS(ASIGNACIONES!$D:$D,$B671,ASIGNACIONES!$H:$H,E671,ASIGNACIONES!$G:$G,$D671,ASIGNACIONES!$J:$J,$F671)=0,"NUEVO","ACTIVO"))))</f>
        <v/>
      </c>
    </row>
    <row r="672">
      <c r="A672" s="30"/>
      <c r="B672" s="35"/>
      <c r="C672" s="32"/>
      <c r="D672" s="36"/>
      <c r="E672" s="36"/>
      <c r="F672" s="34"/>
      <c r="G672" s="24"/>
      <c r="H672" s="24" t="str">
        <f>IF($B672="","",IF($B672="TRANSCARNES","ACTIVO",IF(COUNTIF(RETIROS!E:E,$B672)=1,"PENDIENTE ELIMINAR",IF(COUNTIFS(ASIGNACIONES!$D:$D,$B672,ASIGNACIONES!$H:$H,E672,ASIGNACIONES!$G:$G,$D672,ASIGNACIONES!$J:$J,$F672)=0,"NUEVO","ACTIVO"))))</f>
        <v/>
      </c>
    </row>
    <row r="673">
      <c r="A673" s="30"/>
      <c r="B673" s="35"/>
      <c r="C673" s="32"/>
      <c r="D673" s="36"/>
      <c r="E673" s="36"/>
      <c r="F673" s="34"/>
      <c r="G673" s="24"/>
      <c r="H673" s="24" t="str">
        <f>IF($B673="","",IF($B673="TRANSCARNES","ACTIVO",IF(COUNTIF(RETIROS!E:E,$B673)=1,"PENDIENTE ELIMINAR",IF(COUNTIFS(ASIGNACIONES!$D:$D,$B673,ASIGNACIONES!$H:$H,E673,ASIGNACIONES!$G:$G,$D673,ASIGNACIONES!$J:$J,$F673)=0,"NUEVO","ACTIVO"))))</f>
        <v/>
      </c>
    </row>
    <row r="674">
      <c r="A674" s="30"/>
      <c r="B674" s="35"/>
      <c r="C674" s="32"/>
      <c r="D674" s="36"/>
      <c r="E674" s="36"/>
      <c r="F674" s="34"/>
      <c r="G674" s="24"/>
      <c r="H674" s="24" t="str">
        <f>IF($B674="","",IF($B674="TRANSCARNES","ACTIVO",IF(COUNTIF(RETIROS!E:E,$B674)=1,"PENDIENTE ELIMINAR",IF(COUNTIFS(ASIGNACIONES!$D:$D,$B674,ASIGNACIONES!$H:$H,E674,ASIGNACIONES!$G:$G,$D674,ASIGNACIONES!$J:$J,$F674)=0,"NUEVO","ACTIVO"))))</f>
        <v/>
      </c>
    </row>
    <row r="675">
      <c r="A675" s="30"/>
      <c r="B675" s="35"/>
      <c r="C675" s="32"/>
      <c r="D675" s="36"/>
      <c r="E675" s="36"/>
      <c r="F675" s="34"/>
      <c r="G675" s="24"/>
      <c r="H675" s="24" t="str">
        <f>IF($B675="","",IF($B675="TRANSCARNES","ACTIVO",IF(COUNTIF(RETIROS!E:E,$B675)=1,"PENDIENTE ELIMINAR",IF(COUNTIFS(ASIGNACIONES!$D:$D,$B675,ASIGNACIONES!$H:$H,E675,ASIGNACIONES!$G:$G,$D675,ASIGNACIONES!$J:$J,$F675)=0,"NUEVO","ACTIVO"))))</f>
        <v/>
      </c>
    </row>
    <row r="676">
      <c r="A676" s="30"/>
      <c r="B676" s="35"/>
      <c r="C676" s="32"/>
      <c r="D676" s="36"/>
      <c r="E676" s="36"/>
      <c r="F676" s="34"/>
      <c r="G676" s="24"/>
      <c r="H676" s="24" t="str">
        <f>IF($B676="","",IF($B676="TRANSCARNES","ACTIVO",IF(COUNTIF(RETIROS!E:E,$B676)=1,"PENDIENTE ELIMINAR",IF(COUNTIFS(ASIGNACIONES!$D:$D,$B676,ASIGNACIONES!$H:$H,E676,ASIGNACIONES!$G:$G,$D676,ASIGNACIONES!$J:$J,$F676)=0,"NUEVO","ACTIVO"))))</f>
        <v/>
      </c>
    </row>
    <row r="677">
      <c r="A677" s="30"/>
      <c r="B677" s="35"/>
      <c r="C677" s="32"/>
      <c r="D677" s="36"/>
      <c r="E677" s="36"/>
      <c r="F677" s="34"/>
      <c r="G677" s="24"/>
      <c r="H677" s="24" t="str">
        <f>IF($B677="","",IF($B677="TRANSCARNES","ACTIVO",IF(COUNTIF(RETIROS!E:E,$B677)=1,"PENDIENTE ELIMINAR",IF(COUNTIFS(ASIGNACIONES!$D:$D,$B677,ASIGNACIONES!$H:$H,E677,ASIGNACIONES!$G:$G,$D677,ASIGNACIONES!$J:$J,$F677)=0,"NUEVO","ACTIVO"))))</f>
        <v/>
      </c>
    </row>
    <row r="678">
      <c r="A678" s="30"/>
      <c r="B678" s="35"/>
      <c r="C678" s="32"/>
      <c r="D678" s="36"/>
      <c r="E678" s="36"/>
      <c r="F678" s="34"/>
      <c r="G678" s="24"/>
      <c r="H678" s="24" t="str">
        <f>IF($B678="","",IF($B678="TRANSCARNES","ACTIVO",IF(COUNTIF(RETIROS!E:E,$B678)=1,"PENDIENTE ELIMINAR",IF(COUNTIFS(ASIGNACIONES!$D:$D,$B678,ASIGNACIONES!$H:$H,E678,ASIGNACIONES!$G:$G,$D678,ASIGNACIONES!$J:$J,$F678)=0,"NUEVO","ACTIVO"))))</f>
        <v/>
      </c>
    </row>
    <row r="679">
      <c r="A679" s="30"/>
      <c r="B679" s="35"/>
      <c r="C679" s="32"/>
      <c r="D679" s="36"/>
      <c r="E679" s="36"/>
      <c r="F679" s="34"/>
      <c r="G679" s="24"/>
      <c r="H679" s="24" t="str">
        <f>IF($B679="","",IF($B679="TRANSCARNES","ACTIVO",IF(COUNTIF(RETIROS!E:E,$B679)=1,"PENDIENTE ELIMINAR",IF(COUNTIFS(ASIGNACIONES!$D:$D,$B679,ASIGNACIONES!$H:$H,E679,ASIGNACIONES!$G:$G,$D679,ASIGNACIONES!$J:$J,$F679)=0,"NUEVO","ACTIVO"))))</f>
        <v/>
      </c>
    </row>
    <row r="680">
      <c r="A680" s="30"/>
      <c r="B680" s="35"/>
      <c r="C680" s="32"/>
      <c r="D680" s="36"/>
      <c r="E680" s="36"/>
      <c r="F680" s="34"/>
      <c r="G680" s="24"/>
      <c r="H680" s="24" t="str">
        <f>IF($B680="","",IF($B680="TRANSCARNES","ACTIVO",IF(COUNTIF(RETIROS!E:E,$B680)=1,"PENDIENTE ELIMINAR",IF(COUNTIFS(ASIGNACIONES!$D:$D,$B680,ASIGNACIONES!$H:$H,E680,ASIGNACIONES!$G:$G,$D680,ASIGNACIONES!$J:$J,$F680)=0,"NUEVO","ACTIVO"))))</f>
        <v/>
      </c>
    </row>
    <row r="681">
      <c r="A681" s="30"/>
      <c r="B681" s="35"/>
      <c r="C681" s="32"/>
      <c r="D681" s="36"/>
      <c r="E681" s="36"/>
      <c r="F681" s="34"/>
      <c r="G681" s="24"/>
      <c r="H681" s="24" t="str">
        <f>IF($B681="","",IF($B681="TRANSCARNES","ACTIVO",IF(COUNTIF(RETIROS!E:E,$B681)=1,"PENDIENTE ELIMINAR",IF(COUNTIFS(ASIGNACIONES!$D:$D,$B681,ASIGNACIONES!$H:$H,E681,ASIGNACIONES!$G:$G,$D681,ASIGNACIONES!$J:$J,$F681)=0,"NUEVO","ACTIVO"))))</f>
        <v/>
      </c>
    </row>
    <row r="682">
      <c r="A682" s="30"/>
      <c r="B682" s="35"/>
      <c r="C682" s="32"/>
      <c r="D682" s="36"/>
      <c r="E682" s="36"/>
      <c r="F682" s="34"/>
      <c r="G682" s="24"/>
      <c r="H682" s="24" t="str">
        <f>IF($B682="","",IF($B682="TRANSCARNES","ACTIVO",IF(COUNTIF(RETIROS!E:E,$B682)=1,"PENDIENTE ELIMINAR",IF(COUNTIFS(ASIGNACIONES!$D:$D,$B682,ASIGNACIONES!$H:$H,E682,ASIGNACIONES!$G:$G,$D682,ASIGNACIONES!$J:$J,$F682)=0,"NUEVO","ACTIVO"))))</f>
        <v/>
      </c>
    </row>
    <row r="683">
      <c r="A683" s="30"/>
      <c r="B683" s="35"/>
      <c r="C683" s="32"/>
      <c r="D683" s="36"/>
      <c r="E683" s="36"/>
      <c r="F683" s="34"/>
      <c r="G683" s="24"/>
      <c r="H683" s="24" t="str">
        <f>IF($B683="","",IF($B683="TRANSCARNES","ACTIVO",IF(COUNTIF(RETIROS!E:E,$B683)=1,"PENDIENTE ELIMINAR",IF(COUNTIFS(ASIGNACIONES!$D:$D,$B683,ASIGNACIONES!$H:$H,E683,ASIGNACIONES!$G:$G,$D683,ASIGNACIONES!$J:$J,$F683)=0,"NUEVO","ACTIVO"))))</f>
        <v/>
      </c>
    </row>
    <row r="684">
      <c r="A684" s="30"/>
      <c r="B684" s="35"/>
      <c r="C684" s="32"/>
      <c r="D684" s="36"/>
      <c r="E684" s="36"/>
      <c r="F684" s="34"/>
      <c r="G684" s="24"/>
      <c r="H684" s="24" t="str">
        <f>IF($B684="","",IF($B684="TRANSCARNES","ACTIVO",IF(COUNTIF(RETIROS!E:E,$B684)=1,"PENDIENTE ELIMINAR",IF(COUNTIFS(ASIGNACIONES!$D:$D,$B684,ASIGNACIONES!$H:$H,E684,ASIGNACIONES!$G:$G,$D684,ASIGNACIONES!$J:$J,$F684)=0,"NUEVO","ACTIVO"))))</f>
        <v/>
      </c>
    </row>
    <row r="685">
      <c r="A685" s="30"/>
      <c r="B685" s="35"/>
      <c r="C685" s="32"/>
      <c r="D685" s="36"/>
      <c r="E685" s="36"/>
      <c r="F685" s="34"/>
      <c r="G685" s="24"/>
      <c r="H685" s="24" t="str">
        <f>IF($B685="","",IF($B685="TRANSCARNES","ACTIVO",IF(COUNTIF(RETIROS!E:E,$B685)=1,"PENDIENTE ELIMINAR",IF(COUNTIFS(ASIGNACIONES!$D:$D,$B685,ASIGNACIONES!$H:$H,E685,ASIGNACIONES!$G:$G,$D685,ASIGNACIONES!$J:$J,$F685)=0,"NUEVO","ACTIVO"))))</f>
        <v/>
      </c>
    </row>
    <row r="686">
      <c r="A686" s="30"/>
      <c r="B686" s="35"/>
      <c r="C686" s="32"/>
      <c r="D686" s="36"/>
      <c r="E686" s="36"/>
      <c r="F686" s="34"/>
      <c r="G686" s="24"/>
      <c r="H686" s="24" t="str">
        <f>IF($B686="","",IF($B686="TRANSCARNES","ACTIVO",IF(COUNTIF(RETIROS!E:E,$B686)=1,"PENDIENTE ELIMINAR",IF(COUNTIFS(ASIGNACIONES!$D:$D,$B686,ASIGNACIONES!$H:$H,E686,ASIGNACIONES!$G:$G,$D686,ASIGNACIONES!$J:$J,$F686)=0,"NUEVO","ACTIVO"))))</f>
        <v/>
      </c>
    </row>
    <row r="687">
      <c r="A687" s="30"/>
      <c r="B687" s="35"/>
      <c r="C687" s="32"/>
      <c r="D687" s="36"/>
      <c r="E687" s="36"/>
      <c r="F687" s="34"/>
      <c r="G687" s="24"/>
      <c r="H687" s="24" t="str">
        <f>IF($B687="","",IF($B687="TRANSCARNES","ACTIVO",IF(COUNTIF(RETIROS!E:E,$B687)=1,"PENDIENTE ELIMINAR",IF(COUNTIFS(ASIGNACIONES!$D:$D,$B687,ASIGNACIONES!$H:$H,E687,ASIGNACIONES!$G:$G,$D687,ASIGNACIONES!$J:$J,$F687)=0,"NUEVO","ACTIVO"))))</f>
        <v/>
      </c>
    </row>
    <row r="688">
      <c r="A688" s="30"/>
      <c r="B688" s="35"/>
      <c r="C688" s="32"/>
      <c r="D688" s="36"/>
      <c r="E688" s="36"/>
      <c r="F688" s="34"/>
      <c r="G688" s="24"/>
      <c r="H688" s="24" t="str">
        <f>IF($B688="","",IF($B688="TRANSCARNES","ACTIVO",IF(COUNTIF(RETIROS!E:E,$B688)=1,"PENDIENTE ELIMINAR",IF(COUNTIFS(ASIGNACIONES!$D:$D,$B688,ASIGNACIONES!$H:$H,E688,ASIGNACIONES!$G:$G,$D688,ASIGNACIONES!$J:$J,$F688)=0,"NUEVO","ACTIVO"))))</f>
        <v/>
      </c>
    </row>
    <row r="689">
      <c r="A689" s="30"/>
      <c r="B689" s="35"/>
      <c r="C689" s="32"/>
      <c r="D689" s="36"/>
      <c r="E689" s="36"/>
      <c r="F689" s="34"/>
      <c r="G689" s="24"/>
      <c r="H689" s="24" t="str">
        <f>IF($B689="","",IF($B689="TRANSCARNES","ACTIVO",IF(COUNTIF(RETIROS!E:E,$B689)=1,"PENDIENTE ELIMINAR",IF(COUNTIFS(ASIGNACIONES!$D:$D,$B689,ASIGNACIONES!$H:$H,E689,ASIGNACIONES!$G:$G,$D689,ASIGNACIONES!$J:$J,$F689)=0,"NUEVO","ACTIVO"))))</f>
        <v/>
      </c>
    </row>
    <row r="690">
      <c r="A690" s="30"/>
      <c r="B690" s="35"/>
      <c r="C690" s="32"/>
      <c r="D690" s="36"/>
      <c r="E690" s="36"/>
      <c r="F690" s="34"/>
      <c r="G690" s="24"/>
      <c r="H690" s="24" t="str">
        <f>IF($B690="","",IF($B690="TRANSCARNES","ACTIVO",IF(COUNTIF(RETIROS!E:E,$B690)=1,"PENDIENTE ELIMINAR",IF(COUNTIFS(ASIGNACIONES!$D:$D,$B690,ASIGNACIONES!$H:$H,E690,ASIGNACIONES!$G:$G,$D690,ASIGNACIONES!$J:$J,$F690)=0,"NUEVO","ACTIVO"))))</f>
        <v/>
      </c>
    </row>
    <row r="691">
      <c r="A691" s="30"/>
      <c r="B691" s="35"/>
      <c r="C691" s="32"/>
      <c r="D691" s="36"/>
      <c r="E691" s="36"/>
      <c r="F691" s="34"/>
      <c r="G691" s="24"/>
      <c r="H691" s="24" t="str">
        <f>IF($B691="","",IF($B691="TRANSCARNES","ACTIVO",IF(COUNTIF(RETIROS!E:E,$B691)=1,"PENDIENTE ELIMINAR",IF(COUNTIFS(ASIGNACIONES!$D:$D,$B691,ASIGNACIONES!$H:$H,E691,ASIGNACIONES!$G:$G,$D691,ASIGNACIONES!$J:$J,$F691)=0,"NUEVO","ACTIVO"))))</f>
        <v/>
      </c>
    </row>
    <row r="692">
      <c r="A692" s="30"/>
      <c r="B692" s="35"/>
      <c r="C692" s="32"/>
      <c r="D692" s="36"/>
      <c r="E692" s="36"/>
      <c r="F692" s="34"/>
      <c r="G692" s="24"/>
      <c r="H692" s="24" t="str">
        <f>IF($B692="","",IF($B692="TRANSCARNES","ACTIVO",IF(COUNTIF(RETIROS!E:E,$B692)=1,"PENDIENTE ELIMINAR",IF(COUNTIFS(ASIGNACIONES!$D:$D,$B692,ASIGNACIONES!$H:$H,E692,ASIGNACIONES!$G:$G,$D692,ASIGNACIONES!$J:$J,$F692)=0,"NUEVO","ACTIVO"))))</f>
        <v/>
      </c>
    </row>
    <row r="693">
      <c r="A693" s="30"/>
      <c r="B693" s="35"/>
      <c r="C693" s="32"/>
      <c r="D693" s="36"/>
      <c r="E693" s="36"/>
      <c r="F693" s="34"/>
      <c r="G693" s="24"/>
      <c r="H693" s="24" t="str">
        <f>IF($B693="","",IF($B693="TRANSCARNES","ACTIVO",IF(COUNTIF(RETIROS!E:E,$B693)=1,"PENDIENTE ELIMINAR",IF(COUNTIFS(ASIGNACIONES!$D:$D,$B693,ASIGNACIONES!$H:$H,E693,ASIGNACIONES!$G:$G,$D693,ASIGNACIONES!$J:$J,$F693)=0,"NUEVO","ACTIVO"))))</f>
        <v/>
      </c>
    </row>
    <row r="694">
      <c r="A694" s="30"/>
      <c r="B694" s="35"/>
      <c r="C694" s="32"/>
      <c r="D694" s="36"/>
      <c r="E694" s="36"/>
      <c r="F694" s="34"/>
      <c r="G694" s="24"/>
      <c r="H694" s="24" t="str">
        <f>IF($B694="","",IF($B694="TRANSCARNES","ACTIVO",IF(COUNTIF(RETIROS!E:E,$B694)=1,"PENDIENTE ELIMINAR",IF(COUNTIFS(ASIGNACIONES!$D:$D,$B694,ASIGNACIONES!$H:$H,E694,ASIGNACIONES!$G:$G,$D694,ASIGNACIONES!$J:$J,$F694)=0,"NUEVO","ACTIVO"))))</f>
        <v/>
      </c>
    </row>
    <row r="695">
      <c r="A695" s="30"/>
      <c r="B695" s="35"/>
      <c r="C695" s="32"/>
      <c r="D695" s="36"/>
      <c r="E695" s="36"/>
      <c r="F695" s="34"/>
      <c r="G695" s="24"/>
      <c r="H695" s="24" t="str">
        <f>IF($B695="","",IF($B695="TRANSCARNES","ACTIVO",IF(COUNTIF(RETIROS!E:E,$B695)=1,"PENDIENTE ELIMINAR",IF(COUNTIFS(ASIGNACIONES!$D:$D,$B695,ASIGNACIONES!$H:$H,E695,ASIGNACIONES!$G:$G,$D695,ASIGNACIONES!$J:$J,$F695)=0,"NUEVO","ACTIVO"))))</f>
        <v/>
      </c>
    </row>
    <row r="696">
      <c r="A696" s="30"/>
      <c r="B696" s="35"/>
      <c r="C696" s="32"/>
      <c r="D696" s="36"/>
      <c r="E696" s="36"/>
      <c r="F696" s="34"/>
      <c r="G696" s="24"/>
      <c r="H696" s="24" t="str">
        <f>IF($B696="","",IF($B696="TRANSCARNES","ACTIVO",IF(COUNTIF(RETIROS!E:E,$B696)=1,"PENDIENTE ELIMINAR",IF(COUNTIFS(ASIGNACIONES!$D:$D,$B696,ASIGNACIONES!$H:$H,E696,ASIGNACIONES!$G:$G,$D696,ASIGNACIONES!$J:$J,$F696)=0,"NUEVO","ACTIVO"))))</f>
        <v/>
      </c>
    </row>
    <row r="697">
      <c r="A697" s="30"/>
      <c r="B697" s="35"/>
      <c r="C697" s="32"/>
      <c r="D697" s="36"/>
      <c r="E697" s="36"/>
      <c r="F697" s="34"/>
      <c r="G697" s="24"/>
      <c r="H697" s="24" t="str">
        <f>IF($B697="","",IF($B697="TRANSCARNES","ACTIVO",IF(COUNTIF(RETIROS!E:E,$B697)=1,"PENDIENTE ELIMINAR",IF(COUNTIFS(ASIGNACIONES!$D:$D,$B697,ASIGNACIONES!$H:$H,E697,ASIGNACIONES!$G:$G,$D697,ASIGNACIONES!$J:$J,$F697)=0,"NUEVO","ACTIVO"))))</f>
        <v/>
      </c>
    </row>
    <row r="698">
      <c r="A698" s="30"/>
      <c r="B698" s="35"/>
      <c r="C698" s="32"/>
      <c r="D698" s="36"/>
      <c r="E698" s="36"/>
      <c r="F698" s="34"/>
      <c r="G698" s="24"/>
      <c r="H698" s="24" t="str">
        <f>IF($B698="","",IF($B698="TRANSCARNES","ACTIVO",IF(COUNTIF(RETIROS!E:E,$B698)=1,"PENDIENTE ELIMINAR",IF(COUNTIFS(ASIGNACIONES!$D:$D,$B698,ASIGNACIONES!$H:$H,E698,ASIGNACIONES!$G:$G,$D698,ASIGNACIONES!$J:$J,$F698)=0,"NUEVO","ACTIVO"))))</f>
        <v/>
      </c>
    </row>
    <row r="699">
      <c r="A699" s="30"/>
      <c r="B699" s="35"/>
      <c r="C699" s="32"/>
      <c r="D699" s="36"/>
      <c r="E699" s="36"/>
      <c r="F699" s="34"/>
      <c r="G699" s="24"/>
      <c r="H699" s="24" t="str">
        <f>IF($B699="","",IF($B699="TRANSCARNES","ACTIVO",IF(COUNTIF(RETIROS!E:E,$B699)=1,"PENDIENTE ELIMINAR",IF(COUNTIFS(ASIGNACIONES!$D:$D,$B699,ASIGNACIONES!$H:$H,E699,ASIGNACIONES!$G:$G,$D699,ASIGNACIONES!$J:$J,$F699)=0,"NUEVO","ACTIVO"))))</f>
        <v/>
      </c>
    </row>
    <row r="700">
      <c r="A700" s="30"/>
      <c r="B700" s="35"/>
      <c r="C700" s="32"/>
      <c r="D700" s="36"/>
      <c r="E700" s="36"/>
      <c r="F700" s="34"/>
      <c r="G700" s="24"/>
      <c r="H700" s="24" t="str">
        <f>IF($B700="","",IF($B700="TRANSCARNES","ACTIVO",IF(COUNTIF(RETIROS!E:E,$B700)=1,"PENDIENTE ELIMINAR",IF(COUNTIFS(ASIGNACIONES!$D:$D,$B700,ASIGNACIONES!$H:$H,E700,ASIGNACIONES!$G:$G,$D700,ASIGNACIONES!$J:$J,$F700)=0,"NUEVO","ACTIVO"))))</f>
        <v/>
      </c>
    </row>
    <row r="701">
      <c r="A701" s="30"/>
      <c r="B701" s="35"/>
      <c r="C701" s="32"/>
      <c r="D701" s="36"/>
      <c r="E701" s="36"/>
      <c r="F701" s="34"/>
      <c r="G701" s="24"/>
      <c r="H701" s="24" t="str">
        <f>IF($B701="","",IF($B701="TRANSCARNES","ACTIVO",IF(COUNTIF(RETIROS!E:E,$B701)=1,"PENDIENTE ELIMINAR",IF(COUNTIFS(ASIGNACIONES!$D:$D,$B701,ASIGNACIONES!$H:$H,E701,ASIGNACIONES!$G:$G,$D701,ASIGNACIONES!$J:$J,$F701)=0,"NUEVO","ACTIVO"))))</f>
        <v/>
      </c>
    </row>
    <row r="702">
      <c r="A702" s="30"/>
      <c r="B702" s="35"/>
      <c r="C702" s="32"/>
      <c r="D702" s="36"/>
      <c r="E702" s="36"/>
      <c r="F702" s="34"/>
      <c r="G702" s="24"/>
      <c r="H702" s="24" t="str">
        <f>IF($B702="","",IF($B702="TRANSCARNES","ACTIVO",IF(COUNTIF(RETIROS!E:E,$B702)=1,"PENDIENTE ELIMINAR",IF(COUNTIFS(ASIGNACIONES!$D:$D,$B702,ASIGNACIONES!$H:$H,E702,ASIGNACIONES!$G:$G,$D702,ASIGNACIONES!$J:$J,$F702)=0,"NUEVO","ACTIVO"))))</f>
        <v/>
      </c>
    </row>
    <row r="703">
      <c r="A703" s="30"/>
      <c r="B703" s="35"/>
      <c r="C703" s="32"/>
      <c r="D703" s="36"/>
      <c r="E703" s="36"/>
      <c r="F703" s="34"/>
      <c r="G703" s="24"/>
      <c r="H703" s="24" t="str">
        <f>IF($B703="","",IF($B703="TRANSCARNES","ACTIVO",IF(COUNTIF(RETIROS!E:E,$B703)=1,"PENDIENTE ELIMINAR",IF(COUNTIFS(ASIGNACIONES!$D:$D,$B703,ASIGNACIONES!$H:$H,E703,ASIGNACIONES!$G:$G,$D703,ASIGNACIONES!$J:$J,$F703)=0,"NUEVO","ACTIVO"))))</f>
        <v/>
      </c>
    </row>
    <row r="704">
      <c r="A704" s="30"/>
      <c r="B704" s="35"/>
      <c r="C704" s="32"/>
      <c r="D704" s="36"/>
      <c r="E704" s="36"/>
      <c r="F704" s="34"/>
      <c r="G704" s="24"/>
      <c r="H704" s="24" t="str">
        <f>IF($B704="","",IF($B704="TRANSCARNES","ACTIVO",IF(COUNTIF(RETIROS!E:E,$B704)=1,"PENDIENTE ELIMINAR",IF(COUNTIFS(ASIGNACIONES!$D:$D,$B704,ASIGNACIONES!$H:$H,E704,ASIGNACIONES!$G:$G,$D704,ASIGNACIONES!$J:$J,$F704)=0,"NUEVO","ACTIVO"))))</f>
        <v/>
      </c>
    </row>
    <row r="705">
      <c r="A705" s="30"/>
      <c r="B705" s="35"/>
      <c r="C705" s="32"/>
      <c r="D705" s="36"/>
      <c r="E705" s="36"/>
      <c r="F705" s="34"/>
      <c r="G705" s="24"/>
      <c r="H705" s="24" t="str">
        <f>IF($B705="","",IF($B705="TRANSCARNES","ACTIVO",IF(COUNTIF(RETIROS!E:E,$B705)=1,"PENDIENTE ELIMINAR",IF(COUNTIFS(ASIGNACIONES!$D:$D,$B705,ASIGNACIONES!$H:$H,E705,ASIGNACIONES!$G:$G,$D705,ASIGNACIONES!$J:$J,$F705)=0,"NUEVO","ACTIVO"))))</f>
        <v/>
      </c>
    </row>
    <row r="706">
      <c r="A706" s="30"/>
      <c r="B706" s="35"/>
      <c r="C706" s="32"/>
      <c r="D706" s="36"/>
      <c r="E706" s="36"/>
      <c r="F706" s="34"/>
      <c r="G706" s="24"/>
      <c r="H706" s="24" t="str">
        <f>IF($B706="","",IF($B706="TRANSCARNES","ACTIVO",IF(COUNTIF(RETIROS!E:E,$B706)=1,"PENDIENTE ELIMINAR",IF(COUNTIFS(ASIGNACIONES!$D:$D,$B706,ASIGNACIONES!$H:$H,E706,ASIGNACIONES!$G:$G,$D706,ASIGNACIONES!$J:$J,$F706)=0,"NUEVO","ACTIVO"))))</f>
        <v/>
      </c>
    </row>
    <row r="707">
      <c r="A707" s="30"/>
      <c r="B707" s="35"/>
      <c r="C707" s="32"/>
      <c r="D707" s="36"/>
      <c r="E707" s="36"/>
      <c r="F707" s="34"/>
      <c r="G707" s="24"/>
      <c r="H707" s="24" t="str">
        <f>IF($B707="","",IF($B707="TRANSCARNES","ACTIVO",IF(COUNTIF(RETIROS!E:E,$B707)=1,"PENDIENTE ELIMINAR",IF(COUNTIFS(ASIGNACIONES!$D:$D,$B707,ASIGNACIONES!$H:$H,E707,ASIGNACIONES!$G:$G,$D707,ASIGNACIONES!$J:$J,$F707)=0,"NUEVO","ACTIVO"))))</f>
        <v/>
      </c>
    </row>
    <row r="708">
      <c r="A708" s="30"/>
      <c r="B708" s="35"/>
      <c r="C708" s="32"/>
      <c r="D708" s="36"/>
      <c r="E708" s="36"/>
      <c r="F708" s="34"/>
      <c r="G708" s="24"/>
      <c r="H708" s="24" t="str">
        <f>IF($B708="","",IF($B708="TRANSCARNES","ACTIVO",IF(COUNTIF(RETIROS!E:E,$B708)=1,"PENDIENTE ELIMINAR",IF(COUNTIFS(ASIGNACIONES!$D:$D,$B708,ASIGNACIONES!$H:$H,E708,ASIGNACIONES!$G:$G,$D708,ASIGNACIONES!$J:$J,$F708)=0,"NUEVO","ACTIVO"))))</f>
        <v/>
      </c>
    </row>
    <row r="709">
      <c r="A709" s="30"/>
      <c r="B709" s="35"/>
      <c r="C709" s="32"/>
      <c r="D709" s="36"/>
      <c r="E709" s="36"/>
      <c r="F709" s="34"/>
      <c r="G709" s="24"/>
      <c r="H709" s="24" t="str">
        <f>IF($B709="","",IF($B709="TRANSCARNES","ACTIVO",IF(COUNTIF(RETIROS!E:E,$B709)=1,"PENDIENTE ELIMINAR",IF(COUNTIFS(ASIGNACIONES!$D:$D,$B709,ASIGNACIONES!$H:$H,E709,ASIGNACIONES!$G:$G,$D709,ASIGNACIONES!$J:$J,$F709)=0,"NUEVO","ACTIVO"))))</f>
        <v/>
      </c>
    </row>
    <row r="710">
      <c r="A710" s="30"/>
      <c r="B710" s="35"/>
      <c r="C710" s="32"/>
      <c r="D710" s="36"/>
      <c r="E710" s="36"/>
      <c r="F710" s="34"/>
      <c r="G710" s="24"/>
      <c r="H710" s="24" t="str">
        <f>IF($B710="","",IF($B710="TRANSCARNES","ACTIVO",IF(COUNTIF(RETIROS!E:E,$B710)=1,"PENDIENTE ELIMINAR",IF(COUNTIFS(ASIGNACIONES!$D:$D,$B710,ASIGNACIONES!$H:$H,E710,ASIGNACIONES!$G:$G,$D710,ASIGNACIONES!$J:$J,$F710)=0,"NUEVO","ACTIVO"))))</f>
        <v/>
      </c>
    </row>
    <row r="711">
      <c r="A711" s="30"/>
      <c r="B711" s="35"/>
      <c r="C711" s="32"/>
      <c r="D711" s="36"/>
      <c r="E711" s="36"/>
      <c r="F711" s="34"/>
      <c r="G711" s="24"/>
      <c r="H711" s="24" t="str">
        <f>IF($B711="","",IF($B711="TRANSCARNES","ACTIVO",IF(COUNTIF(RETIROS!E:E,$B711)=1,"PENDIENTE ELIMINAR",IF(COUNTIFS(ASIGNACIONES!$D:$D,$B711,ASIGNACIONES!$H:$H,E711,ASIGNACIONES!$G:$G,$D711,ASIGNACIONES!$J:$J,$F711)=0,"NUEVO","ACTIVO"))))</f>
        <v/>
      </c>
    </row>
    <row r="712">
      <c r="A712" s="30"/>
      <c r="B712" s="35"/>
      <c r="C712" s="32"/>
      <c r="D712" s="36"/>
      <c r="E712" s="36"/>
      <c r="F712" s="34"/>
      <c r="G712" s="24"/>
      <c r="H712" s="24" t="str">
        <f>IF($B712="","",IF($B712="TRANSCARNES","ACTIVO",IF(COUNTIF(RETIROS!E:E,$B712)=1,"PENDIENTE ELIMINAR",IF(COUNTIFS(ASIGNACIONES!$D:$D,$B712,ASIGNACIONES!$H:$H,E712,ASIGNACIONES!$G:$G,$D712,ASIGNACIONES!$J:$J,$F712)=0,"NUEVO","ACTIVO"))))</f>
        <v/>
      </c>
    </row>
    <row r="713">
      <c r="A713" s="30"/>
      <c r="B713" s="35"/>
      <c r="C713" s="32"/>
      <c r="D713" s="36"/>
      <c r="E713" s="36"/>
      <c r="F713" s="34"/>
      <c r="G713" s="24"/>
      <c r="H713" s="24" t="str">
        <f>IF($B713="","",IF($B713="TRANSCARNES","ACTIVO",IF(COUNTIF(RETIROS!E:E,$B713)=1,"PENDIENTE ELIMINAR",IF(COUNTIFS(ASIGNACIONES!$D:$D,$B713,ASIGNACIONES!$H:$H,E713,ASIGNACIONES!$G:$G,$D713,ASIGNACIONES!$J:$J,$F713)=0,"NUEVO","ACTIVO"))))</f>
        <v/>
      </c>
    </row>
    <row r="714">
      <c r="A714" s="30"/>
      <c r="B714" s="35"/>
      <c r="C714" s="32"/>
      <c r="D714" s="36"/>
      <c r="E714" s="36"/>
      <c r="F714" s="34"/>
      <c r="G714" s="24"/>
      <c r="H714" s="24" t="str">
        <f>IF($B714="","",IF($B714="TRANSCARNES","ACTIVO",IF(COUNTIF(RETIROS!E:E,$B714)=1,"PENDIENTE ELIMINAR",IF(COUNTIFS(ASIGNACIONES!$D:$D,$B714,ASIGNACIONES!$H:$H,E714,ASIGNACIONES!$G:$G,$D714,ASIGNACIONES!$J:$J,$F714)=0,"NUEVO","ACTIVO"))))</f>
        <v/>
      </c>
    </row>
    <row r="715">
      <c r="A715" s="30"/>
      <c r="B715" s="35"/>
      <c r="C715" s="32"/>
      <c r="D715" s="36"/>
      <c r="E715" s="36"/>
      <c r="F715" s="34"/>
      <c r="G715" s="24"/>
      <c r="H715" s="24" t="str">
        <f>IF($B715="","",IF($B715="TRANSCARNES","ACTIVO",IF(COUNTIF(RETIROS!E:E,$B715)=1,"PENDIENTE ELIMINAR",IF(COUNTIFS(ASIGNACIONES!$D:$D,$B715,ASIGNACIONES!$H:$H,E715,ASIGNACIONES!$G:$G,$D715,ASIGNACIONES!$J:$J,$F715)=0,"NUEVO","ACTIVO"))))</f>
        <v/>
      </c>
    </row>
    <row r="716">
      <c r="A716" s="30"/>
      <c r="B716" s="35"/>
      <c r="C716" s="32"/>
      <c r="D716" s="36"/>
      <c r="E716" s="36"/>
      <c r="F716" s="34"/>
      <c r="G716" s="24"/>
      <c r="H716" s="24" t="str">
        <f>IF($B716="","",IF($B716="TRANSCARNES","ACTIVO",IF(COUNTIF(RETIROS!E:E,$B716)=1,"PENDIENTE ELIMINAR",IF(COUNTIFS(ASIGNACIONES!$D:$D,$B716,ASIGNACIONES!$H:$H,E716,ASIGNACIONES!$G:$G,$D716,ASIGNACIONES!$J:$J,$F716)=0,"NUEVO","ACTIVO"))))</f>
        <v/>
      </c>
    </row>
    <row r="717">
      <c r="A717" s="30"/>
      <c r="B717" s="35"/>
      <c r="C717" s="32"/>
      <c r="D717" s="36"/>
      <c r="E717" s="36"/>
      <c r="F717" s="34"/>
      <c r="G717" s="24"/>
      <c r="H717" s="24" t="str">
        <f>IF($B717="","",IF($B717="TRANSCARNES","ACTIVO",IF(COUNTIF(RETIROS!E:E,$B717)=1,"PENDIENTE ELIMINAR",IF(COUNTIFS(ASIGNACIONES!$D:$D,$B717,ASIGNACIONES!$H:$H,E717,ASIGNACIONES!$G:$G,$D717,ASIGNACIONES!$J:$J,$F717)=0,"NUEVO","ACTIVO"))))</f>
        <v/>
      </c>
    </row>
    <row r="718">
      <c r="A718" s="30"/>
      <c r="B718" s="35"/>
      <c r="C718" s="32"/>
      <c r="D718" s="36"/>
      <c r="E718" s="36"/>
      <c r="F718" s="34"/>
      <c r="G718" s="24"/>
      <c r="H718" s="24" t="str">
        <f>IF($B718="","",IF($B718="TRANSCARNES","ACTIVO",IF(COUNTIF(RETIROS!E:E,$B718)=1,"PENDIENTE ELIMINAR",IF(COUNTIFS(ASIGNACIONES!$D:$D,$B718,ASIGNACIONES!$H:$H,E718,ASIGNACIONES!$G:$G,$D718,ASIGNACIONES!$J:$J,$F718)=0,"NUEVO","ACTIVO"))))</f>
        <v/>
      </c>
    </row>
    <row r="719">
      <c r="A719" s="30"/>
      <c r="B719" s="35"/>
      <c r="C719" s="32"/>
      <c r="D719" s="36"/>
      <c r="E719" s="36"/>
      <c r="F719" s="34"/>
      <c r="G719" s="24"/>
      <c r="H719" s="24" t="str">
        <f>IF($B719="","",IF($B719="TRANSCARNES","ACTIVO",IF(COUNTIF(RETIROS!E:E,$B719)=1,"PENDIENTE ELIMINAR",IF(COUNTIFS(ASIGNACIONES!$D:$D,$B719,ASIGNACIONES!$H:$H,E719,ASIGNACIONES!$G:$G,$D719,ASIGNACIONES!$J:$J,$F719)=0,"NUEVO","ACTIVO"))))</f>
        <v/>
      </c>
    </row>
    <row r="720">
      <c r="A720" s="30"/>
      <c r="B720" s="35"/>
      <c r="C720" s="32"/>
      <c r="D720" s="36"/>
      <c r="E720" s="36"/>
      <c r="F720" s="34"/>
      <c r="G720" s="24"/>
      <c r="H720" s="24" t="str">
        <f>IF($B720="","",IF($B720="TRANSCARNES","ACTIVO",IF(COUNTIF(RETIROS!E:E,$B720)=1,"PENDIENTE ELIMINAR",IF(COUNTIFS(ASIGNACIONES!$D:$D,$B720,ASIGNACIONES!$H:$H,E720,ASIGNACIONES!$G:$G,$D720,ASIGNACIONES!$J:$J,$F720)=0,"NUEVO","ACTIVO"))))</f>
        <v/>
      </c>
    </row>
    <row r="721">
      <c r="A721" s="30"/>
      <c r="B721" s="35"/>
      <c r="C721" s="32"/>
      <c r="D721" s="36"/>
      <c r="E721" s="36"/>
      <c r="F721" s="34"/>
      <c r="G721" s="24"/>
      <c r="H721" s="24" t="str">
        <f>IF($B721="","",IF($B721="TRANSCARNES","ACTIVO",IF(COUNTIF(RETIROS!E:E,$B721)=1,"PENDIENTE ELIMINAR",IF(COUNTIFS(ASIGNACIONES!$D:$D,$B721,ASIGNACIONES!$H:$H,E721,ASIGNACIONES!$G:$G,$D721,ASIGNACIONES!$J:$J,$F721)=0,"NUEVO","ACTIVO"))))</f>
        <v/>
      </c>
    </row>
    <row r="722">
      <c r="A722" s="30"/>
      <c r="B722" s="35"/>
      <c r="C722" s="32"/>
      <c r="D722" s="36"/>
      <c r="E722" s="36"/>
      <c r="F722" s="34"/>
      <c r="G722" s="24"/>
      <c r="H722" s="24" t="str">
        <f>IF($B722="","",IF($B722="TRANSCARNES","ACTIVO",IF(COUNTIF(RETIROS!E:E,$B722)=1,"PENDIENTE ELIMINAR",IF(COUNTIFS(ASIGNACIONES!$D:$D,$B722,ASIGNACIONES!$H:$H,E722,ASIGNACIONES!$G:$G,$D722,ASIGNACIONES!$J:$J,$F722)=0,"NUEVO","ACTIVO"))))</f>
        <v/>
      </c>
    </row>
    <row r="723">
      <c r="A723" s="30"/>
      <c r="B723" s="35"/>
      <c r="C723" s="32"/>
      <c r="D723" s="36"/>
      <c r="E723" s="36"/>
      <c r="F723" s="34"/>
      <c r="G723" s="24"/>
      <c r="H723" s="24" t="str">
        <f>IF($B723="","",IF($B723="TRANSCARNES","ACTIVO",IF(COUNTIF(RETIROS!E:E,$B723)=1,"PENDIENTE ELIMINAR",IF(COUNTIFS(ASIGNACIONES!$D:$D,$B723,ASIGNACIONES!$H:$H,E723,ASIGNACIONES!$G:$G,$D723,ASIGNACIONES!$J:$J,$F723)=0,"NUEVO","ACTIVO"))))</f>
        <v/>
      </c>
    </row>
    <row r="724">
      <c r="A724" s="30"/>
      <c r="B724" s="35"/>
      <c r="C724" s="32"/>
      <c r="D724" s="36"/>
      <c r="E724" s="36"/>
      <c r="F724" s="34"/>
      <c r="G724" s="24"/>
      <c r="H724" s="24" t="str">
        <f>IF($B724="","",IF($B724="TRANSCARNES","ACTIVO",IF(COUNTIF(RETIROS!E:E,$B724)=1,"PENDIENTE ELIMINAR",IF(COUNTIFS(ASIGNACIONES!$D:$D,$B724,ASIGNACIONES!$H:$H,E724,ASIGNACIONES!$G:$G,$D724,ASIGNACIONES!$J:$J,$F724)=0,"NUEVO","ACTIVO"))))</f>
        <v/>
      </c>
    </row>
    <row r="725">
      <c r="A725" s="30"/>
      <c r="B725" s="35"/>
      <c r="C725" s="32"/>
      <c r="D725" s="36"/>
      <c r="E725" s="36"/>
      <c r="F725" s="34"/>
      <c r="G725" s="24"/>
      <c r="H725" s="24" t="str">
        <f>IF($B725="","",IF($B725="TRANSCARNES","ACTIVO",IF(COUNTIF(RETIROS!E:E,$B725)=1,"PENDIENTE ELIMINAR",IF(COUNTIFS(ASIGNACIONES!$D:$D,$B725,ASIGNACIONES!$H:$H,E725,ASIGNACIONES!$G:$G,$D725,ASIGNACIONES!$J:$J,$F725)=0,"NUEVO","ACTIVO"))))</f>
        <v/>
      </c>
    </row>
    <row r="726">
      <c r="A726" s="30"/>
      <c r="B726" s="35"/>
      <c r="C726" s="32"/>
      <c r="D726" s="36"/>
      <c r="E726" s="36"/>
      <c r="F726" s="34"/>
      <c r="G726" s="24"/>
      <c r="H726" s="24" t="str">
        <f>IF($B726="","",IF($B726="TRANSCARNES","ACTIVO",IF(COUNTIF(RETIROS!E:E,$B726)=1,"PENDIENTE ELIMINAR",IF(COUNTIFS(ASIGNACIONES!$D:$D,$B726,ASIGNACIONES!$H:$H,E726,ASIGNACIONES!$G:$G,$D726,ASIGNACIONES!$J:$J,$F726)=0,"NUEVO","ACTIVO"))))</f>
        <v/>
      </c>
    </row>
    <row r="727">
      <c r="A727" s="30"/>
      <c r="B727" s="35"/>
      <c r="C727" s="32"/>
      <c r="D727" s="36"/>
      <c r="E727" s="36"/>
      <c r="F727" s="34"/>
      <c r="G727" s="24"/>
      <c r="H727" s="24" t="str">
        <f>IF($B727="","",IF($B727="TRANSCARNES","ACTIVO",IF(COUNTIF(RETIROS!E:E,$B727)=1,"PENDIENTE ELIMINAR",IF(COUNTIFS(ASIGNACIONES!$D:$D,$B727,ASIGNACIONES!$H:$H,E727,ASIGNACIONES!$G:$G,$D727,ASIGNACIONES!$J:$J,$F727)=0,"NUEVO","ACTIVO"))))</f>
        <v/>
      </c>
    </row>
    <row r="728">
      <c r="A728" s="30"/>
      <c r="B728" s="35"/>
      <c r="C728" s="32"/>
      <c r="D728" s="36"/>
      <c r="E728" s="36"/>
      <c r="F728" s="34"/>
      <c r="G728" s="24"/>
      <c r="H728" s="24" t="str">
        <f>IF($B728="","",IF($B728="TRANSCARNES","ACTIVO",IF(COUNTIF(RETIROS!E:E,$B728)=1,"PENDIENTE ELIMINAR",IF(COUNTIFS(ASIGNACIONES!$D:$D,$B728,ASIGNACIONES!$H:$H,E728,ASIGNACIONES!$G:$G,$D728,ASIGNACIONES!$J:$J,$F728)=0,"NUEVO","ACTIVO"))))</f>
        <v/>
      </c>
    </row>
    <row r="729">
      <c r="A729" s="30"/>
      <c r="B729" s="35"/>
      <c r="C729" s="32"/>
      <c r="D729" s="36"/>
      <c r="E729" s="36"/>
      <c r="F729" s="34"/>
      <c r="G729" s="24"/>
      <c r="H729" s="24" t="str">
        <f>IF($B729="","",IF($B729="TRANSCARNES","ACTIVO",IF(COUNTIF(RETIROS!E:E,$B729)=1,"PENDIENTE ELIMINAR",IF(COUNTIFS(ASIGNACIONES!$D:$D,$B729,ASIGNACIONES!$H:$H,E729,ASIGNACIONES!$G:$G,$D729,ASIGNACIONES!$J:$J,$F729)=0,"NUEVO","ACTIVO"))))</f>
        <v/>
      </c>
    </row>
    <row r="730">
      <c r="A730" s="30"/>
      <c r="B730" s="35"/>
      <c r="C730" s="32"/>
      <c r="D730" s="36"/>
      <c r="E730" s="36"/>
      <c r="F730" s="34"/>
      <c r="G730" s="24"/>
      <c r="H730" s="24" t="str">
        <f>IF($B730="","",IF($B730="TRANSCARNES","ACTIVO",IF(COUNTIF(RETIROS!E:E,$B730)=1,"PENDIENTE ELIMINAR",IF(COUNTIFS(ASIGNACIONES!$D:$D,$B730,ASIGNACIONES!$H:$H,E730,ASIGNACIONES!$G:$G,$D730,ASIGNACIONES!$J:$J,$F730)=0,"NUEVO","ACTIVO"))))</f>
        <v/>
      </c>
    </row>
    <row r="731">
      <c r="A731" s="30"/>
      <c r="B731" s="35"/>
      <c r="C731" s="32"/>
      <c r="D731" s="36"/>
      <c r="E731" s="36"/>
      <c r="F731" s="34"/>
      <c r="G731" s="24"/>
      <c r="H731" s="24" t="str">
        <f>IF($B731="","",IF($B731="TRANSCARNES","ACTIVO",IF(COUNTIF(RETIROS!E:E,$B731)=1,"PENDIENTE ELIMINAR",IF(COUNTIFS(ASIGNACIONES!$D:$D,$B731,ASIGNACIONES!$H:$H,E731,ASIGNACIONES!$G:$G,$D731,ASIGNACIONES!$J:$J,$F731)=0,"NUEVO","ACTIVO"))))</f>
        <v/>
      </c>
    </row>
    <row r="732">
      <c r="A732" s="30"/>
      <c r="B732" s="35"/>
      <c r="C732" s="32"/>
      <c r="D732" s="36"/>
      <c r="E732" s="36"/>
      <c r="F732" s="34"/>
      <c r="G732" s="24"/>
      <c r="H732" s="24" t="str">
        <f>IF($B732="","",IF($B732="TRANSCARNES","ACTIVO",IF(COUNTIF(RETIROS!E:E,$B732)=1,"PENDIENTE ELIMINAR",IF(COUNTIFS(ASIGNACIONES!$D:$D,$B732,ASIGNACIONES!$H:$H,E732,ASIGNACIONES!$G:$G,$D732,ASIGNACIONES!$J:$J,$F732)=0,"NUEVO","ACTIVO"))))</f>
        <v/>
      </c>
    </row>
    <row r="733">
      <c r="A733" s="30"/>
      <c r="B733" s="35"/>
      <c r="C733" s="32"/>
      <c r="D733" s="36"/>
      <c r="E733" s="36"/>
      <c r="F733" s="34"/>
      <c r="G733" s="24"/>
      <c r="H733" s="24" t="str">
        <f>IF($B733="","",IF($B733="TRANSCARNES","ACTIVO",IF(COUNTIF(RETIROS!E:E,$B733)=1,"PENDIENTE ELIMINAR",IF(COUNTIFS(ASIGNACIONES!$D:$D,$B733,ASIGNACIONES!$H:$H,E733,ASIGNACIONES!$G:$G,$D733,ASIGNACIONES!$J:$J,$F733)=0,"NUEVO","ACTIVO"))))</f>
        <v/>
      </c>
    </row>
    <row r="734">
      <c r="A734" s="30"/>
      <c r="B734" s="35"/>
      <c r="C734" s="32"/>
      <c r="D734" s="36"/>
      <c r="E734" s="36"/>
      <c r="F734" s="34"/>
      <c r="G734" s="24"/>
      <c r="H734" s="24" t="str">
        <f>IF($B734="","",IF($B734="TRANSCARNES","ACTIVO",IF(COUNTIF(RETIROS!E:E,$B734)=1,"PENDIENTE ELIMINAR",IF(COUNTIFS(ASIGNACIONES!$D:$D,$B734,ASIGNACIONES!$H:$H,E734,ASIGNACIONES!$G:$G,$D734,ASIGNACIONES!$J:$J,$F734)=0,"NUEVO","ACTIVO"))))</f>
        <v/>
      </c>
    </row>
    <row r="735">
      <c r="A735" s="30"/>
      <c r="B735" s="35"/>
      <c r="C735" s="32"/>
      <c r="D735" s="36"/>
      <c r="E735" s="36"/>
      <c r="F735" s="34"/>
      <c r="G735" s="24"/>
      <c r="H735" s="24" t="str">
        <f>IF($B735="","",IF($B735="TRANSCARNES","ACTIVO",IF(COUNTIF(RETIROS!E:E,$B735)=1,"PENDIENTE ELIMINAR",IF(COUNTIFS(ASIGNACIONES!$D:$D,$B735,ASIGNACIONES!$H:$H,E735,ASIGNACIONES!$G:$G,$D735,ASIGNACIONES!$J:$J,$F735)=0,"NUEVO","ACTIVO"))))</f>
        <v/>
      </c>
    </row>
    <row r="736">
      <c r="A736" s="30"/>
      <c r="B736" s="35"/>
      <c r="C736" s="32"/>
      <c r="D736" s="36"/>
      <c r="E736" s="36"/>
      <c r="F736" s="34"/>
      <c r="G736" s="24"/>
      <c r="H736" s="24" t="str">
        <f>IF($B736="","",IF($B736="TRANSCARNES","ACTIVO",IF(COUNTIF(RETIROS!E:E,$B736)=1,"PENDIENTE ELIMINAR",IF(COUNTIFS(ASIGNACIONES!$D:$D,$B736,ASIGNACIONES!$H:$H,E736,ASIGNACIONES!$G:$G,$D736,ASIGNACIONES!$J:$J,$F736)=0,"NUEVO","ACTIVO"))))</f>
        <v/>
      </c>
    </row>
    <row r="737">
      <c r="A737" s="30"/>
      <c r="B737" s="35"/>
      <c r="C737" s="32"/>
      <c r="D737" s="36"/>
      <c r="E737" s="36"/>
      <c r="F737" s="34"/>
      <c r="G737" s="24"/>
      <c r="H737" s="24" t="str">
        <f>IF($B737="","",IF($B737="TRANSCARNES","ACTIVO",IF(COUNTIF(RETIROS!E:E,$B737)=1,"PENDIENTE ELIMINAR",IF(COUNTIFS(ASIGNACIONES!$D:$D,$B737,ASIGNACIONES!$H:$H,E737,ASIGNACIONES!$G:$G,$D737,ASIGNACIONES!$J:$J,$F737)=0,"NUEVO","ACTIVO"))))</f>
        <v/>
      </c>
    </row>
    <row r="738">
      <c r="A738" s="30"/>
      <c r="B738" s="35"/>
      <c r="C738" s="32"/>
      <c r="D738" s="36"/>
      <c r="E738" s="36"/>
      <c r="F738" s="34"/>
      <c r="G738" s="24"/>
      <c r="H738" s="24" t="str">
        <f>IF($B738="","",IF($B738="TRANSCARNES","ACTIVO",IF(COUNTIF(RETIROS!E:E,$B738)=1,"PENDIENTE ELIMINAR",IF(COUNTIFS(ASIGNACIONES!$D:$D,$B738,ASIGNACIONES!$H:$H,E738,ASIGNACIONES!$G:$G,$D738,ASIGNACIONES!$J:$J,$F738)=0,"NUEVO","ACTIVO"))))</f>
        <v/>
      </c>
    </row>
    <row r="739">
      <c r="A739" s="30"/>
      <c r="B739" s="35"/>
      <c r="C739" s="32"/>
      <c r="D739" s="36"/>
      <c r="E739" s="36"/>
      <c r="F739" s="34"/>
      <c r="G739" s="24"/>
      <c r="H739" s="24" t="str">
        <f>IF($B739="","",IF($B739="TRANSCARNES","ACTIVO",IF(COUNTIF(RETIROS!E:E,$B739)=1,"PENDIENTE ELIMINAR",IF(COUNTIFS(ASIGNACIONES!$D:$D,$B739,ASIGNACIONES!$H:$H,E739,ASIGNACIONES!$G:$G,$D739,ASIGNACIONES!$J:$J,$F739)=0,"NUEVO","ACTIVO"))))</f>
        <v/>
      </c>
    </row>
    <row r="740">
      <c r="A740" s="30"/>
      <c r="B740" s="35"/>
      <c r="C740" s="32"/>
      <c r="D740" s="36"/>
      <c r="E740" s="36"/>
      <c r="F740" s="34"/>
      <c r="G740" s="24"/>
      <c r="H740" s="24" t="str">
        <f>IF($B740="","",IF($B740="TRANSCARNES","ACTIVO",IF(COUNTIF(RETIROS!E:E,$B740)=1,"PENDIENTE ELIMINAR",IF(COUNTIFS(ASIGNACIONES!$D:$D,$B740,ASIGNACIONES!$H:$H,E740,ASIGNACIONES!$G:$G,$D740,ASIGNACIONES!$J:$J,$F740)=0,"NUEVO","ACTIVO"))))</f>
        <v/>
      </c>
    </row>
    <row r="741">
      <c r="A741" s="30"/>
      <c r="B741" s="35"/>
      <c r="C741" s="32"/>
      <c r="D741" s="36"/>
      <c r="E741" s="36"/>
      <c r="F741" s="34"/>
      <c r="G741" s="24"/>
      <c r="H741" s="24" t="str">
        <f>IF($B741="","",IF($B741="TRANSCARNES","ACTIVO",IF(COUNTIF(RETIROS!E:E,$B741)=1,"PENDIENTE ELIMINAR",IF(COUNTIFS(ASIGNACIONES!$D:$D,$B741,ASIGNACIONES!$H:$H,E741,ASIGNACIONES!$G:$G,$D741,ASIGNACIONES!$J:$J,$F741)=0,"NUEVO","ACTIVO"))))</f>
        <v/>
      </c>
    </row>
    <row r="742">
      <c r="A742" s="30"/>
      <c r="B742" s="35"/>
      <c r="C742" s="32"/>
      <c r="D742" s="36"/>
      <c r="E742" s="36"/>
      <c r="F742" s="34"/>
      <c r="G742" s="24"/>
      <c r="H742" s="24" t="str">
        <f>IF($B742="","",IF($B742="TRANSCARNES","ACTIVO",IF(COUNTIF(RETIROS!E:E,$B742)=1,"PENDIENTE ELIMINAR",IF(COUNTIFS(ASIGNACIONES!$D:$D,$B742,ASIGNACIONES!$H:$H,E742,ASIGNACIONES!$G:$G,$D742,ASIGNACIONES!$J:$J,$F742)=0,"NUEVO","ACTIVO"))))</f>
        <v/>
      </c>
    </row>
    <row r="743">
      <c r="A743" s="30"/>
      <c r="B743" s="35"/>
      <c r="C743" s="32"/>
      <c r="D743" s="36"/>
      <c r="E743" s="36"/>
      <c r="F743" s="34"/>
      <c r="G743" s="24"/>
      <c r="H743" s="24" t="str">
        <f>IF($B743="","",IF($B743="TRANSCARNES","ACTIVO",IF(COUNTIF(RETIROS!E:E,$B743)=1,"PENDIENTE ELIMINAR",IF(COUNTIFS(ASIGNACIONES!$D:$D,$B743,ASIGNACIONES!$H:$H,E743,ASIGNACIONES!$G:$G,$D743,ASIGNACIONES!$J:$J,$F743)=0,"NUEVO","ACTIVO"))))</f>
        <v/>
      </c>
    </row>
    <row r="744">
      <c r="A744" s="30"/>
      <c r="B744" s="35"/>
      <c r="C744" s="32"/>
      <c r="D744" s="36"/>
      <c r="E744" s="36"/>
      <c r="F744" s="34"/>
      <c r="G744" s="24"/>
      <c r="H744" s="24" t="str">
        <f>IF($B744="","",IF($B744="TRANSCARNES","ACTIVO",IF(COUNTIF(RETIROS!E:E,$B744)=1,"PENDIENTE ELIMINAR",IF(COUNTIFS(ASIGNACIONES!$D:$D,$B744,ASIGNACIONES!$H:$H,E744,ASIGNACIONES!$G:$G,$D744,ASIGNACIONES!$J:$J,$F744)=0,"NUEVO","ACTIVO"))))</f>
        <v/>
      </c>
    </row>
    <row r="745">
      <c r="A745" s="30"/>
      <c r="B745" s="35"/>
      <c r="C745" s="32"/>
      <c r="D745" s="36"/>
      <c r="E745" s="36"/>
      <c r="F745" s="34"/>
      <c r="G745" s="24"/>
      <c r="H745" s="24" t="str">
        <f>IF($B745="","",IF($B745="TRANSCARNES","ACTIVO",IF(COUNTIF(RETIROS!E:E,$B745)=1,"PENDIENTE ELIMINAR",IF(COUNTIFS(ASIGNACIONES!$D:$D,$B745,ASIGNACIONES!$H:$H,E745,ASIGNACIONES!$G:$G,$D745,ASIGNACIONES!$J:$J,$F745)=0,"NUEVO","ACTIVO"))))</f>
        <v/>
      </c>
    </row>
    <row r="746">
      <c r="A746" s="30"/>
      <c r="B746" s="35"/>
      <c r="C746" s="32"/>
      <c r="D746" s="36"/>
      <c r="E746" s="36"/>
      <c r="F746" s="34"/>
      <c r="G746" s="24"/>
      <c r="H746" s="24" t="str">
        <f>IF($B746="","",IF($B746="TRANSCARNES","ACTIVO",IF(COUNTIF(RETIROS!E:E,$B746)=1,"PENDIENTE ELIMINAR",IF(COUNTIFS(ASIGNACIONES!$D:$D,$B746,ASIGNACIONES!$H:$H,E746,ASIGNACIONES!$G:$G,$D746,ASIGNACIONES!$J:$J,$F746)=0,"NUEVO","ACTIVO"))))</f>
        <v/>
      </c>
    </row>
    <row r="747">
      <c r="A747" s="30"/>
      <c r="B747" s="35"/>
      <c r="C747" s="32"/>
      <c r="D747" s="36"/>
      <c r="E747" s="36"/>
      <c r="F747" s="34"/>
      <c r="G747" s="24"/>
      <c r="H747" s="24" t="str">
        <f>IF($B747="","",IF($B747="TRANSCARNES","ACTIVO",IF(COUNTIF(RETIROS!E:E,$B747)=1,"PENDIENTE ELIMINAR",IF(COUNTIFS(ASIGNACIONES!$D:$D,$B747,ASIGNACIONES!$H:$H,E747,ASIGNACIONES!$G:$G,$D747,ASIGNACIONES!$J:$J,$F747)=0,"NUEVO","ACTIVO"))))</f>
        <v/>
      </c>
    </row>
    <row r="748">
      <c r="A748" s="30"/>
      <c r="B748" s="35"/>
      <c r="C748" s="32"/>
      <c r="D748" s="36"/>
      <c r="E748" s="36"/>
      <c r="F748" s="34"/>
      <c r="G748" s="24"/>
      <c r="H748" s="24" t="str">
        <f>IF($B748="","",IF($B748="TRANSCARNES","ACTIVO",IF(COUNTIF(RETIROS!E:E,$B748)=1,"PENDIENTE ELIMINAR",IF(COUNTIFS(ASIGNACIONES!$D:$D,$B748,ASIGNACIONES!$H:$H,E748,ASIGNACIONES!$G:$G,$D748,ASIGNACIONES!$J:$J,$F748)=0,"NUEVO","ACTIVO"))))</f>
        <v/>
      </c>
    </row>
    <row r="749">
      <c r="A749" s="30"/>
      <c r="B749" s="35"/>
      <c r="C749" s="32"/>
      <c r="D749" s="36"/>
      <c r="E749" s="36"/>
      <c r="F749" s="34"/>
      <c r="G749" s="24"/>
      <c r="H749" s="24" t="str">
        <f>IF($B749="","",IF($B749="TRANSCARNES","ACTIVO",IF(COUNTIF(RETIROS!E:E,$B749)=1,"PENDIENTE ELIMINAR",IF(COUNTIFS(ASIGNACIONES!$D:$D,$B749,ASIGNACIONES!$H:$H,E749,ASIGNACIONES!$G:$G,$D749,ASIGNACIONES!$J:$J,$F749)=0,"NUEVO","ACTIVO"))))</f>
        <v/>
      </c>
    </row>
    <row r="750">
      <c r="A750" s="30"/>
      <c r="B750" s="35"/>
      <c r="C750" s="32"/>
      <c r="D750" s="36"/>
      <c r="E750" s="36"/>
      <c r="F750" s="34"/>
      <c r="G750" s="24"/>
      <c r="H750" s="24" t="str">
        <f>IF($B750="","",IF($B750="TRANSCARNES","ACTIVO",IF(COUNTIF(RETIROS!E:E,$B750)=1,"PENDIENTE ELIMINAR",IF(COUNTIFS(ASIGNACIONES!$D:$D,$B750,ASIGNACIONES!$H:$H,E750,ASIGNACIONES!$G:$G,$D750,ASIGNACIONES!$J:$J,$F750)=0,"NUEVO","ACTIVO"))))</f>
        <v/>
      </c>
    </row>
    <row r="751">
      <c r="A751" s="30"/>
      <c r="B751" s="35"/>
      <c r="C751" s="32"/>
      <c r="D751" s="36"/>
      <c r="E751" s="36"/>
      <c r="F751" s="34"/>
      <c r="G751" s="24"/>
      <c r="H751" s="24" t="str">
        <f>IF($B751="","",IF($B751="TRANSCARNES","ACTIVO",IF(COUNTIF(RETIROS!E:E,$B751)=1,"PENDIENTE ELIMINAR",IF(COUNTIFS(ASIGNACIONES!$D:$D,$B751,ASIGNACIONES!$H:$H,E751,ASIGNACIONES!$G:$G,$D751,ASIGNACIONES!$J:$J,$F751)=0,"NUEVO","ACTIVO"))))</f>
        <v/>
      </c>
    </row>
    <row r="752">
      <c r="A752" s="30"/>
      <c r="B752" s="35"/>
      <c r="C752" s="32"/>
      <c r="D752" s="36"/>
      <c r="E752" s="36"/>
      <c r="F752" s="34"/>
      <c r="G752" s="24"/>
      <c r="H752" s="24" t="str">
        <f>IF($B752="","",IF($B752="TRANSCARNES","ACTIVO",IF(COUNTIF(RETIROS!E:E,$B752)=1,"PENDIENTE ELIMINAR",IF(COUNTIFS(ASIGNACIONES!$D:$D,$B752,ASIGNACIONES!$H:$H,E752,ASIGNACIONES!$G:$G,$D752,ASIGNACIONES!$J:$J,$F752)=0,"NUEVO","ACTIVO"))))</f>
        <v/>
      </c>
    </row>
    <row r="753">
      <c r="A753" s="30"/>
      <c r="B753" s="35"/>
      <c r="C753" s="32"/>
      <c r="D753" s="36"/>
      <c r="E753" s="36"/>
      <c r="F753" s="34"/>
      <c r="G753" s="24"/>
      <c r="H753" s="24" t="str">
        <f>IF($B753="","",IF($B753="TRANSCARNES","ACTIVO",IF(COUNTIF(RETIROS!E:E,$B753)=1,"PENDIENTE ELIMINAR",IF(COUNTIFS(ASIGNACIONES!$D:$D,$B753,ASIGNACIONES!$H:$H,E753,ASIGNACIONES!$G:$G,$D753,ASIGNACIONES!$J:$J,$F753)=0,"NUEVO","ACTIVO"))))</f>
        <v/>
      </c>
    </row>
    <row r="754">
      <c r="A754" s="30"/>
      <c r="B754" s="35"/>
      <c r="C754" s="32"/>
      <c r="D754" s="36"/>
      <c r="E754" s="36"/>
      <c r="F754" s="34"/>
      <c r="G754" s="24"/>
      <c r="H754" s="24" t="str">
        <f>IF($B754="","",IF($B754="TRANSCARNES","ACTIVO",IF(COUNTIF(RETIROS!E:E,$B754)=1,"PENDIENTE ELIMINAR",IF(COUNTIFS(ASIGNACIONES!$D:$D,$B754,ASIGNACIONES!$H:$H,E754,ASIGNACIONES!$G:$G,$D754,ASIGNACIONES!$J:$J,$F754)=0,"NUEVO","ACTIVO"))))</f>
        <v/>
      </c>
    </row>
    <row r="755">
      <c r="A755" s="30"/>
      <c r="B755" s="35"/>
      <c r="C755" s="32"/>
      <c r="D755" s="36"/>
      <c r="E755" s="36"/>
      <c r="F755" s="34"/>
      <c r="G755" s="24"/>
      <c r="H755" s="24" t="str">
        <f>IF($B755="","",IF($B755="TRANSCARNES","ACTIVO",IF(COUNTIF(RETIROS!E:E,$B755)=1,"PENDIENTE ELIMINAR",IF(COUNTIFS(ASIGNACIONES!$D:$D,$B755,ASIGNACIONES!$H:$H,E755,ASIGNACIONES!$G:$G,$D755,ASIGNACIONES!$J:$J,$F755)=0,"NUEVO","ACTIVO"))))</f>
        <v/>
      </c>
    </row>
    <row r="756">
      <c r="A756" s="30"/>
      <c r="B756" s="35"/>
      <c r="C756" s="32"/>
      <c r="D756" s="36"/>
      <c r="E756" s="36"/>
      <c r="F756" s="34"/>
      <c r="G756" s="24"/>
      <c r="H756" s="24" t="str">
        <f>IF($B756="","",IF($B756="TRANSCARNES","ACTIVO",IF(COUNTIF(RETIROS!E:E,$B756)=1,"PENDIENTE ELIMINAR",IF(COUNTIFS(ASIGNACIONES!$D:$D,$B756,ASIGNACIONES!$H:$H,E756,ASIGNACIONES!$G:$G,$D756,ASIGNACIONES!$J:$J,$F756)=0,"NUEVO","ACTIVO"))))</f>
        <v/>
      </c>
    </row>
    <row r="757">
      <c r="A757" s="30"/>
      <c r="B757" s="35"/>
      <c r="C757" s="32"/>
      <c r="D757" s="36"/>
      <c r="E757" s="36"/>
      <c r="F757" s="34"/>
      <c r="G757" s="24"/>
      <c r="H757" s="24" t="str">
        <f>IF($B757="","",IF($B757="TRANSCARNES","ACTIVO",IF(COUNTIF(RETIROS!E:E,$B757)=1,"PENDIENTE ELIMINAR",IF(COUNTIFS(ASIGNACIONES!$D:$D,$B757,ASIGNACIONES!$H:$H,E757,ASIGNACIONES!$G:$G,$D757,ASIGNACIONES!$J:$J,$F757)=0,"NUEVO","ACTIVO"))))</f>
        <v/>
      </c>
    </row>
    <row r="758">
      <c r="A758" s="30"/>
      <c r="B758" s="35"/>
      <c r="C758" s="32"/>
      <c r="D758" s="36"/>
      <c r="E758" s="36"/>
      <c r="F758" s="34"/>
      <c r="G758" s="24"/>
      <c r="H758" s="24" t="str">
        <f>IF($B758="","",IF($B758="TRANSCARNES","ACTIVO",IF(COUNTIF(RETIROS!E:E,$B758)=1,"PENDIENTE ELIMINAR",IF(COUNTIFS(ASIGNACIONES!$D:$D,$B758,ASIGNACIONES!$H:$H,E758,ASIGNACIONES!$G:$G,$D758,ASIGNACIONES!$J:$J,$F758)=0,"NUEVO","ACTIVO"))))</f>
        <v/>
      </c>
    </row>
    <row r="759">
      <c r="A759" s="30"/>
      <c r="B759" s="35"/>
      <c r="C759" s="32"/>
      <c r="D759" s="36"/>
      <c r="E759" s="36"/>
      <c r="F759" s="34"/>
      <c r="G759" s="24"/>
      <c r="H759" s="24" t="str">
        <f>IF($B759="","",IF($B759="TRANSCARNES","ACTIVO",IF(COUNTIF(RETIROS!E:E,$B759)=1,"PENDIENTE ELIMINAR",IF(COUNTIFS(ASIGNACIONES!$D:$D,$B759,ASIGNACIONES!$H:$H,E759,ASIGNACIONES!$G:$G,$D759,ASIGNACIONES!$J:$J,$F759)=0,"NUEVO","ACTIVO"))))</f>
        <v/>
      </c>
    </row>
    <row r="760">
      <c r="A760" s="30"/>
      <c r="B760" s="35"/>
      <c r="C760" s="32"/>
      <c r="D760" s="36"/>
      <c r="E760" s="36"/>
      <c r="F760" s="34"/>
      <c r="G760" s="24"/>
      <c r="H760" s="24" t="str">
        <f>IF($B760="","",IF($B760="TRANSCARNES","ACTIVO",IF(COUNTIF(RETIROS!E:E,$B760)=1,"PENDIENTE ELIMINAR",IF(COUNTIFS(ASIGNACIONES!$D:$D,$B760,ASIGNACIONES!$H:$H,E760,ASIGNACIONES!$G:$G,$D760,ASIGNACIONES!$J:$J,$F760)=0,"NUEVO","ACTIVO"))))</f>
        <v/>
      </c>
    </row>
    <row r="761">
      <c r="A761" s="30"/>
      <c r="B761" s="35"/>
      <c r="C761" s="32"/>
      <c r="D761" s="36"/>
      <c r="E761" s="36"/>
      <c r="F761" s="34"/>
      <c r="G761" s="24"/>
      <c r="H761" s="24" t="str">
        <f>IF($B761="","",IF($B761="TRANSCARNES","ACTIVO",IF(COUNTIF(RETIROS!E:E,$B761)=1,"PENDIENTE ELIMINAR",IF(COUNTIFS(ASIGNACIONES!$D:$D,$B761,ASIGNACIONES!$H:$H,E761,ASIGNACIONES!$G:$G,$D761,ASIGNACIONES!$J:$J,$F761)=0,"NUEVO","ACTIVO"))))</f>
        <v/>
      </c>
    </row>
    <row r="762">
      <c r="A762" s="30"/>
      <c r="B762" s="35"/>
      <c r="C762" s="32"/>
      <c r="D762" s="36"/>
      <c r="E762" s="36"/>
      <c r="F762" s="34"/>
      <c r="G762" s="24"/>
      <c r="H762" s="24" t="str">
        <f>IF($B762="","",IF($B762="TRANSCARNES","ACTIVO",IF(COUNTIF(RETIROS!E:E,$B762)=1,"PENDIENTE ELIMINAR",IF(COUNTIFS(ASIGNACIONES!$D:$D,$B762,ASIGNACIONES!$H:$H,E762,ASIGNACIONES!$G:$G,$D762,ASIGNACIONES!$J:$J,$F762)=0,"NUEVO","ACTIVO"))))</f>
        <v/>
      </c>
    </row>
    <row r="763">
      <c r="A763" s="30"/>
      <c r="B763" s="35"/>
      <c r="C763" s="32"/>
      <c r="D763" s="36"/>
      <c r="E763" s="36"/>
      <c r="F763" s="34"/>
      <c r="G763" s="24"/>
      <c r="H763" s="24" t="str">
        <f>IF($B763="","",IF($B763="TRANSCARNES","ACTIVO",IF(COUNTIF(RETIROS!E:E,$B763)=1,"PENDIENTE ELIMINAR",IF(COUNTIFS(ASIGNACIONES!$D:$D,$B763,ASIGNACIONES!$H:$H,E763,ASIGNACIONES!$G:$G,$D763,ASIGNACIONES!$J:$J,$F763)=0,"NUEVO","ACTIVO"))))</f>
        <v/>
      </c>
    </row>
    <row r="764">
      <c r="A764" s="30"/>
      <c r="B764" s="35"/>
      <c r="C764" s="32"/>
      <c r="D764" s="36"/>
      <c r="E764" s="36"/>
      <c r="F764" s="34"/>
      <c r="G764" s="24"/>
      <c r="H764" s="24" t="str">
        <f>IF($B764="","",IF($B764="TRANSCARNES","ACTIVO",IF(COUNTIF(RETIROS!E:E,$B764)=1,"PENDIENTE ELIMINAR",IF(COUNTIFS(ASIGNACIONES!$D:$D,$B764,ASIGNACIONES!$H:$H,E764,ASIGNACIONES!$G:$G,$D764,ASIGNACIONES!$J:$J,$F764)=0,"NUEVO","ACTIVO"))))</f>
        <v/>
      </c>
    </row>
    <row r="765">
      <c r="A765" s="30"/>
      <c r="B765" s="35"/>
      <c r="C765" s="32"/>
      <c r="D765" s="36"/>
      <c r="E765" s="36"/>
      <c r="F765" s="34"/>
      <c r="G765" s="24"/>
      <c r="H765" s="24" t="str">
        <f>IF($B765="","",IF($B765="TRANSCARNES","ACTIVO",IF(COUNTIF(RETIROS!E:E,$B765)=1,"PENDIENTE ELIMINAR",IF(COUNTIFS(ASIGNACIONES!$D:$D,$B765,ASIGNACIONES!$H:$H,E765,ASIGNACIONES!$G:$G,$D765,ASIGNACIONES!$J:$J,$F765)=0,"NUEVO","ACTIVO"))))</f>
        <v/>
      </c>
    </row>
    <row r="766">
      <c r="A766" s="30"/>
      <c r="B766" s="35"/>
      <c r="C766" s="32"/>
      <c r="D766" s="36"/>
      <c r="E766" s="36"/>
      <c r="F766" s="34"/>
      <c r="G766" s="24"/>
      <c r="H766" s="24" t="str">
        <f>IF($B766="","",IF($B766="TRANSCARNES","ACTIVO",IF(COUNTIF(RETIROS!E:E,$B766)=1,"PENDIENTE ELIMINAR",IF(COUNTIFS(ASIGNACIONES!$D:$D,$B766,ASIGNACIONES!$H:$H,E766,ASIGNACIONES!$G:$G,$D766,ASIGNACIONES!$J:$J,$F766)=0,"NUEVO","ACTIVO"))))</f>
        <v/>
      </c>
    </row>
    <row r="767">
      <c r="A767" s="30"/>
      <c r="B767" s="35"/>
      <c r="C767" s="32"/>
      <c r="D767" s="36"/>
      <c r="E767" s="36"/>
      <c r="F767" s="34"/>
      <c r="G767" s="24"/>
      <c r="H767" s="24" t="str">
        <f>IF($B767="","",IF($B767="TRANSCARNES","ACTIVO",IF(COUNTIF(RETIROS!E:E,$B767)=1,"PENDIENTE ELIMINAR",IF(COUNTIFS(ASIGNACIONES!$D:$D,$B767,ASIGNACIONES!$H:$H,E767,ASIGNACIONES!$G:$G,$D767,ASIGNACIONES!$J:$J,$F767)=0,"NUEVO","ACTIVO"))))</f>
        <v/>
      </c>
    </row>
    <row r="768">
      <c r="A768" s="30"/>
      <c r="B768" s="35"/>
      <c r="C768" s="32"/>
      <c r="D768" s="36"/>
      <c r="E768" s="36"/>
      <c r="F768" s="34"/>
      <c r="G768" s="24"/>
      <c r="H768" s="24" t="str">
        <f>IF($B768="","",IF($B768="TRANSCARNES","ACTIVO",IF(COUNTIF(RETIROS!E:E,$B768)=1,"PENDIENTE ELIMINAR",IF(COUNTIFS(ASIGNACIONES!$D:$D,$B768,ASIGNACIONES!$H:$H,E768,ASIGNACIONES!$G:$G,$D768,ASIGNACIONES!$J:$J,$F768)=0,"NUEVO","ACTIVO"))))</f>
        <v/>
      </c>
    </row>
    <row r="769">
      <c r="A769" s="30"/>
      <c r="B769" s="35"/>
      <c r="C769" s="32"/>
      <c r="D769" s="36"/>
      <c r="E769" s="36"/>
      <c r="F769" s="34"/>
      <c r="G769" s="24"/>
      <c r="H769" s="24" t="str">
        <f>IF($B769="","",IF($B769="TRANSCARNES","ACTIVO",IF(COUNTIF(RETIROS!E:E,$B769)=1,"PENDIENTE ELIMINAR",IF(COUNTIFS(ASIGNACIONES!$D:$D,$B769,ASIGNACIONES!$H:$H,E769,ASIGNACIONES!$G:$G,$D769,ASIGNACIONES!$J:$J,$F769)=0,"NUEVO","ACTIVO"))))</f>
        <v/>
      </c>
    </row>
    <row r="770">
      <c r="A770" s="30"/>
      <c r="B770" s="35"/>
      <c r="C770" s="32"/>
      <c r="D770" s="36"/>
      <c r="E770" s="36"/>
      <c r="F770" s="34"/>
      <c r="G770" s="24"/>
      <c r="H770" s="24" t="str">
        <f>IF($B770="","",IF($B770="TRANSCARNES","ACTIVO",IF(COUNTIF(RETIROS!E:E,$B770)=1,"PENDIENTE ELIMINAR",IF(COUNTIFS(ASIGNACIONES!$D:$D,$B770,ASIGNACIONES!$H:$H,E770,ASIGNACIONES!$G:$G,$D770,ASIGNACIONES!$J:$J,$F770)=0,"NUEVO","ACTIVO"))))</f>
        <v/>
      </c>
    </row>
    <row r="771">
      <c r="A771" s="30"/>
      <c r="B771" s="35"/>
      <c r="C771" s="32"/>
      <c r="D771" s="36"/>
      <c r="E771" s="36"/>
      <c r="F771" s="34"/>
      <c r="G771" s="24"/>
      <c r="H771" s="24" t="str">
        <f>IF($B771="","",IF($B771="TRANSCARNES","ACTIVO",IF(COUNTIF(RETIROS!E:E,$B771)=1,"PENDIENTE ELIMINAR",IF(COUNTIFS(ASIGNACIONES!$D:$D,$B771,ASIGNACIONES!$H:$H,E771,ASIGNACIONES!$G:$G,$D771,ASIGNACIONES!$J:$J,$F771)=0,"NUEVO","ACTIVO"))))</f>
        <v/>
      </c>
    </row>
    <row r="772">
      <c r="A772" s="30"/>
      <c r="B772" s="35"/>
      <c r="C772" s="32"/>
      <c r="D772" s="36"/>
      <c r="E772" s="36"/>
      <c r="F772" s="34"/>
      <c r="G772" s="24"/>
      <c r="H772" s="24" t="str">
        <f>IF($B772="","",IF($B772="TRANSCARNES","ACTIVO",IF(COUNTIF(RETIROS!E:E,$B772)=1,"PENDIENTE ELIMINAR",IF(COUNTIFS(ASIGNACIONES!$D:$D,$B772,ASIGNACIONES!$H:$H,E772,ASIGNACIONES!$G:$G,$D772,ASIGNACIONES!$J:$J,$F772)=0,"NUEVO","ACTIVO"))))</f>
        <v/>
      </c>
    </row>
    <row r="773">
      <c r="A773" s="30"/>
      <c r="B773" s="35"/>
      <c r="C773" s="32"/>
      <c r="D773" s="36"/>
      <c r="E773" s="36"/>
      <c r="F773" s="34"/>
      <c r="G773" s="24"/>
      <c r="H773" s="24" t="str">
        <f>IF($B773="","",IF($B773="TRANSCARNES","ACTIVO",IF(COUNTIF(RETIROS!E:E,$B773)=1,"PENDIENTE ELIMINAR",IF(COUNTIFS(ASIGNACIONES!$D:$D,$B773,ASIGNACIONES!$H:$H,E773,ASIGNACIONES!$G:$G,$D773,ASIGNACIONES!$J:$J,$F773)=0,"NUEVO","ACTIVO"))))</f>
        <v/>
      </c>
    </row>
    <row r="774">
      <c r="A774" s="30"/>
      <c r="B774" s="35"/>
      <c r="C774" s="32"/>
      <c r="D774" s="36"/>
      <c r="E774" s="36"/>
      <c r="F774" s="34"/>
      <c r="G774" s="24"/>
      <c r="H774" s="24" t="str">
        <f>IF($B774="","",IF($B774="TRANSCARNES","ACTIVO",IF(COUNTIF(RETIROS!E:E,$B774)=1,"PENDIENTE ELIMINAR",IF(COUNTIFS(ASIGNACIONES!$D:$D,$B774,ASIGNACIONES!$H:$H,E774,ASIGNACIONES!$G:$G,$D774,ASIGNACIONES!$J:$J,$F774)=0,"NUEVO","ACTIVO"))))</f>
        <v/>
      </c>
    </row>
    <row r="775">
      <c r="A775" s="30"/>
      <c r="B775" s="35"/>
      <c r="C775" s="32"/>
      <c r="D775" s="36"/>
      <c r="E775" s="36"/>
      <c r="F775" s="34"/>
      <c r="G775" s="24"/>
      <c r="H775" s="24" t="str">
        <f>IF($B775="","",IF($B775="TRANSCARNES","ACTIVO",IF(COUNTIF(RETIROS!E:E,$B775)=1,"PENDIENTE ELIMINAR",IF(COUNTIFS(ASIGNACIONES!$D:$D,$B775,ASIGNACIONES!$H:$H,E775,ASIGNACIONES!$G:$G,$D775,ASIGNACIONES!$J:$J,$F775)=0,"NUEVO","ACTIVO"))))</f>
        <v/>
      </c>
    </row>
    <row r="776">
      <c r="A776" s="30"/>
      <c r="B776" s="35"/>
      <c r="C776" s="32"/>
      <c r="D776" s="36"/>
      <c r="E776" s="36"/>
      <c r="F776" s="34"/>
      <c r="G776" s="24"/>
      <c r="H776" s="24" t="str">
        <f>IF($B776="","",IF($B776="TRANSCARNES","ACTIVO",IF(COUNTIF(RETIROS!E:E,$B776)=1,"PENDIENTE ELIMINAR",IF(COUNTIFS(ASIGNACIONES!$D:$D,$B776,ASIGNACIONES!$H:$H,E776,ASIGNACIONES!$G:$G,$D776,ASIGNACIONES!$J:$J,$F776)=0,"NUEVO","ACTIVO"))))</f>
        <v/>
      </c>
    </row>
    <row r="777">
      <c r="A777" s="30"/>
      <c r="B777" s="35"/>
      <c r="C777" s="32"/>
      <c r="D777" s="36"/>
      <c r="E777" s="36"/>
      <c r="F777" s="34"/>
      <c r="G777" s="24"/>
      <c r="H777" s="24" t="str">
        <f>IF($B777="","",IF($B777="TRANSCARNES","ACTIVO",IF(COUNTIF(RETIROS!E:E,$B777)=1,"PENDIENTE ELIMINAR",IF(COUNTIFS(ASIGNACIONES!$D:$D,$B777,ASIGNACIONES!$H:$H,E777,ASIGNACIONES!$G:$G,$D777,ASIGNACIONES!$J:$J,$F777)=0,"NUEVO","ACTIVO"))))</f>
        <v/>
      </c>
    </row>
    <row r="778">
      <c r="A778" s="30"/>
      <c r="B778" s="35"/>
      <c r="C778" s="32"/>
      <c r="D778" s="36"/>
      <c r="E778" s="36"/>
      <c r="F778" s="34"/>
      <c r="G778" s="24"/>
      <c r="H778" s="24" t="str">
        <f>IF($B778="","",IF($B778="TRANSCARNES","ACTIVO",IF(COUNTIF(RETIROS!E:E,$B778)=1,"PENDIENTE ELIMINAR",IF(COUNTIFS(ASIGNACIONES!$D:$D,$B778,ASIGNACIONES!$H:$H,E778,ASIGNACIONES!$G:$G,$D778,ASIGNACIONES!$J:$J,$F778)=0,"NUEVO","ACTIVO"))))</f>
        <v/>
      </c>
    </row>
    <row r="779">
      <c r="A779" s="30"/>
      <c r="B779" s="35"/>
      <c r="C779" s="32"/>
      <c r="D779" s="36"/>
      <c r="E779" s="36"/>
      <c r="F779" s="34"/>
      <c r="G779" s="24"/>
      <c r="H779" s="24" t="str">
        <f>IF($B779="","",IF($B779="TRANSCARNES","ACTIVO",IF(COUNTIF(RETIROS!E:E,$B779)=1,"PENDIENTE ELIMINAR",IF(COUNTIFS(ASIGNACIONES!$D:$D,$B779,ASIGNACIONES!$H:$H,E779,ASIGNACIONES!$G:$G,$D779,ASIGNACIONES!$J:$J,$F779)=0,"NUEVO","ACTIVO"))))</f>
        <v/>
      </c>
    </row>
    <row r="780">
      <c r="A780" s="30"/>
      <c r="B780" s="35"/>
      <c r="C780" s="32"/>
      <c r="D780" s="36"/>
      <c r="E780" s="36"/>
      <c r="F780" s="34"/>
      <c r="G780" s="24"/>
      <c r="H780" s="24" t="str">
        <f>IF($B780="","",IF($B780="TRANSCARNES","ACTIVO",IF(COUNTIF(RETIROS!E:E,$B780)=1,"PENDIENTE ELIMINAR",IF(COUNTIFS(ASIGNACIONES!$D:$D,$B780,ASIGNACIONES!$H:$H,E780,ASIGNACIONES!$G:$G,$D780,ASIGNACIONES!$J:$J,$F780)=0,"NUEVO","ACTIVO"))))</f>
        <v/>
      </c>
    </row>
    <row r="781">
      <c r="A781" s="30"/>
      <c r="B781" s="35"/>
      <c r="C781" s="32"/>
      <c r="D781" s="36"/>
      <c r="E781" s="36"/>
      <c r="F781" s="34"/>
      <c r="G781" s="24"/>
      <c r="H781" s="24" t="str">
        <f>IF($B781="","",IF($B781="TRANSCARNES","ACTIVO",IF(COUNTIF(RETIROS!E:E,$B781)=1,"PENDIENTE ELIMINAR",IF(COUNTIFS(ASIGNACIONES!$D:$D,$B781,ASIGNACIONES!$H:$H,E781,ASIGNACIONES!$G:$G,$D781,ASIGNACIONES!$J:$J,$F781)=0,"NUEVO","ACTIVO"))))</f>
        <v/>
      </c>
    </row>
    <row r="782">
      <c r="A782" s="30"/>
      <c r="B782" s="35"/>
      <c r="C782" s="32"/>
      <c r="D782" s="36"/>
      <c r="E782" s="36"/>
      <c r="F782" s="34"/>
      <c r="G782" s="24"/>
      <c r="H782" s="24" t="str">
        <f>IF($B782="","",IF($B782="TRANSCARNES","ACTIVO",IF(COUNTIF(RETIROS!E:E,$B782)=1,"PENDIENTE ELIMINAR",IF(COUNTIFS(ASIGNACIONES!$D:$D,$B782,ASIGNACIONES!$H:$H,E782,ASIGNACIONES!$G:$G,$D782,ASIGNACIONES!$J:$J,$F782)=0,"NUEVO","ACTIVO"))))</f>
        <v/>
      </c>
    </row>
    <row r="783">
      <c r="A783" s="30"/>
      <c r="B783" s="35"/>
      <c r="C783" s="32"/>
      <c r="D783" s="36"/>
      <c r="E783" s="36"/>
      <c r="F783" s="34"/>
      <c r="G783" s="24"/>
      <c r="H783" s="24" t="str">
        <f>IF($B783="","",IF($B783="TRANSCARNES","ACTIVO",IF(COUNTIF(RETIROS!E:E,$B783)=1,"PENDIENTE ELIMINAR",IF(COUNTIFS(ASIGNACIONES!$D:$D,$B783,ASIGNACIONES!$H:$H,E783,ASIGNACIONES!$G:$G,$D783,ASIGNACIONES!$J:$J,$F783)=0,"NUEVO","ACTIVO"))))</f>
        <v/>
      </c>
    </row>
    <row r="784">
      <c r="A784" s="30"/>
      <c r="B784" s="35"/>
      <c r="C784" s="32"/>
      <c r="D784" s="36"/>
      <c r="E784" s="36"/>
      <c r="F784" s="34"/>
      <c r="G784" s="24"/>
      <c r="H784" s="24" t="str">
        <f>IF($B784="","",IF($B784="TRANSCARNES","ACTIVO",IF(COUNTIF(RETIROS!E:E,$B784)=1,"PENDIENTE ELIMINAR",IF(COUNTIFS(ASIGNACIONES!$D:$D,$B784,ASIGNACIONES!$H:$H,E784,ASIGNACIONES!$G:$G,$D784,ASIGNACIONES!$J:$J,$F784)=0,"NUEVO","ACTIVO"))))</f>
        <v/>
      </c>
    </row>
    <row r="785">
      <c r="A785" s="30"/>
      <c r="B785" s="35"/>
      <c r="C785" s="32"/>
      <c r="D785" s="36"/>
      <c r="E785" s="36"/>
      <c r="F785" s="34"/>
      <c r="G785" s="24"/>
      <c r="H785" s="24" t="str">
        <f>IF($B785="","",IF($B785="TRANSCARNES","ACTIVO",IF(COUNTIF(RETIROS!E:E,$B785)=1,"PENDIENTE ELIMINAR",IF(COUNTIFS(ASIGNACIONES!$D:$D,$B785,ASIGNACIONES!$H:$H,E785,ASIGNACIONES!$G:$G,$D785,ASIGNACIONES!$J:$J,$F785)=0,"NUEVO","ACTIVO"))))</f>
        <v/>
      </c>
    </row>
    <row r="786">
      <c r="A786" s="30"/>
      <c r="B786" s="35"/>
      <c r="C786" s="32"/>
      <c r="D786" s="36"/>
      <c r="E786" s="36"/>
      <c r="F786" s="34"/>
      <c r="G786" s="24"/>
      <c r="H786" s="24" t="str">
        <f>IF($B786="","",IF($B786="TRANSCARNES","ACTIVO",IF(COUNTIF(RETIROS!E:E,$B786)=1,"PENDIENTE ELIMINAR",IF(COUNTIFS(ASIGNACIONES!$D:$D,$B786,ASIGNACIONES!$H:$H,E786,ASIGNACIONES!$G:$G,$D786,ASIGNACIONES!$J:$J,$F786)=0,"NUEVO","ACTIVO"))))</f>
        <v/>
      </c>
    </row>
    <row r="787">
      <c r="A787" s="30"/>
      <c r="B787" s="35"/>
      <c r="C787" s="32"/>
      <c r="D787" s="36"/>
      <c r="E787" s="36"/>
      <c r="F787" s="34"/>
      <c r="G787" s="24"/>
      <c r="H787" s="24" t="str">
        <f>IF($B787="","",IF($B787="TRANSCARNES","ACTIVO",IF(COUNTIF(RETIROS!E:E,$B787)=1,"PENDIENTE ELIMINAR",IF(COUNTIFS(ASIGNACIONES!$D:$D,$B787,ASIGNACIONES!$H:$H,E787,ASIGNACIONES!$G:$G,$D787,ASIGNACIONES!$J:$J,$F787)=0,"NUEVO","ACTIVO"))))</f>
        <v/>
      </c>
    </row>
    <row r="788">
      <c r="A788" s="30"/>
      <c r="B788" s="35"/>
      <c r="C788" s="32"/>
      <c r="D788" s="36"/>
      <c r="E788" s="36"/>
      <c r="F788" s="34"/>
      <c r="G788" s="24"/>
      <c r="H788" s="24" t="str">
        <f>IF($B788="","",IF($B788="TRANSCARNES","ACTIVO",IF(COUNTIF(RETIROS!E:E,$B788)=1,"PENDIENTE ELIMINAR",IF(COUNTIFS(ASIGNACIONES!$D:$D,$B788,ASIGNACIONES!$H:$H,E788,ASIGNACIONES!$G:$G,$D788,ASIGNACIONES!$J:$J,$F788)=0,"NUEVO","ACTIVO"))))</f>
        <v/>
      </c>
    </row>
    <row r="789">
      <c r="A789" s="30"/>
      <c r="B789" s="35"/>
      <c r="C789" s="32"/>
      <c r="D789" s="36"/>
      <c r="E789" s="36"/>
      <c r="F789" s="34"/>
      <c r="G789" s="24"/>
      <c r="H789" s="24" t="str">
        <f>IF($B789="","",IF($B789="TRANSCARNES","ACTIVO",IF(COUNTIF(RETIROS!E:E,$B789)=1,"PENDIENTE ELIMINAR",IF(COUNTIFS(ASIGNACIONES!$D:$D,$B789,ASIGNACIONES!$H:$H,E789,ASIGNACIONES!$G:$G,$D789,ASIGNACIONES!$J:$J,$F789)=0,"NUEVO","ACTIVO"))))</f>
        <v/>
      </c>
    </row>
    <row r="790">
      <c r="A790" s="30"/>
      <c r="B790" s="35"/>
      <c r="C790" s="32"/>
      <c r="D790" s="36"/>
      <c r="E790" s="36"/>
      <c r="F790" s="34"/>
      <c r="G790" s="24"/>
      <c r="H790" s="24" t="str">
        <f>IF($B790="","",IF($B790="TRANSCARNES","ACTIVO",IF(COUNTIF(RETIROS!E:E,$B790)=1,"PENDIENTE ELIMINAR",IF(COUNTIFS(ASIGNACIONES!$D:$D,$B790,ASIGNACIONES!$H:$H,E790,ASIGNACIONES!$G:$G,$D790,ASIGNACIONES!$J:$J,$F790)=0,"NUEVO","ACTIVO"))))</f>
        <v/>
      </c>
    </row>
    <row r="791">
      <c r="A791" s="30"/>
      <c r="B791" s="35"/>
      <c r="C791" s="32"/>
      <c r="D791" s="36"/>
      <c r="E791" s="36"/>
      <c r="F791" s="34"/>
      <c r="G791" s="24"/>
      <c r="H791" s="24" t="str">
        <f>IF($B791="","",IF($B791="TRANSCARNES","ACTIVO",IF(COUNTIF(RETIROS!E:E,$B791)=1,"PENDIENTE ELIMINAR",IF(COUNTIFS(ASIGNACIONES!$D:$D,$B791,ASIGNACIONES!$H:$H,E791,ASIGNACIONES!$G:$G,$D791,ASIGNACIONES!$J:$J,$F791)=0,"NUEVO","ACTIVO"))))</f>
        <v/>
      </c>
    </row>
    <row r="792">
      <c r="A792" s="30"/>
      <c r="B792" s="35"/>
      <c r="C792" s="32"/>
      <c r="D792" s="36"/>
      <c r="E792" s="36"/>
      <c r="F792" s="34"/>
      <c r="G792" s="24"/>
      <c r="H792" s="24" t="str">
        <f>IF($B792="","",IF($B792="TRANSCARNES","ACTIVO",IF(COUNTIF(RETIROS!E:E,$B792)=1,"PENDIENTE ELIMINAR",IF(COUNTIFS(ASIGNACIONES!$D:$D,$B792,ASIGNACIONES!$H:$H,E792,ASIGNACIONES!$G:$G,$D792,ASIGNACIONES!$J:$J,$F792)=0,"NUEVO","ACTIVO"))))</f>
        <v/>
      </c>
    </row>
    <row r="793">
      <c r="A793" s="30"/>
      <c r="B793" s="35"/>
      <c r="C793" s="32"/>
      <c r="D793" s="36"/>
      <c r="E793" s="36"/>
      <c r="F793" s="34"/>
      <c r="G793" s="24"/>
      <c r="H793" s="24" t="str">
        <f>IF($B793="","",IF($B793="TRANSCARNES","ACTIVO",IF(COUNTIF(RETIROS!E:E,$B793)=1,"PENDIENTE ELIMINAR",IF(COUNTIFS(ASIGNACIONES!$D:$D,$B793,ASIGNACIONES!$H:$H,E793,ASIGNACIONES!$G:$G,$D793,ASIGNACIONES!$J:$J,$F793)=0,"NUEVO","ACTIVO"))))</f>
        <v/>
      </c>
    </row>
    <row r="794">
      <c r="A794" s="30"/>
      <c r="B794" s="35"/>
      <c r="C794" s="32"/>
      <c r="D794" s="36"/>
      <c r="E794" s="36"/>
      <c r="F794" s="34"/>
      <c r="G794" s="24"/>
      <c r="H794" s="24" t="str">
        <f>IF($B794="","",IF($B794="TRANSCARNES","ACTIVO",IF(COUNTIF(RETIROS!E:E,$B794)=1,"PENDIENTE ELIMINAR",IF(COUNTIFS(ASIGNACIONES!$D:$D,$B794,ASIGNACIONES!$H:$H,E794,ASIGNACIONES!$G:$G,$D794,ASIGNACIONES!$J:$J,$F794)=0,"NUEVO","ACTIVO"))))</f>
        <v/>
      </c>
    </row>
    <row r="795">
      <c r="A795" s="30"/>
      <c r="B795" s="35"/>
      <c r="C795" s="32"/>
      <c r="D795" s="36"/>
      <c r="E795" s="36"/>
      <c r="F795" s="34"/>
      <c r="G795" s="24"/>
      <c r="H795" s="24" t="str">
        <f>IF($B795="","",IF($B795="TRANSCARNES","ACTIVO",IF(COUNTIF(RETIROS!E:E,$B795)=1,"PENDIENTE ELIMINAR",IF(COUNTIFS(ASIGNACIONES!$D:$D,$B795,ASIGNACIONES!$H:$H,E795,ASIGNACIONES!$G:$G,$D795,ASIGNACIONES!$J:$J,$F795)=0,"NUEVO","ACTIVO"))))</f>
        <v/>
      </c>
    </row>
    <row r="796">
      <c r="A796" s="30"/>
      <c r="B796" s="35"/>
      <c r="C796" s="32"/>
      <c r="D796" s="36"/>
      <c r="E796" s="36"/>
      <c r="F796" s="34"/>
      <c r="G796" s="24"/>
      <c r="H796" s="24" t="str">
        <f>IF($B796="","",IF($B796="TRANSCARNES","ACTIVO",IF(COUNTIF(RETIROS!E:E,$B796)=1,"PENDIENTE ELIMINAR",IF(COUNTIFS(ASIGNACIONES!$D:$D,$B796,ASIGNACIONES!$H:$H,E796,ASIGNACIONES!$G:$G,$D796,ASIGNACIONES!$J:$J,$F796)=0,"NUEVO","ACTIVO"))))</f>
        <v/>
      </c>
    </row>
    <row r="797">
      <c r="A797" s="30"/>
      <c r="B797" s="35"/>
      <c r="C797" s="32"/>
      <c r="D797" s="36"/>
      <c r="E797" s="36"/>
      <c r="F797" s="34"/>
      <c r="G797" s="24"/>
      <c r="H797" s="24" t="str">
        <f>IF($B797="","",IF($B797="TRANSCARNES","ACTIVO",IF(COUNTIF(RETIROS!E:E,$B797)=1,"PENDIENTE ELIMINAR",IF(COUNTIFS(ASIGNACIONES!$D:$D,$B797,ASIGNACIONES!$H:$H,E797,ASIGNACIONES!$G:$G,$D797,ASIGNACIONES!$J:$J,$F797)=0,"NUEVO","ACTIVO"))))</f>
        <v/>
      </c>
    </row>
    <row r="798">
      <c r="A798" s="30"/>
      <c r="B798" s="35"/>
      <c r="C798" s="32"/>
      <c r="D798" s="36"/>
      <c r="E798" s="36"/>
      <c r="F798" s="34"/>
      <c r="G798" s="24"/>
      <c r="H798" s="24" t="str">
        <f>IF($B798="","",IF($B798="TRANSCARNES","ACTIVO",IF(COUNTIF(RETIROS!E:E,$B798)=1,"PENDIENTE ELIMINAR",IF(COUNTIFS(ASIGNACIONES!$D:$D,$B798,ASIGNACIONES!$H:$H,E798,ASIGNACIONES!$G:$G,$D798,ASIGNACIONES!$J:$J,$F798)=0,"NUEVO","ACTIVO"))))</f>
        <v/>
      </c>
    </row>
    <row r="799">
      <c r="A799" s="30"/>
      <c r="B799" s="35"/>
      <c r="C799" s="32"/>
      <c r="D799" s="36"/>
      <c r="E799" s="36"/>
      <c r="F799" s="34"/>
      <c r="G799" s="24"/>
      <c r="H799" s="24" t="str">
        <f>IF($B799="","",IF($B799="TRANSCARNES","ACTIVO",IF(COUNTIF(RETIROS!E:E,$B799)=1,"PENDIENTE ELIMINAR",IF(COUNTIFS(ASIGNACIONES!$D:$D,$B799,ASIGNACIONES!$H:$H,E799,ASIGNACIONES!$G:$G,$D799,ASIGNACIONES!$J:$J,$F799)=0,"NUEVO","ACTIVO"))))</f>
        <v/>
      </c>
    </row>
    <row r="800">
      <c r="A800" s="30"/>
      <c r="B800" s="35"/>
      <c r="C800" s="32"/>
      <c r="D800" s="36"/>
      <c r="E800" s="36"/>
      <c r="F800" s="34"/>
      <c r="G800" s="24"/>
      <c r="H800" s="24" t="str">
        <f>IF($B800="","",IF($B800="TRANSCARNES","ACTIVO",IF(COUNTIF(RETIROS!E:E,$B800)=1,"PENDIENTE ELIMINAR",IF(COUNTIFS(ASIGNACIONES!$D:$D,$B800,ASIGNACIONES!$H:$H,E800,ASIGNACIONES!$G:$G,$D800,ASIGNACIONES!$J:$J,$F800)=0,"NUEVO","ACTIVO"))))</f>
        <v/>
      </c>
    </row>
    <row r="801">
      <c r="A801" s="30"/>
      <c r="B801" s="35"/>
      <c r="C801" s="32"/>
      <c r="D801" s="36"/>
      <c r="E801" s="36"/>
      <c r="F801" s="34"/>
      <c r="G801" s="24"/>
      <c r="H801" s="24" t="str">
        <f>IF($B801="","",IF($B801="TRANSCARNES","ACTIVO",IF(COUNTIF(RETIROS!E:E,$B801)=1,"PENDIENTE ELIMINAR",IF(COUNTIFS(ASIGNACIONES!$D:$D,$B801,ASIGNACIONES!$H:$H,E801,ASIGNACIONES!$G:$G,$D801,ASIGNACIONES!$J:$J,$F801)=0,"NUEVO","ACTIVO"))))</f>
        <v/>
      </c>
    </row>
    <row r="802">
      <c r="A802" s="30"/>
      <c r="B802" s="35"/>
      <c r="C802" s="32"/>
      <c r="D802" s="36"/>
      <c r="E802" s="36"/>
      <c r="F802" s="34"/>
      <c r="G802" s="24"/>
      <c r="H802" s="24" t="str">
        <f>IF($B802="","",IF($B802="TRANSCARNES","ACTIVO",IF(COUNTIF(RETIROS!E:E,$B802)=1,"PENDIENTE ELIMINAR",IF(COUNTIFS(ASIGNACIONES!$D:$D,$B802,ASIGNACIONES!$H:$H,E802,ASIGNACIONES!$G:$G,$D802,ASIGNACIONES!$J:$J,$F802)=0,"NUEVO","ACTIVO"))))</f>
        <v/>
      </c>
    </row>
    <row r="803">
      <c r="A803" s="30"/>
      <c r="B803" s="35"/>
      <c r="C803" s="32"/>
      <c r="D803" s="36"/>
      <c r="E803" s="36"/>
      <c r="F803" s="34"/>
      <c r="G803" s="24"/>
      <c r="H803" s="24" t="str">
        <f>IF($B803="","",IF($B803="TRANSCARNES","ACTIVO",IF(COUNTIF(RETIROS!E:E,$B803)=1,"PENDIENTE ELIMINAR",IF(COUNTIFS(ASIGNACIONES!$D:$D,$B803,ASIGNACIONES!$H:$H,E803,ASIGNACIONES!$G:$G,$D803,ASIGNACIONES!$J:$J,$F803)=0,"NUEVO","ACTIVO"))))</f>
        <v/>
      </c>
    </row>
    <row r="804">
      <c r="A804" s="30"/>
      <c r="B804" s="35"/>
      <c r="C804" s="32"/>
      <c r="D804" s="36"/>
      <c r="E804" s="36"/>
      <c r="F804" s="34"/>
      <c r="G804" s="24"/>
      <c r="H804" s="24" t="str">
        <f>IF($B804="","",IF($B804="TRANSCARNES","ACTIVO",IF(COUNTIF(RETIROS!E:E,$B804)=1,"PENDIENTE ELIMINAR",IF(COUNTIFS(ASIGNACIONES!$D:$D,$B804,ASIGNACIONES!$H:$H,E804,ASIGNACIONES!$G:$G,$D804,ASIGNACIONES!$J:$J,$F804)=0,"NUEVO","ACTIVO"))))</f>
        <v/>
      </c>
    </row>
    <row r="805">
      <c r="A805" s="30"/>
      <c r="B805" s="35"/>
      <c r="C805" s="32"/>
      <c r="D805" s="36"/>
      <c r="E805" s="36"/>
      <c r="F805" s="34"/>
      <c r="G805" s="24"/>
      <c r="H805" s="24" t="str">
        <f>IF($B805="","",IF($B805="TRANSCARNES","ACTIVO",IF(COUNTIF(RETIROS!E:E,$B805)=1,"PENDIENTE ELIMINAR",IF(COUNTIFS(ASIGNACIONES!$D:$D,$B805,ASIGNACIONES!$H:$H,E805,ASIGNACIONES!$G:$G,$D805,ASIGNACIONES!$J:$J,$F805)=0,"NUEVO","ACTIVO"))))</f>
        <v/>
      </c>
    </row>
    <row r="806">
      <c r="A806" s="30"/>
      <c r="B806" s="35"/>
      <c r="C806" s="32"/>
      <c r="D806" s="36"/>
      <c r="E806" s="36"/>
      <c r="F806" s="34"/>
      <c r="G806" s="24"/>
      <c r="H806" s="24" t="str">
        <f>IF($B806="","",IF($B806="TRANSCARNES","ACTIVO",IF(COUNTIF(RETIROS!E:E,$B806)=1,"PENDIENTE ELIMINAR",IF(COUNTIFS(ASIGNACIONES!$D:$D,$B806,ASIGNACIONES!$H:$H,E806,ASIGNACIONES!$G:$G,$D806,ASIGNACIONES!$J:$J,$F806)=0,"NUEVO","ACTIVO"))))</f>
        <v/>
      </c>
    </row>
    <row r="807">
      <c r="A807" s="30"/>
      <c r="B807" s="35"/>
      <c r="C807" s="32"/>
      <c r="D807" s="36"/>
      <c r="E807" s="36"/>
      <c r="F807" s="34"/>
      <c r="G807" s="24"/>
      <c r="H807" s="24" t="str">
        <f>IF($B807="","",IF($B807="TRANSCARNES","ACTIVO",IF(COUNTIF(RETIROS!E:E,$B807)=1,"PENDIENTE ELIMINAR",IF(COUNTIFS(ASIGNACIONES!$D:$D,$B807,ASIGNACIONES!$H:$H,E807,ASIGNACIONES!$G:$G,$D807,ASIGNACIONES!$J:$J,$F807)=0,"NUEVO","ACTIVO"))))</f>
        <v/>
      </c>
    </row>
    <row r="808">
      <c r="A808" s="30"/>
      <c r="B808" s="35"/>
      <c r="C808" s="32"/>
      <c r="D808" s="36"/>
      <c r="E808" s="36"/>
      <c r="F808" s="34"/>
      <c r="G808" s="24"/>
      <c r="H808" s="24" t="str">
        <f>IF($B808="","",IF($B808="TRANSCARNES","ACTIVO",IF(COUNTIF(RETIROS!E:E,$B808)=1,"PENDIENTE ELIMINAR",IF(COUNTIFS(ASIGNACIONES!$D:$D,$B808,ASIGNACIONES!$H:$H,E808,ASIGNACIONES!$G:$G,$D808,ASIGNACIONES!$J:$J,$F808)=0,"NUEVO","ACTIVO"))))</f>
        <v/>
      </c>
    </row>
    <row r="809">
      <c r="A809" s="30"/>
      <c r="B809" s="35"/>
      <c r="C809" s="32"/>
      <c r="D809" s="36"/>
      <c r="E809" s="36"/>
      <c r="F809" s="34"/>
      <c r="G809" s="24"/>
      <c r="H809" s="24" t="str">
        <f>IF($B809="","",IF($B809="TRANSCARNES","ACTIVO",IF(COUNTIF(RETIROS!E:E,$B809)=1,"PENDIENTE ELIMINAR",IF(COUNTIFS(ASIGNACIONES!$D:$D,$B809,ASIGNACIONES!$H:$H,E809,ASIGNACIONES!$G:$G,$D809,ASIGNACIONES!$J:$J,$F809)=0,"NUEVO","ACTIVO"))))</f>
        <v/>
      </c>
    </row>
    <row r="810">
      <c r="A810" s="30"/>
      <c r="B810" s="35"/>
      <c r="C810" s="32"/>
      <c r="D810" s="36"/>
      <c r="E810" s="36"/>
      <c r="F810" s="34"/>
      <c r="G810" s="24"/>
      <c r="H810" s="24" t="str">
        <f>IF($B810="","",IF($B810="TRANSCARNES","ACTIVO",IF(COUNTIF(RETIROS!E:E,$B810)=1,"PENDIENTE ELIMINAR",IF(COUNTIFS(ASIGNACIONES!$D:$D,$B810,ASIGNACIONES!$H:$H,E810,ASIGNACIONES!$G:$G,$D810,ASIGNACIONES!$J:$J,$F810)=0,"NUEVO","ACTIVO"))))</f>
        <v/>
      </c>
    </row>
    <row r="811">
      <c r="A811" s="30"/>
      <c r="B811" s="35"/>
      <c r="C811" s="32"/>
      <c r="D811" s="36"/>
      <c r="E811" s="36"/>
      <c r="F811" s="34"/>
      <c r="G811" s="24"/>
      <c r="H811" s="24" t="str">
        <f>IF($B811="","",IF($B811="TRANSCARNES","ACTIVO",IF(COUNTIF(RETIROS!E:E,$B811)=1,"PENDIENTE ELIMINAR",IF(COUNTIFS(ASIGNACIONES!$D:$D,$B811,ASIGNACIONES!$H:$H,E811,ASIGNACIONES!$G:$G,$D811,ASIGNACIONES!$J:$J,$F811)=0,"NUEVO","ACTIVO"))))</f>
        <v/>
      </c>
    </row>
    <row r="812">
      <c r="A812" s="30"/>
      <c r="B812" s="35"/>
      <c r="C812" s="32"/>
      <c r="D812" s="36"/>
      <c r="E812" s="36"/>
      <c r="F812" s="34"/>
      <c r="G812" s="24"/>
      <c r="H812" s="24" t="str">
        <f>IF($B812="","",IF($B812="TRANSCARNES","ACTIVO",IF(COUNTIF(RETIROS!E:E,$B812)=1,"PENDIENTE ELIMINAR",IF(COUNTIFS(ASIGNACIONES!$D:$D,$B812,ASIGNACIONES!$H:$H,E812,ASIGNACIONES!$G:$G,$D812,ASIGNACIONES!$J:$J,$F812)=0,"NUEVO","ACTIVO"))))</f>
        <v/>
      </c>
    </row>
    <row r="813">
      <c r="A813" s="30"/>
      <c r="B813" s="35"/>
      <c r="C813" s="32"/>
      <c r="D813" s="36"/>
      <c r="E813" s="36"/>
      <c r="F813" s="34"/>
      <c r="G813" s="24"/>
      <c r="H813" s="24" t="str">
        <f>IF($B813="","",IF($B813="TRANSCARNES","ACTIVO",IF(COUNTIF(RETIROS!E:E,$B813)=1,"PENDIENTE ELIMINAR",IF(COUNTIFS(ASIGNACIONES!$D:$D,$B813,ASIGNACIONES!$H:$H,E813,ASIGNACIONES!$G:$G,$D813,ASIGNACIONES!$J:$J,$F813)=0,"NUEVO","ACTIVO"))))</f>
        <v/>
      </c>
    </row>
    <row r="814">
      <c r="A814" s="30"/>
      <c r="B814" s="35"/>
      <c r="C814" s="32"/>
      <c r="D814" s="36"/>
      <c r="E814" s="36"/>
      <c r="F814" s="34"/>
      <c r="G814" s="24"/>
      <c r="H814" s="24" t="str">
        <f>IF($B814="","",IF($B814="TRANSCARNES","ACTIVO",IF(COUNTIF(RETIROS!E:E,$B814)=1,"PENDIENTE ELIMINAR",IF(COUNTIFS(ASIGNACIONES!$D:$D,$B814,ASIGNACIONES!$H:$H,E814,ASIGNACIONES!$G:$G,$D814,ASIGNACIONES!$J:$J,$F814)=0,"NUEVO","ACTIVO"))))</f>
        <v/>
      </c>
    </row>
    <row r="815">
      <c r="A815" s="30"/>
      <c r="B815" s="35"/>
      <c r="C815" s="32"/>
      <c r="D815" s="36"/>
      <c r="E815" s="36"/>
      <c r="F815" s="34"/>
      <c r="G815" s="24"/>
      <c r="H815" s="24" t="str">
        <f>IF($B815="","",IF($B815="TRANSCARNES","ACTIVO",IF(COUNTIF(RETIROS!E:E,$B815)=1,"PENDIENTE ELIMINAR",IF(COUNTIFS(ASIGNACIONES!$D:$D,$B815,ASIGNACIONES!$H:$H,E815,ASIGNACIONES!$G:$G,$D815,ASIGNACIONES!$J:$J,$F815)=0,"NUEVO","ACTIVO"))))</f>
        <v/>
      </c>
    </row>
    <row r="816">
      <c r="A816" s="30"/>
      <c r="B816" s="35"/>
      <c r="C816" s="32"/>
      <c r="D816" s="36"/>
      <c r="E816" s="36"/>
      <c r="F816" s="34"/>
      <c r="G816" s="24"/>
      <c r="H816" s="24" t="str">
        <f>IF($B816="","",IF($B816="TRANSCARNES","ACTIVO",IF(COUNTIF(RETIROS!E:E,$B816)=1,"PENDIENTE ELIMINAR",IF(COUNTIFS(ASIGNACIONES!$D:$D,$B816,ASIGNACIONES!$H:$H,E816,ASIGNACIONES!$G:$G,$D816,ASIGNACIONES!$J:$J,$F816)=0,"NUEVO","ACTIVO"))))</f>
        <v/>
      </c>
    </row>
    <row r="817">
      <c r="A817" s="30"/>
      <c r="B817" s="35"/>
      <c r="C817" s="32"/>
      <c r="D817" s="36"/>
      <c r="E817" s="36"/>
      <c r="F817" s="34"/>
      <c r="G817" s="24"/>
      <c r="H817" s="24" t="str">
        <f>IF($B817="","",IF($B817="TRANSCARNES","ACTIVO",IF(COUNTIF(RETIROS!E:E,$B817)=1,"PENDIENTE ELIMINAR",IF(COUNTIFS(ASIGNACIONES!$D:$D,$B817,ASIGNACIONES!$H:$H,E817,ASIGNACIONES!$G:$G,$D817,ASIGNACIONES!$J:$J,$F817)=0,"NUEVO","ACTIVO"))))</f>
        <v/>
      </c>
    </row>
    <row r="818">
      <c r="A818" s="30"/>
      <c r="B818" s="35"/>
      <c r="C818" s="32"/>
      <c r="D818" s="36"/>
      <c r="E818" s="36"/>
      <c r="F818" s="34"/>
      <c r="G818" s="24"/>
      <c r="H818" s="24" t="str">
        <f>IF($B818="","",IF($B818="TRANSCARNES","ACTIVO",IF(COUNTIF(RETIROS!E:E,$B818)=1,"PENDIENTE ELIMINAR",IF(COUNTIFS(ASIGNACIONES!$D:$D,$B818,ASIGNACIONES!$H:$H,E818,ASIGNACIONES!$G:$G,$D818,ASIGNACIONES!$J:$J,$F818)=0,"NUEVO","ACTIVO"))))</f>
        <v/>
      </c>
    </row>
    <row r="819">
      <c r="A819" s="30"/>
      <c r="B819" s="35"/>
      <c r="C819" s="32"/>
      <c r="D819" s="36"/>
      <c r="E819" s="36"/>
      <c r="F819" s="34"/>
      <c r="G819" s="24"/>
      <c r="H819" s="24" t="str">
        <f>IF($B819="","",IF($B819="TRANSCARNES","ACTIVO",IF(COUNTIF(RETIROS!E:E,$B819)=1,"PENDIENTE ELIMINAR",IF(COUNTIFS(ASIGNACIONES!$D:$D,$B819,ASIGNACIONES!$H:$H,E819,ASIGNACIONES!$G:$G,$D819,ASIGNACIONES!$J:$J,$F819)=0,"NUEVO","ACTIVO"))))</f>
        <v/>
      </c>
    </row>
    <row r="820">
      <c r="A820" s="30"/>
      <c r="B820" s="35"/>
      <c r="C820" s="32"/>
      <c r="D820" s="36"/>
      <c r="E820" s="36"/>
      <c r="F820" s="34"/>
      <c r="G820" s="24"/>
      <c r="H820" s="24" t="str">
        <f>IF($B820="","",IF($B820="TRANSCARNES","ACTIVO",IF(COUNTIF(RETIROS!E:E,$B820)=1,"PENDIENTE ELIMINAR",IF(COUNTIFS(ASIGNACIONES!$D:$D,$B820,ASIGNACIONES!$H:$H,E820,ASIGNACIONES!$G:$G,$D820,ASIGNACIONES!$J:$J,$F820)=0,"NUEVO","ACTIVO"))))</f>
        <v/>
      </c>
    </row>
    <row r="821">
      <c r="A821" s="30"/>
      <c r="B821" s="35"/>
      <c r="C821" s="32"/>
      <c r="D821" s="36"/>
      <c r="E821" s="36"/>
      <c r="F821" s="34"/>
      <c r="G821" s="24"/>
      <c r="H821" s="24" t="str">
        <f>IF($B821="","",IF($B821="TRANSCARNES","ACTIVO",IF(COUNTIF(RETIROS!E:E,$B821)=1,"PENDIENTE ELIMINAR",IF(COUNTIFS(ASIGNACIONES!$D:$D,$B821,ASIGNACIONES!$H:$H,E821,ASIGNACIONES!$G:$G,$D821,ASIGNACIONES!$J:$J,$F821)=0,"NUEVO","ACTIVO"))))</f>
        <v/>
      </c>
    </row>
    <row r="822">
      <c r="A822" s="30"/>
      <c r="B822" s="35"/>
      <c r="C822" s="32"/>
      <c r="D822" s="36"/>
      <c r="E822" s="36"/>
      <c r="F822" s="34"/>
      <c r="G822" s="24"/>
      <c r="H822" s="24" t="str">
        <f>IF($B822="","",IF($B822="TRANSCARNES","ACTIVO",IF(COUNTIF(RETIROS!E:E,$B822)=1,"PENDIENTE ELIMINAR",IF(COUNTIFS(ASIGNACIONES!$D:$D,$B822,ASIGNACIONES!$H:$H,E822,ASIGNACIONES!$G:$G,$D822,ASIGNACIONES!$J:$J,$F822)=0,"NUEVO","ACTIVO"))))</f>
        <v/>
      </c>
    </row>
    <row r="823">
      <c r="A823" s="30"/>
      <c r="B823" s="35"/>
      <c r="C823" s="32"/>
      <c r="D823" s="36"/>
      <c r="E823" s="36"/>
      <c r="F823" s="34"/>
      <c r="G823" s="24"/>
      <c r="H823" s="24" t="str">
        <f>IF($B823="","",IF($B823="TRANSCARNES","ACTIVO",IF(COUNTIF(RETIROS!E:E,$B823)=1,"PENDIENTE ELIMINAR",IF(COUNTIFS(ASIGNACIONES!$D:$D,$B823,ASIGNACIONES!$H:$H,E823,ASIGNACIONES!$G:$G,$D823,ASIGNACIONES!$J:$J,$F823)=0,"NUEVO","ACTIVO"))))</f>
        <v/>
      </c>
    </row>
    <row r="824">
      <c r="A824" s="30"/>
      <c r="B824" s="35"/>
      <c r="C824" s="32"/>
      <c r="D824" s="36"/>
      <c r="E824" s="36"/>
      <c r="F824" s="34"/>
      <c r="G824" s="24"/>
      <c r="H824" s="24" t="str">
        <f>IF($B824="","",IF($B824="TRANSCARNES","ACTIVO",IF(COUNTIF(RETIROS!E:E,$B824)=1,"PENDIENTE ELIMINAR",IF(COUNTIFS(ASIGNACIONES!$D:$D,$B824,ASIGNACIONES!$H:$H,E824,ASIGNACIONES!$G:$G,$D824,ASIGNACIONES!$J:$J,$F824)=0,"NUEVO","ACTIVO"))))</f>
        <v/>
      </c>
    </row>
    <row r="825">
      <c r="A825" s="30"/>
      <c r="B825" s="35"/>
      <c r="C825" s="32"/>
      <c r="D825" s="36"/>
      <c r="E825" s="36"/>
      <c r="F825" s="34"/>
      <c r="G825" s="24"/>
      <c r="H825" s="24" t="str">
        <f>IF($B825="","",IF($B825="TRANSCARNES","ACTIVO",IF(COUNTIF(RETIROS!E:E,$B825)=1,"PENDIENTE ELIMINAR",IF(COUNTIFS(ASIGNACIONES!$D:$D,$B825,ASIGNACIONES!$H:$H,E825,ASIGNACIONES!$G:$G,$D825,ASIGNACIONES!$J:$J,$F825)=0,"NUEVO","ACTIVO"))))</f>
        <v/>
      </c>
    </row>
    <row r="826">
      <c r="A826" s="30"/>
      <c r="B826" s="35"/>
      <c r="C826" s="32"/>
      <c r="D826" s="36"/>
      <c r="E826" s="36"/>
      <c r="F826" s="34"/>
      <c r="G826" s="24"/>
      <c r="H826" s="24" t="str">
        <f>IF($B826="","",IF($B826="TRANSCARNES","ACTIVO",IF(COUNTIF(RETIROS!E:E,$B826)=1,"PENDIENTE ELIMINAR",IF(COUNTIFS(ASIGNACIONES!$D:$D,$B826,ASIGNACIONES!$H:$H,E826,ASIGNACIONES!$G:$G,$D826,ASIGNACIONES!$J:$J,$F826)=0,"NUEVO","ACTIVO"))))</f>
        <v/>
      </c>
    </row>
    <row r="827">
      <c r="A827" s="30"/>
      <c r="B827" s="35"/>
      <c r="C827" s="32"/>
      <c r="D827" s="36"/>
      <c r="E827" s="36"/>
      <c r="F827" s="34"/>
      <c r="G827" s="24"/>
      <c r="H827" s="24" t="str">
        <f>IF($B827="","",IF($B827="TRANSCARNES","ACTIVO",IF(COUNTIF(RETIROS!E:E,$B827)=1,"PENDIENTE ELIMINAR",IF(COUNTIFS(ASIGNACIONES!$D:$D,$B827,ASIGNACIONES!$H:$H,E827,ASIGNACIONES!$G:$G,$D827,ASIGNACIONES!$J:$J,$F827)=0,"NUEVO","ACTIVO"))))</f>
        <v/>
      </c>
    </row>
    <row r="828">
      <c r="A828" s="30"/>
      <c r="B828" s="35"/>
      <c r="C828" s="32"/>
      <c r="D828" s="36"/>
      <c r="E828" s="36"/>
      <c r="F828" s="34"/>
      <c r="G828" s="24"/>
      <c r="H828" s="24" t="str">
        <f>IF($B828="","",IF($B828="TRANSCARNES","ACTIVO",IF(COUNTIF(RETIROS!E:E,$B828)=1,"PENDIENTE ELIMINAR",IF(COUNTIFS(ASIGNACIONES!$D:$D,$B828,ASIGNACIONES!$H:$H,E828,ASIGNACIONES!$G:$G,$D828,ASIGNACIONES!$J:$J,$F828)=0,"NUEVO","ACTIVO"))))</f>
        <v/>
      </c>
    </row>
    <row r="829">
      <c r="A829" s="30"/>
      <c r="B829" s="35"/>
      <c r="C829" s="32"/>
      <c r="D829" s="36"/>
      <c r="E829" s="36"/>
      <c r="F829" s="34"/>
      <c r="G829" s="24"/>
      <c r="H829" s="24" t="str">
        <f>IF($B829="","",IF($B829="TRANSCARNES","ACTIVO",IF(COUNTIF(RETIROS!E:E,$B829)=1,"PENDIENTE ELIMINAR",IF(COUNTIFS(ASIGNACIONES!$D:$D,$B829,ASIGNACIONES!$H:$H,E829,ASIGNACIONES!$G:$G,$D829,ASIGNACIONES!$J:$J,$F829)=0,"NUEVO","ACTIVO"))))</f>
        <v/>
      </c>
    </row>
    <row r="830">
      <c r="A830" s="30"/>
      <c r="B830" s="35"/>
      <c r="C830" s="32"/>
      <c r="D830" s="36"/>
      <c r="E830" s="36"/>
      <c r="F830" s="34"/>
      <c r="G830" s="24"/>
      <c r="H830" s="24" t="str">
        <f>IF($B830="","",IF($B830="TRANSCARNES","ACTIVO",IF(COUNTIF(RETIROS!E:E,$B830)=1,"PENDIENTE ELIMINAR",IF(COUNTIFS(ASIGNACIONES!$D:$D,$B830,ASIGNACIONES!$H:$H,E830,ASIGNACIONES!$G:$G,$D830,ASIGNACIONES!$J:$J,$F830)=0,"NUEVO","ACTIVO"))))</f>
        <v/>
      </c>
    </row>
    <row r="831">
      <c r="A831" s="30"/>
      <c r="B831" s="35"/>
      <c r="C831" s="32"/>
      <c r="D831" s="36"/>
      <c r="E831" s="36"/>
      <c r="F831" s="34"/>
      <c r="G831" s="24"/>
      <c r="H831" s="24" t="str">
        <f>IF($B831="","",IF($B831="TRANSCARNES","ACTIVO",IF(COUNTIF(RETIROS!E:E,$B831)=1,"PENDIENTE ELIMINAR",IF(COUNTIFS(ASIGNACIONES!$D:$D,$B831,ASIGNACIONES!$H:$H,E831,ASIGNACIONES!$G:$G,$D831,ASIGNACIONES!$J:$J,$F831)=0,"NUEVO","ACTIVO"))))</f>
        <v/>
      </c>
    </row>
    <row r="832">
      <c r="A832" s="30"/>
      <c r="B832" s="35"/>
      <c r="C832" s="32"/>
      <c r="D832" s="36"/>
      <c r="E832" s="36"/>
      <c r="F832" s="34"/>
      <c r="G832" s="24"/>
      <c r="H832" s="24" t="str">
        <f>IF($B832="","",IF($B832="TRANSCARNES","ACTIVO",IF(COUNTIF(RETIROS!E:E,$B832)=1,"PENDIENTE ELIMINAR",IF(COUNTIFS(ASIGNACIONES!$D:$D,$B832,ASIGNACIONES!$H:$H,E832,ASIGNACIONES!$G:$G,$D832,ASIGNACIONES!$J:$J,$F832)=0,"NUEVO","ACTIVO"))))</f>
        <v/>
      </c>
    </row>
    <row r="833">
      <c r="A833" s="30"/>
      <c r="B833" s="35"/>
      <c r="C833" s="32"/>
      <c r="D833" s="36"/>
      <c r="E833" s="36"/>
      <c r="F833" s="34"/>
      <c r="G833" s="24"/>
      <c r="H833" s="24" t="str">
        <f>IF($B833="","",IF($B833="TRANSCARNES","ACTIVO",IF(COUNTIF(RETIROS!E:E,$B833)=1,"PENDIENTE ELIMINAR",IF(COUNTIFS(ASIGNACIONES!$D:$D,$B833,ASIGNACIONES!$H:$H,E833,ASIGNACIONES!$G:$G,$D833,ASIGNACIONES!$J:$J,$F833)=0,"NUEVO","ACTIVO"))))</f>
        <v/>
      </c>
    </row>
    <row r="834">
      <c r="A834" s="30"/>
      <c r="B834" s="35"/>
      <c r="C834" s="32"/>
      <c r="D834" s="36"/>
      <c r="E834" s="36"/>
      <c r="F834" s="34"/>
      <c r="G834" s="24"/>
      <c r="H834" s="24" t="str">
        <f>IF($B834="","",IF($B834="TRANSCARNES","ACTIVO",IF(COUNTIF(RETIROS!E:E,$B834)=1,"PENDIENTE ELIMINAR",IF(COUNTIFS(ASIGNACIONES!$D:$D,$B834,ASIGNACIONES!$H:$H,E834,ASIGNACIONES!$G:$G,$D834,ASIGNACIONES!$J:$J,$F834)=0,"NUEVO","ACTIVO"))))</f>
        <v/>
      </c>
    </row>
    <row r="835">
      <c r="A835" s="30"/>
      <c r="B835" s="35"/>
      <c r="C835" s="32"/>
      <c r="D835" s="36"/>
      <c r="E835" s="36"/>
      <c r="F835" s="34"/>
      <c r="G835" s="24"/>
      <c r="H835" s="24" t="str">
        <f>IF($B835="","",IF($B835="TRANSCARNES","ACTIVO",IF(COUNTIF(RETIROS!E:E,$B835)=1,"PENDIENTE ELIMINAR",IF(COUNTIFS(ASIGNACIONES!$D:$D,$B835,ASIGNACIONES!$H:$H,E835,ASIGNACIONES!$G:$G,$D835,ASIGNACIONES!$J:$J,$F835)=0,"NUEVO","ACTIVO"))))</f>
        <v/>
      </c>
    </row>
    <row r="836">
      <c r="A836" s="30"/>
      <c r="B836" s="35"/>
      <c r="C836" s="32"/>
      <c r="D836" s="36"/>
      <c r="E836" s="36"/>
      <c r="F836" s="34"/>
      <c r="G836" s="24"/>
      <c r="H836" s="24" t="str">
        <f>IF($B836="","",IF($B836="TRANSCARNES","ACTIVO",IF(COUNTIF(RETIROS!E:E,$B836)=1,"PENDIENTE ELIMINAR",IF(COUNTIFS(ASIGNACIONES!$D:$D,$B836,ASIGNACIONES!$H:$H,E836,ASIGNACIONES!$G:$G,$D836,ASIGNACIONES!$J:$J,$F836)=0,"NUEVO","ACTIVO"))))</f>
        <v/>
      </c>
    </row>
    <row r="837">
      <c r="A837" s="30"/>
      <c r="B837" s="35"/>
      <c r="C837" s="32"/>
      <c r="D837" s="36"/>
      <c r="E837" s="36"/>
      <c r="F837" s="34"/>
      <c r="G837" s="24"/>
      <c r="H837" s="24" t="str">
        <f>IF($B837="","",IF($B837="TRANSCARNES","ACTIVO",IF(COUNTIF(RETIROS!E:E,$B837)=1,"PENDIENTE ELIMINAR",IF(COUNTIFS(ASIGNACIONES!$D:$D,$B837,ASIGNACIONES!$H:$H,E837,ASIGNACIONES!$G:$G,$D837,ASIGNACIONES!$J:$J,$F837)=0,"NUEVO","ACTIVO"))))</f>
        <v/>
      </c>
    </row>
    <row r="838">
      <c r="A838" s="30"/>
      <c r="B838" s="35"/>
      <c r="C838" s="32"/>
      <c r="D838" s="36"/>
      <c r="E838" s="36"/>
      <c r="F838" s="34"/>
      <c r="G838" s="24"/>
      <c r="H838" s="24" t="str">
        <f>IF($B838="","",IF($B838="TRANSCARNES","ACTIVO",IF(COUNTIF(RETIROS!E:E,$B838)=1,"PENDIENTE ELIMINAR",IF(COUNTIFS(ASIGNACIONES!$D:$D,$B838,ASIGNACIONES!$H:$H,E838,ASIGNACIONES!$G:$G,$D838,ASIGNACIONES!$J:$J,$F838)=0,"NUEVO","ACTIVO"))))</f>
        <v/>
      </c>
    </row>
    <row r="839">
      <c r="A839" s="30"/>
      <c r="B839" s="35"/>
      <c r="C839" s="32"/>
      <c r="D839" s="36"/>
      <c r="E839" s="36"/>
      <c r="F839" s="34"/>
      <c r="G839" s="24"/>
      <c r="H839" s="24" t="str">
        <f>IF($B839="","",IF($B839="TRANSCARNES","ACTIVO",IF(COUNTIF(RETIROS!E:E,$B839)=1,"PENDIENTE ELIMINAR",IF(COUNTIFS(ASIGNACIONES!$D:$D,$B839,ASIGNACIONES!$H:$H,E839,ASIGNACIONES!$G:$G,$D839,ASIGNACIONES!$J:$J,$F839)=0,"NUEVO","ACTIVO"))))</f>
        <v/>
      </c>
    </row>
    <row r="840">
      <c r="A840" s="30"/>
      <c r="B840" s="35"/>
      <c r="C840" s="32"/>
      <c r="D840" s="36"/>
      <c r="E840" s="36"/>
      <c r="F840" s="34"/>
      <c r="G840" s="24"/>
      <c r="H840" s="24" t="str">
        <f>IF($B840="","",IF($B840="TRANSCARNES","ACTIVO",IF(COUNTIF(RETIROS!E:E,$B840)=1,"PENDIENTE ELIMINAR",IF(COUNTIFS(ASIGNACIONES!$D:$D,$B840,ASIGNACIONES!$H:$H,E840,ASIGNACIONES!$G:$G,$D840,ASIGNACIONES!$J:$J,$F840)=0,"NUEVO","ACTIVO"))))</f>
        <v/>
      </c>
    </row>
    <row r="841">
      <c r="A841" s="30"/>
      <c r="B841" s="35"/>
      <c r="C841" s="32"/>
      <c r="D841" s="36"/>
      <c r="E841" s="36"/>
      <c r="F841" s="34"/>
      <c r="G841" s="24"/>
      <c r="H841" s="24" t="str">
        <f>IF($B841="","",IF($B841="TRANSCARNES","ACTIVO",IF(COUNTIF(RETIROS!E:E,$B841)=1,"PENDIENTE ELIMINAR",IF(COUNTIFS(ASIGNACIONES!$D:$D,$B841,ASIGNACIONES!$H:$H,E841,ASIGNACIONES!$G:$G,$D841,ASIGNACIONES!$J:$J,$F841)=0,"NUEVO","ACTIVO"))))</f>
        <v/>
      </c>
    </row>
    <row r="842">
      <c r="A842" s="30"/>
      <c r="B842" s="35"/>
      <c r="C842" s="32"/>
      <c r="D842" s="36"/>
      <c r="E842" s="36"/>
      <c r="F842" s="34"/>
      <c r="G842" s="24"/>
      <c r="H842" s="24" t="str">
        <f>IF($B842="","",IF($B842="TRANSCARNES","ACTIVO",IF(COUNTIF(RETIROS!E:E,$B842)=1,"PENDIENTE ELIMINAR",IF(COUNTIFS(ASIGNACIONES!$D:$D,$B842,ASIGNACIONES!$H:$H,E842,ASIGNACIONES!$G:$G,$D842,ASIGNACIONES!$J:$J,$F842)=0,"NUEVO","ACTIVO"))))</f>
        <v/>
      </c>
    </row>
    <row r="843">
      <c r="A843" s="30"/>
      <c r="B843" s="35"/>
      <c r="C843" s="32"/>
      <c r="D843" s="36"/>
      <c r="E843" s="36"/>
      <c r="F843" s="34"/>
      <c r="G843" s="24"/>
      <c r="H843" s="24" t="str">
        <f>IF($B843="","",IF($B843="TRANSCARNES","ACTIVO",IF(COUNTIF(RETIROS!E:E,$B843)=1,"PENDIENTE ELIMINAR",IF(COUNTIFS(ASIGNACIONES!$D:$D,$B843,ASIGNACIONES!$H:$H,E843,ASIGNACIONES!$G:$G,$D843,ASIGNACIONES!$J:$J,$F843)=0,"NUEVO","ACTIVO"))))</f>
        <v/>
      </c>
    </row>
    <row r="844">
      <c r="A844" s="30"/>
      <c r="B844" s="35"/>
      <c r="C844" s="32"/>
      <c r="D844" s="36"/>
      <c r="E844" s="36"/>
      <c r="F844" s="34"/>
      <c r="G844" s="24"/>
      <c r="H844" s="24" t="str">
        <f>IF($B844="","",IF($B844="TRANSCARNES","ACTIVO",IF(COUNTIF(RETIROS!E:E,$B844)=1,"PENDIENTE ELIMINAR",IF(COUNTIFS(ASIGNACIONES!$D:$D,$B844,ASIGNACIONES!$H:$H,E844,ASIGNACIONES!$G:$G,$D844,ASIGNACIONES!$J:$J,$F844)=0,"NUEVO","ACTIVO"))))</f>
        <v/>
      </c>
    </row>
    <row r="845">
      <c r="A845" s="30"/>
      <c r="B845" s="35"/>
      <c r="C845" s="32"/>
      <c r="D845" s="36"/>
      <c r="E845" s="36"/>
      <c r="F845" s="34"/>
      <c r="G845" s="24"/>
      <c r="H845" s="24" t="str">
        <f>IF($B845="","",IF($B845="TRANSCARNES","ACTIVO",IF(COUNTIF(RETIROS!E:E,$B845)=1,"PENDIENTE ELIMINAR",IF(COUNTIFS(ASIGNACIONES!$D:$D,$B845,ASIGNACIONES!$H:$H,E845,ASIGNACIONES!$G:$G,$D845,ASIGNACIONES!$J:$J,$F845)=0,"NUEVO","ACTIVO"))))</f>
        <v/>
      </c>
    </row>
    <row r="846">
      <c r="A846" s="30"/>
      <c r="B846" s="35"/>
      <c r="C846" s="32"/>
      <c r="D846" s="36"/>
      <c r="E846" s="36"/>
      <c r="F846" s="34"/>
      <c r="G846" s="24"/>
      <c r="H846" s="24" t="str">
        <f>IF($B846="","",IF($B846="TRANSCARNES","ACTIVO",IF(COUNTIF(RETIROS!E:E,$B846)=1,"PENDIENTE ELIMINAR",IF(COUNTIFS(ASIGNACIONES!$D:$D,$B846,ASIGNACIONES!$H:$H,E846,ASIGNACIONES!$G:$G,$D846,ASIGNACIONES!$J:$J,$F846)=0,"NUEVO","ACTIVO"))))</f>
        <v/>
      </c>
    </row>
    <row r="847">
      <c r="A847" s="30"/>
      <c r="B847" s="35"/>
      <c r="C847" s="32"/>
      <c r="D847" s="36"/>
      <c r="E847" s="36"/>
      <c r="F847" s="34"/>
      <c r="G847" s="24"/>
      <c r="H847" s="24" t="str">
        <f>IF($B847="","",IF($B847="TRANSCARNES","ACTIVO",IF(COUNTIF(RETIROS!E:E,$B847)=1,"PENDIENTE ELIMINAR",IF(COUNTIFS(ASIGNACIONES!$D:$D,$B847,ASIGNACIONES!$H:$H,E847,ASIGNACIONES!$G:$G,$D847,ASIGNACIONES!$J:$J,$F847)=0,"NUEVO","ACTIVO"))))</f>
        <v/>
      </c>
    </row>
    <row r="848">
      <c r="A848" s="30"/>
      <c r="B848" s="35"/>
      <c r="C848" s="32"/>
      <c r="D848" s="36"/>
      <c r="E848" s="36"/>
      <c r="F848" s="34"/>
      <c r="G848" s="24"/>
      <c r="H848" s="24" t="str">
        <f>IF($B848="","",IF($B848="TRANSCARNES","ACTIVO",IF(COUNTIF(RETIROS!E:E,$B848)=1,"PENDIENTE ELIMINAR",IF(COUNTIFS(ASIGNACIONES!$D:$D,$B848,ASIGNACIONES!$H:$H,E848,ASIGNACIONES!$G:$G,$D848,ASIGNACIONES!$J:$J,$F848)=0,"NUEVO","ACTIVO"))))</f>
        <v/>
      </c>
    </row>
    <row r="849">
      <c r="A849" s="30"/>
      <c r="B849" s="35"/>
      <c r="C849" s="32"/>
      <c r="D849" s="36"/>
      <c r="E849" s="36"/>
      <c r="F849" s="34"/>
      <c r="G849" s="24"/>
      <c r="H849" s="24" t="str">
        <f>IF($B849="","",IF($B849="TRANSCARNES","ACTIVO",IF(COUNTIF(RETIROS!E:E,$B849)=1,"PENDIENTE ELIMINAR",IF(COUNTIFS(ASIGNACIONES!$D:$D,$B849,ASIGNACIONES!$H:$H,E849,ASIGNACIONES!$G:$G,$D849,ASIGNACIONES!$J:$J,$F849)=0,"NUEVO","ACTIVO"))))</f>
        <v/>
      </c>
    </row>
    <row r="850">
      <c r="A850" s="30"/>
      <c r="B850" s="35"/>
      <c r="C850" s="32"/>
      <c r="D850" s="36"/>
      <c r="E850" s="36"/>
      <c r="F850" s="34"/>
      <c r="G850" s="24"/>
      <c r="H850" s="24" t="str">
        <f>IF($B850="","",IF($B850="TRANSCARNES","ACTIVO",IF(COUNTIF(RETIROS!E:E,$B850)=1,"PENDIENTE ELIMINAR",IF(COUNTIFS(ASIGNACIONES!$D:$D,$B850,ASIGNACIONES!$H:$H,E850,ASIGNACIONES!$G:$G,$D850,ASIGNACIONES!$J:$J,$F850)=0,"NUEVO","ACTIVO"))))</f>
        <v/>
      </c>
    </row>
    <row r="851">
      <c r="A851" s="30"/>
      <c r="B851" s="35"/>
      <c r="C851" s="32"/>
      <c r="D851" s="36"/>
      <c r="E851" s="36"/>
      <c r="F851" s="34"/>
      <c r="G851" s="24"/>
      <c r="H851" s="24" t="str">
        <f>IF($B851="","",IF($B851="TRANSCARNES","ACTIVO",IF(COUNTIF(RETIROS!E:E,$B851)=1,"PENDIENTE ELIMINAR",IF(COUNTIFS(ASIGNACIONES!$D:$D,$B851,ASIGNACIONES!$H:$H,E851,ASIGNACIONES!$G:$G,$D851,ASIGNACIONES!$J:$J,$F851)=0,"NUEVO","ACTIVO"))))</f>
        <v/>
      </c>
    </row>
    <row r="852">
      <c r="A852" s="30"/>
      <c r="B852" s="35"/>
      <c r="C852" s="32"/>
      <c r="D852" s="36"/>
      <c r="E852" s="36"/>
      <c r="F852" s="34"/>
      <c r="G852" s="24"/>
      <c r="H852" s="24" t="str">
        <f>IF($B852="","",IF($B852="TRANSCARNES","ACTIVO",IF(COUNTIF(RETIROS!E:E,$B852)=1,"PENDIENTE ELIMINAR",IF(COUNTIFS(ASIGNACIONES!$D:$D,$B852,ASIGNACIONES!$H:$H,E852,ASIGNACIONES!$G:$G,$D852,ASIGNACIONES!$J:$J,$F852)=0,"NUEVO","ACTIVO"))))</f>
        <v/>
      </c>
    </row>
    <row r="853">
      <c r="A853" s="30"/>
      <c r="B853" s="35"/>
      <c r="C853" s="32"/>
      <c r="D853" s="36"/>
      <c r="E853" s="36"/>
      <c r="F853" s="34"/>
      <c r="G853" s="24"/>
      <c r="H853" s="24" t="str">
        <f>IF($B853="","",IF($B853="TRANSCARNES","ACTIVO",IF(COUNTIF(RETIROS!E:E,$B853)=1,"PENDIENTE ELIMINAR",IF(COUNTIFS(ASIGNACIONES!$D:$D,$B853,ASIGNACIONES!$H:$H,E853,ASIGNACIONES!$G:$G,$D853,ASIGNACIONES!$J:$J,$F853)=0,"NUEVO","ACTIVO"))))</f>
        <v/>
      </c>
    </row>
    <row r="854">
      <c r="A854" s="30"/>
      <c r="B854" s="35"/>
      <c r="C854" s="32"/>
      <c r="D854" s="36"/>
      <c r="E854" s="36"/>
      <c r="F854" s="34"/>
      <c r="G854" s="24"/>
      <c r="H854" s="24" t="str">
        <f>IF($B854="","",IF($B854="TRANSCARNES","ACTIVO",IF(COUNTIF(RETIROS!E:E,$B854)=1,"PENDIENTE ELIMINAR",IF(COUNTIFS(ASIGNACIONES!$D:$D,$B854,ASIGNACIONES!$H:$H,E854,ASIGNACIONES!$G:$G,$D854,ASIGNACIONES!$J:$J,$F854)=0,"NUEVO","ACTIVO"))))</f>
        <v/>
      </c>
    </row>
    <row r="855">
      <c r="A855" s="30"/>
      <c r="B855" s="35"/>
      <c r="C855" s="32"/>
      <c r="D855" s="36"/>
      <c r="E855" s="36"/>
      <c r="F855" s="34"/>
      <c r="G855" s="24"/>
      <c r="H855" s="24" t="str">
        <f>IF($B855="","",IF($B855="TRANSCARNES","ACTIVO",IF(COUNTIF(RETIROS!E:E,$B855)=1,"PENDIENTE ELIMINAR",IF(COUNTIFS(ASIGNACIONES!$D:$D,$B855,ASIGNACIONES!$H:$H,E855,ASIGNACIONES!$G:$G,$D855,ASIGNACIONES!$J:$J,$F855)=0,"NUEVO","ACTIVO"))))</f>
        <v/>
      </c>
    </row>
    <row r="856">
      <c r="A856" s="30"/>
      <c r="B856" s="35"/>
      <c r="C856" s="32"/>
      <c r="D856" s="36"/>
      <c r="E856" s="36"/>
      <c r="F856" s="34"/>
      <c r="G856" s="24"/>
      <c r="H856" s="24" t="str">
        <f>IF($B856="","",IF($B856="TRANSCARNES","ACTIVO",IF(COUNTIF(RETIROS!E:E,$B856)=1,"PENDIENTE ELIMINAR",IF(COUNTIFS(ASIGNACIONES!$D:$D,$B856,ASIGNACIONES!$H:$H,E856,ASIGNACIONES!$G:$G,$D856,ASIGNACIONES!$J:$J,$F856)=0,"NUEVO","ACTIVO"))))</f>
        <v/>
      </c>
    </row>
    <row r="857">
      <c r="A857" s="30"/>
      <c r="B857" s="35"/>
      <c r="C857" s="32"/>
      <c r="D857" s="36"/>
      <c r="E857" s="36"/>
      <c r="F857" s="34"/>
      <c r="G857" s="24"/>
      <c r="H857" s="24" t="str">
        <f>IF($B857="","",IF($B857="TRANSCARNES","ACTIVO",IF(COUNTIF(RETIROS!E:E,$B857)=1,"PENDIENTE ELIMINAR",IF(COUNTIFS(ASIGNACIONES!$D:$D,$B857,ASIGNACIONES!$H:$H,E857,ASIGNACIONES!$G:$G,$D857,ASIGNACIONES!$J:$J,$F857)=0,"NUEVO","ACTIVO"))))</f>
        <v/>
      </c>
    </row>
    <row r="858">
      <c r="A858" s="30"/>
      <c r="B858" s="35"/>
      <c r="C858" s="32"/>
      <c r="D858" s="36"/>
      <c r="E858" s="36"/>
      <c r="F858" s="34"/>
      <c r="G858" s="24"/>
      <c r="H858" s="24" t="str">
        <f>IF($B858="","",IF($B858="TRANSCARNES","ACTIVO",IF(COUNTIF(RETIROS!E:E,$B858)=1,"PENDIENTE ELIMINAR",IF(COUNTIFS(ASIGNACIONES!$D:$D,$B858,ASIGNACIONES!$H:$H,E858,ASIGNACIONES!$G:$G,$D858,ASIGNACIONES!$J:$J,$F858)=0,"NUEVO","ACTIVO"))))</f>
        <v/>
      </c>
    </row>
    <row r="859">
      <c r="A859" s="30"/>
      <c r="B859" s="35"/>
      <c r="C859" s="32"/>
      <c r="D859" s="36"/>
      <c r="E859" s="36"/>
      <c r="F859" s="34"/>
      <c r="G859" s="24"/>
      <c r="H859" s="24" t="str">
        <f>IF($B859="","",IF($B859="TRANSCARNES","ACTIVO",IF(COUNTIF(RETIROS!E:E,$B859)=1,"PENDIENTE ELIMINAR",IF(COUNTIFS(ASIGNACIONES!$D:$D,$B859,ASIGNACIONES!$H:$H,E859,ASIGNACIONES!$G:$G,$D859,ASIGNACIONES!$J:$J,$F859)=0,"NUEVO","ACTIVO"))))</f>
        <v/>
      </c>
    </row>
    <row r="860">
      <c r="A860" s="30"/>
      <c r="B860" s="35"/>
      <c r="C860" s="32"/>
      <c r="D860" s="36"/>
      <c r="E860" s="36"/>
      <c r="F860" s="34"/>
      <c r="G860" s="24"/>
      <c r="H860" s="24" t="str">
        <f>IF($B860="","",IF($B860="TRANSCARNES","ACTIVO",IF(COUNTIF(RETIROS!E:E,$B860)=1,"PENDIENTE ELIMINAR",IF(COUNTIFS(ASIGNACIONES!$D:$D,$B860,ASIGNACIONES!$H:$H,E860,ASIGNACIONES!$G:$G,$D860,ASIGNACIONES!$J:$J,$F860)=0,"NUEVO","ACTIVO"))))</f>
        <v/>
      </c>
    </row>
    <row r="861">
      <c r="A861" s="30"/>
      <c r="B861" s="35"/>
      <c r="C861" s="32"/>
      <c r="D861" s="36"/>
      <c r="E861" s="36"/>
      <c r="F861" s="34"/>
      <c r="G861" s="24"/>
      <c r="H861" s="24" t="str">
        <f>IF($B861="","",IF($B861="TRANSCARNES","ACTIVO",IF(COUNTIF(RETIROS!E:E,$B861)=1,"PENDIENTE ELIMINAR",IF(COUNTIFS(ASIGNACIONES!$D:$D,$B861,ASIGNACIONES!$H:$H,E861,ASIGNACIONES!$G:$G,$D861,ASIGNACIONES!$J:$J,$F861)=0,"NUEVO","ACTIVO"))))</f>
        <v/>
      </c>
    </row>
    <row r="862">
      <c r="A862" s="30"/>
      <c r="B862" s="35"/>
      <c r="C862" s="32"/>
      <c r="D862" s="36"/>
      <c r="E862" s="36"/>
      <c r="F862" s="34"/>
      <c r="G862" s="24"/>
      <c r="H862" s="24" t="str">
        <f>IF($B862="","",IF($B862="TRANSCARNES","ACTIVO",IF(COUNTIF(RETIROS!E:E,$B862)=1,"PENDIENTE ELIMINAR",IF(COUNTIFS(ASIGNACIONES!$D:$D,$B862,ASIGNACIONES!$H:$H,E862,ASIGNACIONES!$G:$G,$D862,ASIGNACIONES!$J:$J,$F862)=0,"NUEVO","ACTIVO"))))</f>
        <v/>
      </c>
    </row>
    <row r="863">
      <c r="A863" s="30"/>
      <c r="B863" s="35"/>
      <c r="C863" s="32"/>
      <c r="D863" s="36"/>
      <c r="E863" s="36"/>
      <c r="F863" s="34"/>
      <c r="G863" s="24"/>
      <c r="H863" s="24" t="str">
        <f>IF($B863="","",IF($B863="TRANSCARNES","ACTIVO",IF(COUNTIF(RETIROS!E:E,$B863)=1,"PENDIENTE ELIMINAR",IF(COUNTIFS(ASIGNACIONES!$D:$D,$B863,ASIGNACIONES!$H:$H,E863,ASIGNACIONES!$G:$G,$D863,ASIGNACIONES!$J:$J,$F863)=0,"NUEVO","ACTIVO"))))</f>
        <v/>
      </c>
    </row>
    <row r="864">
      <c r="A864" s="30"/>
      <c r="B864" s="35"/>
      <c r="C864" s="32"/>
      <c r="D864" s="36"/>
      <c r="E864" s="36"/>
      <c r="F864" s="34"/>
      <c r="G864" s="24"/>
      <c r="H864" s="24" t="str">
        <f>IF($B864="","",IF($B864="TRANSCARNES","ACTIVO",IF(COUNTIF(RETIROS!E:E,$B864)=1,"PENDIENTE ELIMINAR",IF(COUNTIFS(ASIGNACIONES!$D:$D,$B864,ASIGNACIONES!$H:$H,E864,ASIGNACIONES!$G:$G,$D864,ASIGNACIONES!$J:$J,$F864)=0,"NUEVO","ACTIVO"))))</f>
        <v/>
      </c>
    </row>
    <row r="865">
      <c r="A865" s="30"/>
      <c r="B865" s="35"/>
      <c r="C865" s="32"/>
      <c r="D865" s="36"/>
      <c r="E865" s="36"/>
      <c r="F865" s="34"/>
      <c r="G865" s="24"/>
      <c r="H865" s="24" t="str">
        <f>IF($B865="","",IF($B865="TRANSCARNES","ACTIVO",IF(COUNTIF(RETIROS!E:E,$B865)=1,"PENDIENTE ELIMINAR",IF(COUNTIFS(ASIGNACIONES!$D:$D,$B865,ASIGNACIONES!$H:$H,E865,ASIGNACIONES!$G:$G,$D865,ASIGNACIONES!$J:$J,$F865)=0,"NUEVO","ACTIVO"))))</f>
        <v/>
      </c>
    </row>
    <row r="866">
      <c r="A866" s="30"/>
      <c r="B866" s="35"/>
      <c r="C866" s="32"/>
      <c r="D866" s="36"/>
      <c r="E866" s="36"/>
      <c r="F866" s="34"/>
      <c r="G866" s="24"/>
      <c r="H866" s="24" t="str">
        <f>IF($B866="","",IF($B866="TRANSCARNES","ACTIVO",IF(COUNTIF(RETIROS!E:E,$B866)=1,"PENDIENTE ELIMINAR",IF(COUNTIFS(ASIGNACIONES!$D:$D,$B866,ASIGNACIONES!$H:$H,E866,ASIGNACIONES!$G:$G,$D866,ASIGNACIONES!$J:$J,$F866)=0,"NUEVO","ACTIVO"))))</f>
        <v/>
      </c>
    </row>
    <row r="867">
      <c r="A867" s="30"/>
      <c r="B867" s="35"/>
      <c r="C867" s="32"/>
      <c r="D867" s="36"/>
      <c r="E867" s="36"/>
      <c r="F867" s="34"/>
      <c r="G867" s="24"/>
      <c r="H867" s="24" t="str">
        <f>IF($B867="","",IF($B867="TRANSCARNES","ACTIVO",IF(COUNTIF(RETIROS!E:E,$B867)=1,"PENDIENTE ELIMINAR",IF(COUNTIFS(ASIGNACIONES!$D:$D,$B867,ASIGNACIONES!$H:$H,E867,ASIGNACIONES!$G:$G,$D867,ASIGNACIONES!$J:$J,$F867)=0,"NUEVO","ACTIVO"))))</f>
        <v/>
      </c>
    </row>
    <row r="868">
      <c r="A868" s="42"/>
      <c r="G868" s="24"/>
      <c r="H868" s="24" t="str">
        <f>IF($B868="","",IF($B868="TRANSCARNES","ACTIVO",IF(COUNTIF(RETIROS!E:E,$B868)=1,"PENDIENTE ELIMINAR",IF(COUNTIFS(ASIGNACIONES!$D:$D,$B868,ASIGNACIONES!$H:$H,E868,ASIGNACIONES!$G:$G,$D868,ASIGNACIONES!$J:$J,$F868)=0,"NUEVO","ACTIVO"))))</f>
        <v/>
      </c>
    </row>
    <row r="869">
      <c r="A869" s="42"/>
      <c r="G869" s="24"/>
      <c r="H869" s="24" t="str">
        <f>IF($B869="","",IF($B869="TRANSCARNES","ACTIVO",IF(COUNTIF(RETIROS!E:E,$B869)=1,"PENDIENTE ELIMINAR",IF(COUNTIFS(ASIGNACIONES!$D:$D,$B869,ASIGNACIONES!$H:$H,E869,ASIGNACIONES!$G:$G,$D869,ASIGNACIONES!$J:$J,$F869)=0,"NUEVO","ACTIVO"))))</f>
        <v/>
      </c>
    </row>
  </sheetData>
  <autoFilter ref="$A$1:$H$869">
    <sortState ref="A1:H869">
      <sortCondition ref="B1:B869"/>
      <sortCondition ref="A1:A869"/>
      <sortCondition descending="1" ref="H1:H869"/>
    </sortState>
  </autoFilter>
  <conditionalFormatting sqref="B2 G2:H869 B7 B17 B21 B24 B27 B34:B35 B38:B39 B41:B42 B44 B48:B50 B60 B62:B63 B67 B69 B71:B73 B76 B78 B80 B83 B85 B89 B91 B94:B96 B99 B104 B106 B110 B112 B123 B126 B134 B136 B143:B144 B150:B151 B155 B160 B163:B164 B171:B174 B180 B182:B184 B190:B192">
    <cfRule type="containsText" dxfId="0" priority="1" operator="containsText" text="Disponible">
      <formula>NOT(ISERROR(SEARCH(("Disponible"),(B2))))</formula>
    </cfRule>
  </conditionalFormatting>
  <conditionalFormatting sqref="G2:H869">
    <cfRule type="containsText" dxfId="0" priority="2" operator="containsText" text="DISPONIBLE">
      <formula>NOT(ISERROR(SEARCH(("DISPONIBLE"),(G2))))</formula>
    </cfRule>
  </conditionalFormatting>
  <conditionalFormatting sqref="G2:H869">
    <cfRule type="containsText" dxfId="0" priority="3" operator="containsText" text="NUEVO O PEDIENTE POR ALGUN DATO">
      <formula>NOT(ISERROR(SEARCH(("NUEVO O PEDIENTE POR ALGUN DATO"),(G2))))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4.5"/>
    <col customWidth="1" min="3" max="3" width="11.63"/>
    <col customWidth="1" min="4" max="4" width="17.63"/>
    <col customWidth="1" min="5" max="5" width="45.13"/>
    <col customWidth="1" min="10" max="10" width="26.75"/>
    <col customWidth="1" min="11" max="11" width="30.25"/>
    <col customWidth="1" min="12" max="12" width="20.88"/>
  </cols>
  <sheetData>
    <row r="1">
      <c r="A1" s="43" t="s">
        <v>245</v>
      </c>
      <c r="B1" s="44" t="s">
        <v>5</v>
      </c>
      <c r="C1" s="43" t="s">
        <v>1</v>
      </c>
      <c r="D1" s="45" t="s">
        <v>246</v>
      </c>
      <c r="E1" s="44" t="s">
        <v>3</v>
      </c>
      <c r="F1" s="43" t="s">
        <v>4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>
      <c r="A2" s="5" t="s">
        <v>247</v>
      </c>
      <c r="B2" s="46" t="s">
        <v>248</v>
      </c>
      <c r="C2" s="47" t="s">
        <v>249</v>
      </c>
      <c r="D2" s="48">
        <v>45164.0</v>
      </c>
      <c r="E2" s="46" t="s">
        <v>250</v>
      </c>
      <c r="F2" s="5" t="s">
        <v>180</v>
      </c>
      <c r="G2" s="5" t="s">
        <v>101</v>
      </c>
      <c r="H2" s="5" t="s">
        <v>18</v>
      </c>
      <c r="I2" s="5" t="s">
        <v>18</v>
      </c>
      <c r="J2" s="5" t="s">
        <v>19</v>
      </c>
      <c r="K2" s="5"/>
      <c r="L2" s="5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>
      <c r="A3" s="5" t="s">
        <v>251</v>
      </c>
      <c r="B3" s="46" t="s">
        <v>252</v>
      </c>
      <c r="C3" s="47" t="s">
        <v>253</v>
      </c>
      <c r="D3" s="48">
        <v>45164.0</v>
      </c>
      <c r="E3" s="46" t="s">
        <v>254</v>
      </c>
      <c r="F3" s="5" t="s">
        <v>181</v>
      </c>
      <c r="G3" s="5" t="s">
        <v>101</v>
      </c>
      <c r="H3" s="5" t="s">
        <v>18</v>
      </c>
      <c r="I3" s="5" t="s">
        <v>18</v>
      </c>
      <c r="J3" s="5" t="s">
        <v>19</v>
      </c>
      <c r="K3" s="5"/>
      <c r="L3" s="5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>
      <c r="A4" s="5" t="s">
        <v>255</v>
      </c>
      <c r="B4" s="46" t="s">
        <v>256</v>
      </c>
      <c r="C4" s="5"/>
      <c r="D4" s="48">
        <v>45164.0</v>
      </c>
      <c r="E4" s="46" t="s">
        <v>257</v>
      </c>
      <c r="F4" s="5" t="s">
        <v>184</v>
      </c>
      <c r="G4" s="5" t="s">
        <v>101</v>
      </c>
      <c r="H4" s="5" t="s">
        <v>18</v>
      </c>
      <c r="I4" s="5"/>
      <c r="J4" s="5" t="s">
        <v>19</v>
      </c>
      <c r="K4" s="5"/>
      <c r="L4" s="5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>
      <c r="A5" s="5" t="s">
        <v>258</v>
      </c>
      <c r="B5" s="46" t="s">
        <v>259</v>
      </c>
      <c r="C5" s="47" t="s">
        <v>260</v>
      </c>
      <c r="D5" s="48">
        <v>45164.0</v>
      </c>
      <c r="E5" s="46" t="s">
        <v>261</v>
      </c>
      <c r="F5" s="5" t="s">
        <v>140</v>
      </c>
      <c r="G5" s="5" t="s">
        <v>101</v>
      </c>
      <c r="H5" s="5" t="s">
        <v>18</v>
      </c>
      <c r="I5" s="5" t="s">
        <v>18</v>
      </c>
      <c r="J5" s="5" t="s">
        <v>19</v>
      </c>
      <c r="K5" s="5"/>
      <c r="L5" s="5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>
      <c r="A6" s="5" t="s">
        <v>262</v>
      </c>
      <c r="B6" s="46" t="s">
        <v>263</v>
      </c>
      <c r="C6" s="47" t="s">
        <v>264</v>
      </c>
      <c r="D6" s="48">
        <v>45170.0</v>
      </c>
      <c r="E6" s="46" t="s">
        <v>265</v>
      </c>
      <c r="F6" s="5" t="s">
        <v>171</v>
      </c>
      <c r="G6" s="5" t="s">
        <v>17</v>
      </c>
      <c r="H6" s="5" t="s">
        <v>24</v>
      </c>
      <c r="I6" s="5" t="s">
        <v>24</v>
      </c>
      <c r="J6" s="5" t="s">
        <v>19</v>
      </c>
      <c r="K6" s="5"/>
      <c r="L6" s="5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>
      <c r="A7" s="5" t="s">
        <v>266</v>
      </c>
      <c r="B7" s="46" t="s">
        <v>267</v>
      </c>
      <c r="C7" s="47" t="s">
        <v>150</v>
      </c>
      <c r="D7" s="48">
        <v>45170.0</v>
      </c>
      <c r="E7" s="46" t="s">
        <v>268</v>
      </c>
      <c r="F7" s="5" t="s">
        <v>178</v>
      </c>
      <c r="G7" s="5" t="s">
        <v>17</v>
      </c>
      <c r="H7" s="5" t="s">
        <v>67</v>
      </c>
      <c r="I7" s="5" t="s">
        <v>67</v>
      </c>
      <c r="J7" s="5" t="s">
        <v>19</v>
      </c>
      <c r="K7" s="5"/>
      <c r="L7" s="5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>
      <c r="A8" s="5" t="s">
        <v>269</v>
      </c>
      <c r="B8" s="46" t="s">
        <v>270</v>
      </c>
      <c r="C8" s="47" t="s">
        <v>271</v>
      </c>
      <c r="D8" s="48">
        <v>45232.0</v>
      </c>
      <c r="E8" s="46" t="s">
        <v>272</v>
      </c>
      <c r="F8" s="5" t="s">
        <v>186</v>
      </c>
      <c r="G8" s="5" t="s">
        <v>106</v>
      </c>
      <c r="H8" s="5" t="s">
        <v>24</v>
      </c>
      <c r="I8" s="5" t="s">
        <v>24</v>
      </c>
      <c r="J8" s="5" t="s">
        <v>113</v>
      </c>
      <c r="K8" s="5"/>
      <c r="L8" s="5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>
      <c r="A9" s="5" t="s">
        <v>273</v>
      </c>
      <c r="B9" s="46" t="s">
        <v>274</v>
      </c>
      <c r="C9" s="47" t="s">
        <v>142</v>
      </c>
      <c r="D9" s="48">
        <v>45240.0</v>
      </c>
      <c r="E9" s="46" t="s">
        <v>275</v>
      </c>
      <c r="F9" s="5" t="s">
        <v>172</v>
      </c>
      <c r="G9" s="5" t="s">
        <v>17</v>
      </c>
      <c r="H9" s="5" t="s">
        <v>24</v>
      </c>
      <c r="I9" s="5" t="s">
        <v>24</v>
      </c>
      <c r="J9" s="5" t="s">
        <v>19</v>
      </c>
      <c r="K9" s="5"/>
      <c r="L9" s="5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>
      <c r="A10" s="5" t="s">
        <v>276</v>
      </c>
      <c r="B10" s="46" t="s">
        <v>277</v>
      </c>
      <c r="C10" s="47" t="s">
        <v>278</v>
      </c>
      <c r="D10" s="48">
        <v>45240.0</v>
      </c>
      <c r="E10" s="46" t="s">
        <v>279</v>
      </c>
      <c r="F10" s="5" t="s">
        <v>41</v>
      </c>
      <c r="G10" s="5" t="s">
        <v>17</v>
      </c>
      <c r="H10" s="5" t="s">
        <v>24</v>
      </c>
      <c r="I10" s="5" t="s">
        <v>24</v>
      </c>
      <c r="J10" s="5" t="s">
        <v>19</v>
      </c>
      <c r="K10" s="5"/>
      <c r="L10" s="5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>
      <c r="A11" s="5" t="s">
        <v>280</v>
      </c>
      <c r="B11" s="46" t="s">
        <v>281</v>
      </c>
      <c r="C11" s="47" t="s">
        <v>282</v>
      </c>
      <c r="D11" s="48">
        <v>45241.0</v>
      </c>
      <c r="E11" s="46" t="s">
        <v>283</v>
      </c>
      <c r="F11" s="5" t="s">
        <v>184</v>
      </c>
      <c r="G11" s="5" t="s">
        <v>101</v>
      </c>
      <c r="H11" s="5" t="s">
        <v>18</v>
      </c>
      <c r="I11" s="5" t="s">
        <v>18</v>
      </c>
      <c r="J11" s="5" t="s">
        <v>19</v>
      </c>
      <c r="K11" s="5"/>
      <c r="L11" s="5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>
      <c r="A12" s="5" t="s">
        <v>284</v>
      </c>
      <c r="B12" s="46" t="s">
        <v>285</v>
      </c>
      <c r="C12" s="47" t="s">
        <v>286</v>
      </c>
      <c r="D12" s="48">
        <v>45248.0</v>
      </c>
      <c r="E12" s="46" t="s">
        <v>287</v>
      </c>
      <c r="F12" s="5" t="s">
        <v>186</v>
      </c>
      <c r="G12" s="5" t="s">
        <v>106</v>
      </c>
      <c r="H12" s="5" t="s">
        <v>24</v>
      </c>
      <c r="I12" s="5" t="s">
        <v>24</v>
      </c>
      <c r="J12" s="5" t="s">
        <v>113</v>
      </c>
      <c r="K12" s="5"/>
      <c r="L12" s="5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>
      <c r="A13" s="5" t="s">
        <v>288</v>
      </c>
      <c r="B13" s="46" t="s">
        <v>289</v>
      </c>
      <c r="C13" s="47" t="s">
        <v>290</v>
      </c>
      <c r="D13" s="48">
        <v>45250.0</v>
      </c>
      <c r="E13" s="46" t="s">
        <v>291</v>
      </c>
      <c r="F13" s="5" t="s">
        <v>111</v>
      </c>
      <c r="G13" s="5" t="s">
        <v>112</v>
      </c>
      <c r="H13" s="5" t="s">
        <v>72</v>
      </c>
      <c r="I13" s="5" t="s">
        <v>72</v>
      </c>
      <c r="J13" s="5" t="s">
        <v>19</v>
      </c>
      <c r="K13" s="5"/>
      <c r="L13" s="5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>
      <c r="A14" s="5" t="s">
        <v>292</v>
      </c>
      <c r="B14" s="46" t="s">
        <v>293</v>
      </c>
      <c r="C14" s="47" t="s">
        <v>82</v>
      </c>
      <c r="D14" s="48">
        <v>45250.0</v>
      </c>
      <c r="E14" s="46" t="s">
        <v>294</v>
      </c>
      <c r="F14" s="5" t="s">
        <v>180</v>
      </c>
      <c r="G14" s="5" t="s">
        <v>101</v>
      </c>
      <c r="H14" s="5" t="s">
        <v>67</v>
      </c>
      <c r="I14" s="5" t="s">
        <v>67</v>
      </c>
      <c r="J14" s="5" t="s">
        <v>19</v>
      </c>
      <c r="K14" s="5"/>
      <c r="L14" s="5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>
      <c r="A15" s="5" t="s">
        <v>295</v>
      </c>
      <c r="B15" s="46" t="s">
        <v>296</v>
      </c>
      <c r="C15" s="47" t="s">
        <v>297</v>
      </c>
      <c r="D15" s="48">
        <v>45257.0</v>
      </c>
      <c r="E15" s="46" t="s">
        <v>298</v>
      </c>
      <c r="F15" s="5" t="s">
        <v>152</v>
      </c>
      <c r="G15" s="5" t="s">
        <v>17</v>
      </c>
      <c r="H15" s="5" t="s">
        <v>67</v>
      </c>
      <c r="I15" s="5" t="s">
        <v>67</v>
      </c>
      <c r="J15" s="5" t="s">
        <v>19</v>
      </c>
      <c r="K15" s="5"/>
      <c r="L15" s="5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>
      <c r="A16" s="5" t="s">
        <v>299</v>
      </c>
      <c r="B16" s="46" t="s">
        <v>300</v>
      </c>
      <c r="C16" s="47" t="s">
        <v>135</v>
      </c>
      <c r="D16" s="48">
        <v>45261.0</v>
      </c>
      <c r="E16" s="46" t="s">
        <v>301</v>
      </c>
      <c r="F16" s="5" t="s">
        <v>148</v>
      </c>
      <c r="G16" s="5" t="s">
        <v>101</v>
      </c>
      <c r="H16" s="5" t="s">
        <v>24</v>
      </c>
      <c r="I16" s="5" t="s">
        <v>24</v>
      </c>
      <c r="J16" s="5" t="s">
        <v>19</v>
      </c>
      <c r="K16" s="5"/>
      <c r="L16" s="5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>
      <c r="A17" s="5" t="s">
        <v>302</v>
      </c>
      <c r="B17" s="46" t="s">
        <v>303</v>
      </c>
      <c r="C17" s="47" t="s">
        <v>278</v>
      </c>
      <c r="D17" s="48">
        <v>45286.0</v>
      </c>
      <c r="E17" s="46" t="s">
        <v>304</v>
      </c>
      <c r="F17" s="5" t="s">
        <v>180</v>
      </c>
      <c r="G17" s="5" t="s">
        <v>101</v>
      </c>
      <c r="H17" s="5" t="s">
        <v>24</v>
      </c>
      <c r="I17" s="5" t="s">
        <v>24</v>
      </c>
      <c r="J17" s="5" t="s">
        <v>19</v>
      </c>
      <c r="K17" s="5"/>
      <c r="L17" s="5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>
      <c r="A18" s="5" t="s">
        <v>305</v>
      </c>
      <c r="B18" s="46" t="s">
        <v>306</v>
      </c>
      <c r="C18" s="47" t="s">
        <v>249</v>
      </c>
      <c r="D18" s="48">
        <v>45290.0</v>
      </c>
      <c r="E18" s="46" t="s">
        <v>307</v>
      </c>
      <c r="F18" s="5" t="s">
        <v>129</v>
      </c>
      <c r="G18" s="5" t="s">
        <v>17</v>
      </c>
      <c r="H18" s="5" t="s">
        <v>24</v>
      </c>
      <c r="I18" s="5" t="s">
        <v>18</v>
      </c>
      <c r="J18" s="5" t="s">
        <v>19</v>
      </c>
      <c r="K18" s="5"/>
      <c r="L18" s="5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>
      <c r="A19" s="5" t="s">
        <v>308</v>
      </c>
      <c r="B19" s="46" t="s">
        <v>309</v>
      </c>
      <c r="C19" s="47" t="s">
        <v>310</v>
      </c>
      <c r="D19" s="48">
        <v>45293.0</v>
      </c>
      <c r="E19" s="46" t="s">
        <v>311</v>
      </c>
      <c r="F19" s="5" t="s">
        <v>175</v>
      </c>
      <c r="G19" s="5" t="s">
        <v>17</v>
      </c>
      <c r="H19" s="5" t="s">
        <v>24</v>
      </c>
      <c r="I19" s="5" t="s">
        <v>24</v>
      </c>
      <c r="J19" s="5" t="s">
        <v>19</v>
      </c>
      <c r="K19" s="5"/>
      <c r="L19" s="5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>
      <c r="A20" s="5" t="s">
        <v>312</v>
      </c>
      <c r="B20" s="46" t="s">
        <v>313</v>
      </c>
      <c r="C20" s="47" t="s">
        <v>253</v>
      </c>
      <c r="D20" s="48">
        <v>45303.0</v>
      </c>
      <c r="E20" s="46" t="s">
        <v>314</v>
      </c>
      <c r="F20" s="5" t="s">
        <v>184</v>
      </c>
      <c r="G20" s="5" t="s">
        <v>101</v>
      </c>
      <c r="H20" s="5" t="s">
        <v>18</v>
      </c>
      <c r="I20" s="5" t="s">
        <v>18</v>
      </c>
      <c r="J20" s="5" t="s">
        <v>19</v>
      </c>
      <c r="K20" s="5"/>
      <c r="L20" s="5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>
      <c r="A21" s="5" t="s">
        <v>315</v>
      </c>
      <c r="B21" s="46" t="s">
        <v>316</v>
      </c>
      <c r="C21" s="47" t="s">
        <v>317</v>
      </c>
      <c r="D21" s="48">
        <v>45308.0</v>
      </c>
      <c r="E21" s="46" t="s">
        <v>318</v>
      </c>
      <c r="F21" s="5" t="s">
        <v>111</v>
      </c>
      <c r="G21" s="5" t="s">
        <v>112</v>
      </c>
      <c r="H21" s="5" t="s">
        <v>18</v>
      </c>
      <c r="I21" s="5" t="s">
        <v>18</v>
      </c>
      <c r="J21" s="5" t="s">
        <v>113</v>
      </c>
      <c r="K21" s="5"/>
      <c r="L21" s="5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>
      <c r="A22" s="5" t="s">
        <v>319</v>
      </c>
      <c r="B22" s="46" t="s">
        <v>320</v>
      </c>
      <c r="C22" s="47" t="s">
        <v>158</v>
      </c>
      <c r="D22" s="48">
        <v>45314.0</v>
      </c>
      <c r="E22" s="46" t="s">
        <v>321</v>
      </c>
      <c r="F22" s="5" t="s">
        <v>192</v>
      </c>
      <c r="G22" s="5" t="s">
        <v>191</v>
      </c>
      <c r="H22" s="5" t="s">
        <v>24</v>
      </c>
      <c r="I22" s="5" t="s">
        <v>24</v>
      </c>
      <c r="J22" s="5" t="s">
        <v>19</v>
      </c>
      <c r="K22" s="5"/>
      <c r="L22" s="5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>
      <c r="A23" s="5" t="s">
        <v>322</v>
      </c>
      <c r="B23" s="46" t="s">
        <v>323</v>
      </c>
      <c r="C23" s="47" t="s">
        <v>146</v>
      </c>
      <c r="D23" s="48">
        <v>45322.0</v>
      </c>
      <c r="E23" s="46" t="s">
        <v>324</v>
      </c>
      <c r="F23" s="5" t="s">
        <v>169</v>
      </c>
      <c r="G23" s="5" t="s">
        <v>17</v>
      </c>
      <c r="H23" s="5" t="s">
        <v>24</v>
      </c>
      <c r="I23" s="5" t="s">
        <v>24</v>
      </c>
      <c r="J23" s="5" t="s">
        <v>19</v>
      </c>
      <c r="K23" s="5"/>
      <c r="L23" s="5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>
      <c r="A24" s="5" t="s">
        <v>325</v>
      </c>
      <c r="B24" s="46" t="s">
        <v>326</v>
      </c>
      <c r="C24" s="47" t="s">
        <v>327</v>
      </c>
      <c r="D24" s="48">
        <v>45322.0</v>
      </c>
      <c r="E24" s="46" t="s">
        <v>328</v>
      </c>
      <c r="F24" s="5" t="s">
        <v>329</v>
      </c>
      <c r="G24" s="5" t="s">
        <v>17</v>
      </c>
      <c r="H24" s="5" t="s">
        <v>24</v>
      </c>
      <c r="I24" s="5" t="s">
        <v>18</v>
      </c>
      <c r="J24" s="5" t="s">
        <v>19</v>
      </c>
      <c r="K24" s="5"/>
      <c r="L24" s="5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>
      <c r="A25" s="5" t="s">
        <v>330</v>
      </c>
      <c r="B25" s="46" t="s">
        <v>331</v>
      </c>
      <c r="C25" s="47" t="s">
        <v>332</v>
      </c>
      <c r="D25" s="48">
        <v>45322.0</v>
      </c>
      <c r="E25" s="46" t="s">
        <v>333</v>
      </c>
      <c r="F25" s="5" t="s">
        <v>188</v>
      </c>
      <c r="G25" s="5" t="s">
        <v>106</v>
      </c>
      <c r="H25" s="5" t="s">
        <v>24</v>
      </c>
      <c r="I25" s="5" t="s">
        <v>67</v>
      </c>
      <c r="J25" s="5" t="s">
        <v>113</v>
      </c>
      <c r="K25" s="5"/>
      <c r="L25" s="5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>
      <c r="A26" s="5" t="s">
        <v>334</v>
      </c>
      <c r="B26" s="46" t="s">
        <v>335</v>
      </c>
      <c r="C26" s="47" t="s">
        <v>336</v>
      </c>
      <c r="D26" s="48">
        <v>45328.0</v>
      </c>
      <c r="E26" s="46" t="s">
        <v>337</v>
      </c>
      <c r="F26" s="5" t="s">
        <v>185</v>
      </c>
      <c r="G26" s="5" t="s">
        <v>101</v>
      </c>
      <c r="H26" s="5" t="s">
        <v>18</v>
      </c>
      <c r="I26" s="5" t="s">
        <v>18</v>
      </c>
      <c r="J26" s="5" t="s">
        <v>19</v>
      </c>
      <c r="K26" s="5"/>
      <c r="L26" s="5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>
      <c r="A27" s="47" t="s">
        <v>338</v>
      </c>
      <c r="B27" s="46" t="s">
        <v>339</v>
      </c>
      <c r="C27" s="47" t="s">
        <v>264</v>
      </c>
      <c r="D27" s="48">
        <v>45335.0</v>
      </c>
      <c r="E27" s="46" t="s">
        <v>340</v>
      </c>
      <c r="F27" s="5" t="s">
        <v>148</v>
      </c>
      <c r="G27" s="5" t="s">
        <v>101</v>
      </c>
      <c r="H27" s="5" t="s">
        <v>24</v>
      </c>
      <c r="I27" s="5" t="s">
        <v>24</v>
      </c>
      <c r="J27" s="5" t="s">
        <v>19</v>
      </c>
      <c r="K27" s="5"/>
      <c r="L27" s="5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>
      <c r="A28" s="5" t="s">
        <v>341</v>
      </c>
      <c r="B28" s="46" t="s">
        <v>342</v>
      </c>
      <c r="C28" s="47" t="s">
        <v>343</v>
      </c>
      <c r="D28" s="48">
        <v>45343.0</v>
      </c>
      <c r="E28" s="46" t="s">
        <v>344</v>
      </c>
      <c r="F28" s="5" t="s">
        <v>345</v>
      </c>
      <c r="G28" s="5" t="s">
        <v>17</v>
      </c>
      <c r="H28" s="5" t="s">
        <v>24</v>
      </c>
      <c r="I28" s="5" t="s">
        <v>67</v>
      </c>
      <c r="J28" s="5" t="s">
        <v>19</v>
      </c>
      <c r="K28" s="5"/>
      <c r="L28" s="5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>
      <c r="A29" s="5" t="s">
        <v>346</v>
      </c>
      <c r="B29" s="46" t="s">
        <v>347</v>
      </c>
      <c r="C29" s="47" t="s">
        <v>348</v>
      </c>
      <c r="D29" s="48">
        <v>45343.0</v>
      </c>
      <c r="E29" s="46" t="s">
        <v>349</v>
      </c>
      <c r="F29" s="5" t="s">
        <v>148</v>
      </c>
      <c r="G29" s="5" t="s">
        <v>101</v>
      </c>
      <c r="H29" s="5" t="s">
        <v>350</v>
      </c>
      <c r="I29" s="5" t="s">
        <v>350</v>
      </c>
      <c r="J29" s="5" t="s">
        <v>19</v>
      </c>
      <c r="K29" s="5"/>
      <c r="L29" s="5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>
      <c r="A30" s="5" t="s">
        <v>351</v>
      </c>
      <c r="B30" s="46" t="s">
        <v>352</v>
      </c>
      <c r="C30" s="47" t="s">
        <v>353</v>
      </c>
      <c r="D30" s="48">
        <v>45350.0</v>
      </c>
      <c r="E30" s="46" t="s">
        <v>354</v>
      </c>
      <c r="F30" s="5" t="s">
        <v>185</v>
      </c>
      <c r="G30" s="5" t="s">
        <v>101</v>
      </c>
      <c r="H30" s="5" t="s">
        <v>18</v>
      </c>
      <c r="I30" s="5" t="s">
        <v>18</v>
      </c>
      <c r="J30" s="5" t="s">
        <v>19</v>
      </c>
      <c r="K30" s="5"/>
      <c r="L30" s="5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>
      <c r="A31" s="5" t="s">
        <v>355</v>
      </c>
      <c r="B31" s="46" t="s">
        <v>356</v>
      </c>
      <c r="C31" s="47" t="s">
        <v>282</v>
      </c>
      <c r="D31" s="48">
        <v>45350.0</v>
      </c>
      <c r="E31" s="46" t="s">
        <v>357</v>
      </c>
      <c r="F31" s="5" t="s">
        <v>125</v>
      </c>
      <c r="G31" s="5" t="s">
        <v>17</v>
      </c>
      <c r="H31" s="5" t="s">
        <v>18</v>
      </c>
      <c r="I31" s="5" t="s">
        <v>18</v>
      </c>
      <c r="J31" s="5" t="s">
        <v>19</v>
      </c>
      <c r="K31" s="5"/>
      <c r="L31" s="5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>
      <c r="A32" s="5" t="s">
        <v>358</v>
      </c>
      <c r="B32" s="46" t="s">
        <v>359</v>
      </c>
      <c r="C32" s="47" t="s">
        <v>162</v>
      </c>
      <c r="D32" s="48">
        <v>45358.0</v>
      </c>
      <c r="E32" s="46" t="s">
        <v>360</v>
      </c>
      <c r="F32" s="5" t="s">
        <v>111</v>
      </c>
      <c r="G32" s="5" t="s">
        <v>112</v>
      </c>
      <c r="H32" s="5" t="s">
        <v>164</v>
      </c>
      <c r="I32" s="5" t="s">
        <v>164</v>
      </c>
      <c r="J32" s="5" t="s">
        <v>107</v>
      </c>
      <c r="K32" s="5"/>
      <c r="L32" s="5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>
      <c r="A33" s="5" t="s">
        <v>361</v>
      </c>
      <c r="B33" s="46" t="s">
        <v>362</v>
      </c>
      <c r="C33" s="47" t="s">
        <v>253</v>
      </c>
      <c r="D33" s="48">
        <v>45383.0</v>
      </c>
      <c r="E33" s="46" t="s">
        <v>363</v>
      </c>
      <c r="F33" s="5" t="s">
        <v>181</v>
      </c>
      <c r="G33" s="5" t="s">
        <v>101</v>
      </c>
      <c r="H33" s="5" t="s">
        <v>18</v>
      </c>
      <c r="I33" s="5" t="s">
        <v>18</v>
      </c>
      <c r="J33" s="5" t="s">
        <v>19</v>
      </c>
      <c r="K33" s="5"/>
      <c r="L33" s="5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>
      <c r="A34" s="5" t="s">
        <v>364</v>
      </c>
      <c r="B34" s="46" t="s">
        <v>365</v>
      </c>
      <c r="C34" s="47" t="s">
        <v>366</v>
      </c>
      <c r="D34" s="48">
        <v>45404.0</v>
      </c>
      <c r="E34" s="46" t="s">
        <v>367</v>
      </c>
      <c r="F34" s="5" t="s">
        <v>173</v>
      </c>
      <c r="G34" s="5" t="s">
        <v>17</v>
      </c>
      <c r="H34" s="5" t="s">
        <v>37</v>
      </c>
      <c r="I34" s="5" t="s">
        <v>37</v>
      </c>
      <c r="J34" s="5" t="s">
        <v>19</v>
      </c>
      <c r="K34" s="5"/>
      <c r="L34" s="5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>
      <c r="A35" s="5" t="s">
        <v>368</v>
      </c>
      <c r="B35" s="46" t="s">
        <v>369</v>
      </c>
      <c r="C35" s="47" t="s">
        <v>260</v>
      </c>
      <c r="D35" s="48">
        <v>45411.0</v>
      </c>
      <c r="E35" s="46" t="s">
        <v>370</v>
      </c>
      <c r="F35" s="5" t="s">
        <v>186</v>
      </c>
      <c r="G35" s="5" t="s">
        <v>106</v>
      </c>
      <c r="H35" s="5" t="s">
        <v>18</v>
      </c>
      <c r="I35" s="5" t="s">
        <v>18</v>
      </c>
      <c r="J35" s="5" t="s">
        <v>113</v>
      </c>
      <c r="K35" s="5"/>
      <c r="L35" s="5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>
      <c r="A36" s="5" t="s">
        <v>371</v>
      </c>
      <c r="B36" s="46" t="s">
        <v>372</v>
      </c>
      <c r="C36" s="47" t="s">
        <v>327</v>
      </c>
      <c r="D36" s="48">
        <v>45422.0</v>
      </c>
      <c r="E36" s="46" t="s">
        <v>373</v>
      </c>
      <c r="F36" s="5" t="s">
        <v>184</v>
      </c>
      <c r="G36" s="5" t="s">
        <v>101</v>
      </c>
      <c r="H36" s="5" t="s">
        <v>18</v>
      </c>
      <c r="I36" s="5" t="s">
        <v>18</v>
      </c>
      <c r="J36" s="5" t="s">
        <v>19</v>
      </c>
      <c r="K36" s="5"/>
      <c r="L36" s="5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>
      <c r="A37" s="5" t="s">
        <v>374</v>
      </c>
      <c r="B37" s="46" t="s">
        <v>375</v>
      </c>
      <c r="C37" s="47" t="s">
        <v>158</v>
      </c>
      <c r="D37" s="48">
        <v>45433.0</v>
      </c>
      <c r="E37" s="46" t="s">
        <v>376</v>
      </c>
      <c r="F37" s="5" t="s">
        <v>148</v>
      </c>
      <c r="G37" s="5" t="s">
        <v>101</v>
      </c>
      <c r="H37" s="5" t="s">
        <v>24</v>
      </c>
      <c r="I37" s="5" t="s">
        <v>24</v>
      </c>
      <c r="J37" s="5" t="s">
        <v>19</v>
      </c>
      <c r="K37" s="5"/>
      <c r="L37" s="5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>
      <c r="A38" s="5" t="s">
        <v>377</v>
      </c>
      <c r="B38" s="46" t="s">
        <v>378</v>
      </c>
      <c r="C38" s="47" t="s">
        <v>379</v>
      </c>
      <c r="D38" s="48">
        <v>45439.0</v>
      </c>
      <c r="E38" s="46" t="s">
        <v>380</v>
      </c>
      <c r="F38" s="5" t="s">
        <v>100</v>
      </c>
      <c r="G38" s="5" t="s">
        <v>101</v>
      </c>
      <c r="H38" s="5" t="s">
        <v>18</v>
      </c>
      <c r="I38" s="5" t="s">
        <v>18</v>
      </c>
      <c r="J38" s="5" t="s">
        <v>19</v>
      </c>
      <c r="K38" s="5"/>
      <c r="L38" s="5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>
      <c r="A39" s="5" t="s">
        <v>381</v>
      </c>
      <c r="B39" s="46" t="s">
        <v>382</v>
      </c>
      <c r="C39" s="47" t="s">
        <v>343</v>
      </c>
      <c r="D39" s="48">
        <v>45470.0</v>
      </c>
      <c r="E39" s="46" t="s">
        <v>383</v>
      </c>
      <c r="F39" s="5" t="s">
        <v>144</v>
      </c>
      <c r="G39" s="5" t="s">
        <v>17</v>
      </c>
      <c r="H39" s="5" t="s">
        <v>67</v>
      </c>
      <c r="I39" s="5" t="s">
        <v>67</v>
      </c>
      <c r="J39" s="5" t="s">
        <v>19</v>
      </c>
      <c r="K39" s="5"/>
      <c r="L39" s="5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>
      <c r="A40" s="5" t="s">
        <v>384</v>
      </c>
      <c r="B40" s="46" t="s">
        <v>385</v>
      </c>
      <c r="C40" s="47" t="s">
        <v>317</v>
      </c>
      <c r="D40" s="48">
        <v>45470.0</v>
      </c>
      <c r="E40" s="46" t="s">
        <v>386</v>
      </c>
      <c r="F40" s="5" t="s">
        <v>175</v>
      </c>
      <c r="G40" s="5" t="s">
        <v>17</v>
      </c>
      <c r="H40" s="5" t="s">
        <v>18</v>
      </c>
      <c r="I40" s="5" t="s">
        <v>18</v>
      </c>
      <c r="J40" s="5" t="s">
        <v>19</v>
      </c>
      <c r="K40" s="5"/>
      <c r="L40" s="5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>
      <c r="A41" s="5" t="s">
        <v>387</v>
      </c>
      <c r="B41" s="46" t="s">
        <v>388</v>
      </c>
      <c r="C41" s="47" t="s">
        <v>142</v>
      </c>
      <c r="D41" s="48">
        <v>45470.0</v>
      </c>
      <c r="E41" s="46" t="s">
        <v>389</v>
      </c>
      <c r="F41" s="5" t="s">
        <v>152</v>
      </c>
      <c r="G41" s="5" t="s">
        <v>17</v>
      </c>
      <c r="H41" s="5" t="s">
        <v>24</v>
      </c>
      <c r="I41" s="5" t="s">
        <v>24</v>
      </c>
      <c r="J41" s="5" t="s">
        <v>19</v>
      </c>
      <c r="K41" s="5"/>
      <c r="L41" s="5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>
      <c r="A42" s="5" t="s">
        <v>390</v>
      </c>
      <c r="B42" s="46" t="s">
        <v>391</v>
      </c>
      <c r="C42" s="47" t="s">
        <v>264</v>
      </c>
      <c r="D42" s="48">
        <v>45470.0</v>
      </c>
      <c r="E42" s="46" t="s">
        <v>392</v>
      </c>
      <c r="F42" s="5" t="s">
        <v>179</v>
      </c>
      <c r="G42" s="5" t="s">
        <v>17</v>
      </c>
      <c r="H42" s="5" t="s">
        <v>24</v>
      </c>
      <c r="I42" s="5" t="s">
        <v>24</v>
      </c>
      <c r="J42" s="5" t="s">
        <v>19</v>
      </c>
      <c r="K42" s="5"/>
      <c r="L42" s="5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>
      <c r="A43" s="5" t="s">
        <v>393</v>
      </c>
      <c r="B43" s="46" t="s">
        <v>394</v>
      </c>
      <c r="C43" s="47" t="s">
        <v>395</v>
      </c>
      <c r="D43" s="48">
        <v>45504.0</v>
      </c>
      <c r="E43" s="46" t="s">
        <v>396</v>
      </c>
      <c r="F43" s="5" t="s">
        <v>111</v>
      </c>
      <c r="G43" s="5" t="s">
        <v>112</v>
      </c>
      <c r="H43" s="5" t="s">
        <v>18</v>
      </c>
      <c r="I43" s="5" t="s">
        <v>18</v>
      </c>
      <c r="J43" s="5" t="s">
        <v>19</v>
      </c>
      <c r="K43" s="5"/>
      <c r="L43" s="5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>
      <c r="A44" s="5" t="s">
        <v>397</v>
      </c>
      <c r="B44" s="46" t="s">
        <v>398</v>
      </c>
      <c r="C44" s="47" t="s">
        <v>154</v>
      </c>
      <c r="D44" s="48">
        <v>45505.0</v>
      </c>
      <c r="E44" s="46" t="s">
        <v>399</v>
      </c>
      <c r="F44" s="5" t="s">
        <v>183</v>
      </c>
      <c r="G44" s="5" t="s">
        <v>101</v>
      </c>
      <c r="H44" s="5" t="s">
        <v>24</v>
      </c>
      <c r="I44" s="5" t="s">
        <v>24</v>
      </c>
      <c r="J44" s="5" t="s">
        <v>19</v>
      </c>
      <c r="K44" s="5"/>
      <c r="L44" s="5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>
      <c r="A45" s="5" t="s">
        <v>400</v>
      </c>
      <c r="B45" s="46" t="s">
        <v>401</v>
      </c>
      <c r="C45" s="47" t="s">
        <v>402</v>
      </c>
      <c r="D45" s="48">
        <v>45505.0</v>
      </c>
      <c r="E45" s="46" t="s">
        <v>403</v>
      </c>
      <c r="F45" s="5" t="s">
        <v>140</v>
      </c>
      <c r="G45" s="5" t="s">
        <v>101</v>
      </c>
      <c r="H45" s="5" t="s">
        <v>18</v>
      </c>
      <c r="I45" s="5" t="s">
        <v>18</v>
      </c>
      <c r="J45" s="5" t="s">
        <v>19</v>
      </c>
      <c r="K45" s="5"/>
      <c r="L45" s="5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>
      <c r="A46" s="5" t="s">
        <v>404</v>
      </c>
      <c r="B46" s="46" t="s">
        <v>405</v>
      </c>
      <c r="C46" s="47" t="s">
        <v>115</v>
      </c>
      <c r="D46" s="48">
        <v>45521.0</v>
      </c>
      <c r="E46" s="46" t="s">
        <v>406</v>
      </c>
      <c r="F46" s="5" t="s">
        <v>117</v>
      </c>
      <c r="G46" s="5" t="s">
        <v>101</v>
      </c>
      <c r="H46" s="5" t="s">
        <v>67</v>
      </c>
      <c r="I46" s="5" t="s">
        <v>67</v>
      </c>
      <c r="J46" s="5" t="s">
        <v>19</v>
      </c>
      <c r="K46" s="5"/>
      <c r="L46" s="5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>
      <c r="A47" s="5" t="s">
        <v>407</v>
      </c>
      <c r="B47" s="46" t="s">
        <v>408</v>
      </c>
      <c r="C47" s="47" t="s">
        <v>297</v>
      </c>
      <c r="D47" s="48">
        <v>45526.0</v>
      </c>
      <c r="E47" s="46" t="s">
        <v>409</v>
      </c>
      <c r="F47" s="5" t="s">
        <v>170</v>
      </c>
      <c r="G47" s="5" t="s">
        <v>17</v>
      </c>
      <c r="H47" s="5" t="s">
        <v>67</v>
      </c>
      <c r="I47" s="5" t="s">
        <v>67</v>
      </c>
      <c r="J47" s="5" t="s">
        <v>19</v>
      </c>
      <c r="K47" s="5"/>
      <c r="L47" s="5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>
      <c r="A48" s="5" t="s">
        <v>410</v>
      </c>
      <c r="B48" s="46" t="s">
        <v>411</v>
      </c>
      <c r="C48" s="47" t="s">
        <v>282</v>
      </c>
      <c r="D48" s="48">
        <v>45526.0</v>
      </c>
      <c r="E48" s="46" t="s">
        <v>412</v>
      </c>
      <c r="F48" s="5" t="s">
        <v>181</v>
      </c>
      <c r="G48" s="5" t="s">
        <v>101</v>
      </c>
      <c r="H48" s="5" t="s">
        <v>18</v>
      </c>
      <c r="I48" s="5" t="s">
        <v>18</v>
      </c>
      <c r="J48" s="5" t="s">
        <v>19</v>
      </c>
      <c r="K48" s="5"/>
      <c r="L48" s="5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>
      <c r="A49" s="5" t="s">
        <v>413</v>
      </c>
      <c r="B49" s="46" t="s">
        <v>414</v>
      </c>
      <c r="C49" s="47" t="s">
        <v>286</v>
      </c>
      <c r="D49" s="48">
        <v>45530.0</v>
      </c>
      <c r="E49" s="46" t="s">
        <v>415</v>
      </c>
      <c r="F49" s="5" t="s">
        <v>105</v>
      </c>
      <c r="G49" s="5" t="s">
        <v>106</v>
      </c>
      <c r="H49" s="5" t="s">
        <v>24</v>
      </c>
      <c r="I49" s="5" t="s">
        <v>24</v>
      </c>
      <c r="J49" s="5" t="s">
        <v>113</v>
      </c>
      <c r="K49" s="5"/>
      <c r="L49" s="5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>
      <c r="A50" s="5"/>
      <c r="B50" s="46"/>
      <c r="C50" s="5"/>
      <c r="D50" s="48"/>
      <c r="E50" s="46"/>
      <c r="F50" s="5"/>
      <c r="G50" s="5"/>
      <c r="H50" s="5"/>
      <c r="I50" s="5"/>
      <c r="J50" s="5"/>
      <c r="K50" s="5"/>
      <c r="L50" s="5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>
      <c r="A51" s="5" t="s">
        <v>416</v>
      </c>
      <c r="B51" s="46" t="s">
        <v>417</v>
      </c>
      <c r="C51" s="47" t="s">
        <v>297</v>
      </c>
      <c r="D51" s="48">
        <v>45614.0</v>
      </c>
      <c r="E51" s="46" t="s">
        <v>418</v>
      </c>
      <c r="F51" s="5" t="s">
        <v>148</v>
      </c>
      <c r="G51" s="5" t="s">
        <v>101</v>
      </c>
      <c r="H51" s="5" t="s">
        <v>24</v>
      </c>
      <c r="I51" s="5" t="s">
        <v>67</v>
      </c>
      <c r="J51" s="5" t="s">
        <v>19</v>
      </c>
      <c r="K51" s="5"/>
      <c r="L51" s="5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>
      <c r="A52" s="5" t="s">
        <v>419</v>
      </c>
      <c r="B52" s="46" t="s">
        <v>420</v>
      </c>
      <c r="C52" s="47" t="s">
        <v>131</v>
      </c>
      <c r="D52" s="48">
        <v>45629.0</v>
      </c>
      <c r="E52" s="46" t="s">
        <v>421</v>
      </c>
      <c r="F52" s="5" t="s">
        <v>177</v>
      </c>
      <c r="G52" s="5" t="s">
        <v>17</v>
      </c>
      <c r="H52" s="5" t="s">
        <v>18</v>
      </c>
      <c r="I52" s="5" t="s">
        <v>18</v>
      </c>
      <c r="J52" s="5" t="s">
        <v>19</v>
      </c>
      <c r="K52" s="5"/>
      <c r="L52" s="5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>
      <c r="A53" s="5" t="s">
        <v>422</v>
      </c>
      <c r="B53" s="46" t="s">
        <v>423</v>
      </c>
      <c r="C53" s="47" t="s">
        <v>260</v>
      </c>
      <c r="D53" s="48">
        <v>45686.0</v>
      </c>
      <c r="E53" s="46" t="s">
        <v>424</v>
      </c>
      <c r="F53" s="5" t="s">
        <v>148</v>
      </c>
      <c r="G53" s="5" t="s">
        <v>101</v>
      </c>
      <c r="H53" s="5" t="s">
        <v>18</v>
      </c>
      <c r="I53" s="5" t="s">
        <v>18</v>
      </c>
      <c r="J53" s="5" t="s">
        <v>19</v>
      </c>
      <c r="K53" s="5"/>
      <c r="L53" s="5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>
      <c r="A54" s="5" t="s">
        <v>425</v>
      </c>
      <c r="B54" s="46" t="s">
        <v>426</v>
      </c>
      <c r="C54" s="47" t="s">
        <v>119</v>
      </c>
      <c r="D54" s="48">
        <v>45686.0</v>
      </c>
      <c r="E54" s="46" t="s">
        <v>427</v>
      </c>
      <c r="F54" s="5" t="s">
        <v>156</v>
      </c>
      <c r="G54" s="5" t="s">
        <v>17</v>
      </c>
      <c r="H54" s="5" t="s">
        <v>18</v>
      </c>
      <c r="I54" s="5" t="s">
        <v>24</v>
      </c>
      <c r="J54" s="5" t="s">
        <v>19</v>
      </c>
      <c r="K54" s="5"/>
      <c r="L54" s="5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>
      <c r="A55" s="5" t="s">
        <v>428</v>
      </c>
      <c r="B55" s="46" t="s">
        <v>429</v>
      </c>
      <c r="C55" s="47" t="s">
        <v>127</v>
      </c>
      <c r="D55" s="48">
        <v>45709.0</v>
      </c>
      <c r="E55" s="46" t="s">
        <v>430</v>
      </c>
      <c r="F55" s="5" t="s">
        <v>187</v>
      </c>
      <c r="G55" s="5" t="s">
        <v>106</v>
      </c>
      <c r="H55" s="5" t="s">
        <v>67</v>
      </c>
      <c r="I55" s="5" t="s">
        <v>67</v>
      </c>
      <c r="J55" s="5" t="s">
        <v>113</v>
      </c>
      <c r="K55" s="5"/>
      <c r="L55" s="5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>
      <c r="A56" s="5" t="s">
        <v>431</v>
      </c>
      <c r="B56" s="46" t="s">
        <v>432</v>
      </c>
      <c r="C56" s="47" t="s">
        <v>433</v>
      </c>
      <c r="D56" s="48">
        <v>45727.0</v>
      </c>
      <c r="E56" s="46" t="s">
        <v>434</v>
      </c>
      <c r="F56" s="5" t="s">
        <v>169</v>
      </c>
      <c r="G56" s="5" t="s">
        <v>17</v>
      </c>
      <c r="H56" s="5" t="s">
        <v>24</v>
      </c>
      <c r="I56" s="5" t="s">
        <v>24</v>
      </c>
      <c r="J56" s="5" t="s">
        <v>19</v>
      </c>
      <c r="K56" s="5"/>
      <c r="L56" s="5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>
      <c r="A57" s="5" t="s">
        <v>435</v>
      </c>
      <c r="B57" s="46" t="s">
        <v>436</v>
      </c>
      <c r="C57" s="47" t="s">
        <v>249</v>
      </c>
      <c r="D57" s="48">
        <v>45803.0</v>
      </c>
      <c r="E57" s="46" t="s">
        <v>437</v>
      </c>
      <c r="F57" s="5" t="s">
        <v>182</v>
      </c>
      <c r="G57" s="5" t="s">
        <v>101</v>
      </c>
      <c r="H57" s="5" t="s">
        <v>18</v>
      </c>
      <c r="I57" s="5" t="s">
        <v>18</v>
      </c>
      <c r="J57" s="5" t="s">
        <v>19</v>
      </c>
      <c r="K57" s="5"/>
      <c r="L57" s="5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>
      <c r="A58" s="5" t="s">
        <v>438</v>
      </c>
      <c r="B58" s="46" t="s">
        <v>439</v>
      </c>
      <c r="C58" s="47" t="s">
        <v>402</v>
      </c>
      <c r="D58" s="48">
        <v>45817.0</v>
      </c>
      <c r="E58" s="46" t="s">
        <v>440</v>
      </c>
      <c r="F58" s="5" t="s">
        <v>160</v>
      </c>
      <c r="G58" s="5" t="s">
        <v>17</v>
      </c>
      <c r="H58" s="5" t="s">
        <v>350</v>
      </c>
      <c r="I58" s="5" t="s">
        <v>18</v>
      </c>
      <c r="J58" s="5" t="s">
        <v>19</v>
      </c>
      <c r="K58" s="5"/>
      <c r="L58" s="5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>
      <c r="A59" s="5" t="s">
        <v>441</v>
      </c>
      <c r="B59" s="46" t="s">
        <v>442</v>
      </c>
      <c r="C59" s="47" t="s">
        <v>443</v>
      </c>
      <c r="D59" s="48">
        <v>45834.0</v>
      </c>
      <c r="E59" s="46" t="s">
        <v>444</v>
      </c>
      <c r="F59" s="5" t="s">
        <v>192</v>
      </c>
      <c r="G59" s="5" t="s">
        <v>191</v>
      </c>
      <c r="H59" s="5" t="s">
        <v>18</v>
      </c>
      <c r="I59" s="5" t="s">
        <v>18</v>
      </c>
      <c r="J59" s="5" t="s">
        <v>19</v>
      </c>
      <c r="K59" s="5"/>
      <c r="L59" s="5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>
      <c r="A60" s="5" t="s">
        <v>445</v>
      </c>
      <c r="B60" s="46" t="s">
        <v>446</v>
      </c>
      <c r="C60" s="47" t="s">
        <v>447</v>
      </c>
      <c r="D60" s="48">
        <v>45834.0</v>
      </c>
      <c r="E60" s="46" t="s">
        <v>448</v>
      </c>
      <c r="F60" s="5" t="s">
        <v>193</v>
      </c>
      <c r="G60" s="5" t="s">
        <v>191</v>
      </c>
      <c r="H60" s="5" t="s">
        <v>18</v>
      </c>
      <c r="I60" s="5" t="s">
        <v>18</v>
      </c>
      <c r="J60" s="5" t="s">
        <v>19</v>
      </c>
      <c r="K60" s="5"/>
      <c r="L60" s="5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>
      <c r="A61" s="5" t="s">
        <v>449</v>
      </c>
      <c r="B61" s="46" t="s">
        <v>450</v>
      </c>
      <c r="C61" s="47" t="s">
        <v>451</v>
      </c>
      <c r="D61" s="48">
        <v>45834.0</v>
      </c>
      <c r="E61" s="46" t="s">
        <v>452</v>
      </c>
      <c r="F61" s="5" t="s">
        <v>193</v>
      </c>
      <c r="G61" s="5" t="s">
        <v>191</v>
      </c>
      <c r="H61" s="5" t="s">
        <v>24</v>
      </c>
      <c r="I61" s="5" t="s">
        <v>24</v>
      </c>
      <c r="J61" s="5" t="s">
        <v>19</v>
      </c>
      <c r="K61" s="5"/>
      <c r="L61" s="5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>
      <c r="A62" s="5" t="s">
        <v>453</v>
      </c>
      <c r="B62" s="46" t="s">
        <v>454</v>
      </c>
      <c r="C62" s="47" t="s">
        <v>138</v>
      </c>
      <c r="D62" s="48">
        <v>45834.0</v>
      </c>
      <c r="E62" s="46" t="s">
        <v>455</v>
      </c>
      <c r="F62" s="5" t="s">
        <v>168</v>
      </c>
      <c r="G62" s="5" t="s">
        <v>17</v>
      </c>
      <c r="H62" s="5" t="s">
        <v>67</v>
      </c>
      <c r="I62" s="5" t="s">
        <v>24</v>
      </c>
      <c r="J62" s="5" t="s">
        <v>19</v>
      </c>
      <c r="K62" s="5"/>
      <c r="L62" s="5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>
      <c r="A63" s="49" t="s">
        <v>456</v>
      </c>
      <c r="B63" s="50" t="s">
        <v>457</v>
      </c>
      <c r="C63" s="51" t="s">
        <v>271</v>
      </c>
      <c r="D63" s="52">
        <v>45834.0</v>
      </c>
      <c r="E63" s="50" t="s">
        <v>458</v>
      </c>
      <c r="F63" s="49" t="s">
        <v>105</v>
      </c>
      <c r="G63" s="49" t="s">
        <v>106</v>
      </c>
      <c r="H63" s="49" t="s">
        <v>24</v>
      </c>
      <c r="I63" s="49" t="s">
        <v>24</v>
      </c>
      <c r="J63" s="49" t="s">
        <v>113</v>
      </c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>
      <c r="A64" s="49" t="s">
        <v>459</v>
      </c>
      <c r="B64" s="50" t="s">
        <v>460</v>
      </c>
      <c r="C64" s="51" t="s">
        <v>461</v>
      </c>
      <c r="D64" s="52">
        <v>45834.0</v>
      </c>
      <c r="E64" s="50" t="s">
        <v>462</v>
      </c>
      <c r="F64" s="49" t="s">
        <v>181</v>
      </c>
      <c r="G64" s="49" t="s">
        <v>101</v>
      </c>
      <c r="H64" s="49" t="s">
        <v>24</v>
      </c>
      <c r="I64" s="49" t="s">
        <v>24</v>
      </c>
      <c r="J64" s="49" t="s">
        <v>19</v>
      </c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>
      <c r="A65" s="49" t="s">
        <v>463</v>
      </c>
      <c r="B65" s="50" t="s">
        <v>464</v>
      </c>
      <c r="C65" s="51" t="s">
        <v>343</v>
      </c>
      <c r="D65" s="52">
        <v>45834.0</v>
      </c>
      <c r="E65" s="50" t="s">
        <v>465</v>
      </c>
      <c r="F65" s="49" t="s">
        <v>148</v>
      </c>
      <c r="G65" s="49" t="s">
        <v>101</v>
      </c>
      <c r="H65" s="49" t="s">
        <v>18</v>
      </c>
      <c r="I65" s="49" t="s">
        <v>67</v>
      </c>
      <c r="J65" s="49" t="s">
        <v>19</v>
      </c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>
      <c r="A66" s="49" t="s">
        <v>466</v>
      </c>
      <c r="B66" s="50" t="s">
        <v>467</v>
      </c>
      <c r="C66" s="51" t="s">
        <v>278</v>
      </c>
      <c r="D66" s="52">
        <v>45834.0</v>
      </c>
      <c r="E66" s="50" t="s">
        <v>468</v>
      </c>
      <c r="F66" s="49" t="s">
        <v>185</v>
      </c>
      <c r="G66" s="49" t="s">
        <v>101</v>
      </c>
      <c r="H66" s="49" t="s">
        <v>18</v>
      </c>
      <c r="I66" s="49" t="s">
        <v>24</v>
      </c>
      <c r="J66" s="49" t="s">
        <v>19</v>
      </c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>
      <c r="A67" s="49" t="s">
        <v>469</v>
      </c>
      <c r="B67" s="50" t="s">
        <v>470</v>
      </c>
      <c r="C67" s="51" t="s">
        <v>297</v>
      </c>
      <c r="D67" s="52">
        <v>45834.0</v>
      </c>
      <c r="E67" s="50" t="s">
        <v>471</v>
      </c>
      <c r="F67" s="49" t="s">
        <v>183</v>
      </c>
      <c r="G67" s="49" t="s">
        <v>101</v>
      </c>
      <c r="H67" s="49" t="s">
        <v>67</v>
      </c>
      <c r="I67" s="49" t="s">
        <v>67</v>
      </c>
      <c r="J67" s="49" t="s">
        <v>19</v>
      </c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>
      <c r="A68" s="49" t="s">
        <v>472</v>
      </c>
      <c r="B68" s="50" t="s">
        <v>473</v>
      </c>
      <c r="C68" s="51" t="s">
        <v>343</v>
      </c>
      <c r="D68" s="52">
        <v>45843.0</v>
      </c>
      <c r="E68" s="50" t="s">
        <v>474</v>
      </c>
      <c r="F68" s="49" t="s">
        <v>169</v>
      </c>
      <c r="G68" s="49" t="s">
        <v>17</v>
      </c>
      <c r="H68" s="49" t="s">
        <v>18</v>
      </c>
      <c r="I68" s="49" t="s">
        <v>67</v>
      </c>
      <c r="J68" s="49" t="s">
        <v>19</v>
      </c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>
      <c r="A69" s="49" t="s">
        <v>475</v>
      </c>
      <c r="B69" s="50" t="s">
        <v>476</v>
      </c>
      <c r="C69" s="51" t="s">
        <v>282</v>
      </c>
      <c r="D69" s="52">
        <v>45847.0</v>
      </c>
      <c r="E69" s="50" t="s">
        <v>477</v>
      </c>
      <c r="F69" s="49" t="s">
        <v>183</v>
      </c>
      <c r="G69" s="49" t="s">
        <v>101</v>
      </c>
      <c r="H69" s="49" t="s">
        <v>18</v>
      </c>
      <c r="I69" s="49" t="s">
        <v>18</v>
      </c>
      <c r="J69" s="49" t="s">
        <v>19</v>
      </c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>
      <c r="A70" s="49" t="s">
        <v>478</v>
      </c>
      <c r="B70" s="50" t="s">
        <v>479</v>
      </c>
      <c r="C70" s="51" t="s">
        <v>317</v>
      </c>
      <c r="D70" s="52">
        <v>45853.0</v>
      </c>
      <c r="E70" s="50" t="s">
        <v>480</v>
      </c>
      <c r="F70" s="49" t="s">
        <v>168</v>
      </c>
      <c r="G70" s="49" t="s">
        <v>17</v>
      </c>
      <c r="H70" s="49" t="s">
        <v>18</v>
      </c>
      <c r="I70" s="49" t="s">
        <v>18</v>
      </c>
      <c r="J70" s="49" t="s">
        <v>19</v>
      </c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>
      <c r="A71" s="49" t="s">
        <v>481</v>
      </c>
      <c r="B71" s="50" t="s">
        <v>482</v>
      </c>
      <c r="C71" s="51" t="s">
        <v>332</v>
      </c>
      <c r="D71" s="52">
        <v>45853.0</v>
      </c>
      <c r="E71" s="50" t="s">
        <v>483</v>
      </c>
      <c r="F71" s="49" t="s">
        <v>144</v>
      </c>
      <c r="G71" s="49" t="s">
        <v>17</v>
      </c>
      <c r="H71" s="49" t="s">
        <v>67</v>
      </c>
      <c r="I71" s="49" t="s">
        <v>67</v>
      </c>
      <c r="J71" s="49" t="s">
        <v>19</v>
      </c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>
      <c r="A72" s="49" t="s">
        <v>484</v>
      </c>
      <c r="B72" s="50" t="s">
        <v>485</v>
      </c>
      <c r="C72" s="51" t="s">
        <v>486</v>
      </c>
      <c r="D72" s="52">
        <v>45896.0</v>
      </c>
      <c r="E72" s="50" t="s">
        <v>487</v>
      </c>
      <c r="F72" s="49" t="s">
        <v>167</v>
      </c>
      <c r="G72" s="49" t="s">
        <v>17</v>
      </c>
      <c r="H72" s="49" t="s">
        <v>18</v>
      </c>
      <c r="I72" s="49" t="s">
        <v>18</v>
      </c>
      <c r="J72" s="49" t="s">
        <v>19</v>
      </c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>
      <c r="A73" s="49" t="s">
        <v>488</v>
      </c>
      <c r="B73" s="50" t="s">
        <v>489</v>
      </c>
      <c r="C73" s="51" t="s">
        <v>353</v>
      </c>
      <c r="D73" s="52">
        <v>45896.0</v>
      </c>
      <c r="E73" s="50" t="s">
        <v>490</v>
      </c>
      <c r="F73" s="49" t="s">
        <v>176</v>
      </c>
      <c r="G73" s="49" t="s">
        <v>17</v>
      </c>
      <c r="H73" s="49" t="s">
        <v>18</v>
      </c>
      <c r="I73" s="49" t="s">
        <v>18</v>
      </c>
      <c r="J73" s="49" t="s">
        <v>19</v>
      </c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>
      <c r="A74" s="49" t="s">
        <v>491</v>
      </c>
      <c r="B74" s="50" t="s">
        <v>492</v>
      </c>
      <c r="C74" s="51" t="s">
        <v>253</v>
      </c>
      <c r="D74" s="52">
        <v>45896.0</v>
      </c>
      <c r="E74" s="50" t="s">
        <v>493</v>
      </c>
      <c r="F74" s="49" t="s">
        <v>174</v>
      </c>
      <c r="G74" s="49" t="s">
        <v>17</v>
      </c>
      <c r="H74" s="49" t="s">
        <v>18</v>
      </c>
      <c r="I74" s="49" t="s">
        <v>18</v>
      </c>
      <c r="J74" s="49" t="s">
        <v>19</v>
      </c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>
      <c r="A75" s="49" t="s">
        <v>494</v>
      </c>
      <c r="B75" s="50" t="s">
        <v>495</v>
      </c>
      <c r="C75" s="51" t="s">
        <v>366</v>
      </c>
      <c r="D75" s="52">
        <v>45905.0</v>
      </c>
      <c r="E75" s="50" t="s">
        <v>496</v>
      </c>
      <c r="F75" s="49" t="s">
        <v>184</v>
      </c>
      <c r="G75" s="49" t="s">
        <v>101</v>
      </c>
      <c r="H75" s="49" t="s">
        <v>37</v>
      </c>
      <c r="I75" s="49" t="s">
        <v>37</v>
      </c>
      <c r="J75" s="49" t="s">
        <v>19</v>
      </c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>
      <c r="A76" s="42"/>
      <c r="B76" s="53"/>
      <c r="C76" s="42"/>
      <c r="D76" s="52"/>
      <c r="E76" s="53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>
      <c r="A77" s="42"/>
      <c r="B77" s="53"/>
      <c r="C77" s="42"/>
      <c r="D77" s="52"/>
      <c r="E77" s="53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>
      <c r="A78" s="42"/>
      <c r="B78" s="53"/>
      <c r="C78" s="42"/>
      <c r="D78" s="52"/>
      <c r="E78" s="53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>
      <c r="A79" s="42"/>
      <c r="B79" s="53"/>
      <c r="C79" s="42"/>
      <c r="D79" s="52"/>
      <c r="E79" s="53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>
      <c r="A80" s="42"/>
      <c r="B80" s="53"/>
      <c r="C80" s="42"/>
      <c r="D80" s="52"/>
      <c r="E80" s="53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>
      <c r="A81" s="42"/>
      <c r="B81" s="53"/>
      <c r="C81" s="42"/>
      <c r="D81" s="52"/>
      <c r="E81" s="53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>
      <c r="A82" s="42"/>
      <c r="B82" s="53"/>
      <c r="C82" s="42"/>
      <c r="D82" s="52"/>
      <c r="E82" s="53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>
      <c r="A83" s="42"/>
      <c r="B83" s="53"/>
      <c r="C83" s="42"/>
      <c r="D83" s="52"/>
      <c r="E83" s="53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>
      <c r="A84" s="42"/>
      <c r="B84" s="53"/>
      <c r="C84" s="42"/>
      <c r="D84" s="52"/>
      <c r="E84" s="53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>
      <c r="A85" s="42"/>
      <c r="B85" s="53"/>
      <c r="C85" s="42"/>
      <c r="D85" s="52"/>
      <c r="E85" s="53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>
      <c r="A86" s="42"/>
      <c r="B86" s="53"/>
      <c r="C86" s="42"/>
      <c r="D86" s="52"/>
      <c r="E86" s="53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>
      <c r="A87" s="42"/>
      <c r="B87" s="53"/>
      <c r="C87" s="42"/>
      <c r="D87" s="52"/>
      <c r="E87" s="53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>
      <c r="A88" s="42"/>
      <c r="B88" s="53"/>
      <c r="C88" s="42"/>
      <c r="D88" s="52"/>
      <c r="E88" s="53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>
      <c r="A89" s="42"/>
      <c r="B89" s="53"/>
      <c r="C89" s="42"/>
      <c r="D89" s="52"/>
      <c r="E89" s="53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>
      <c r="A90" s="42"/>
      <c r="B90" s="53"/>
      <c r="C90" s="42"/>
      <c r="D90" s="52"/>
      <c r="E90" s="53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>
      <c r="A91" s="42"/>
      <c r="B91" s="53"/>
      <c r="C91" s="42"/>
      <c r="D91" s="52"/>
      <c r="E91" s="53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>
      <c r="A92" s="42"/>
      <c r="B92" s="53"/>
      <c r="C92" s="42"/>
      <c r="D92" s="52"/>
      <c r="E92" s="53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>
      <c r="A93" s="42"/>
      <c r="B93" s="53"/>
      <c r="C93" s="42"/>
      <c r="D93" s="52"/>
      <c r="E93" s="53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>
      <c r="A94" s="42"/>
      <c r="B94" s="53"/>
      <c r="C94" s="42"/>
      <c r="D94" s="52"/>
      <c r="E94" s="53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>
      <c r="A95" s="42"/>
      <c r="B95" s="53"/>
      <c r="C95" s="42"/>
      <c r="D95" s="52"/>
      <c r="E95" s="53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>
      <c r="A96" s="42"/>
      <c r="B96" s="53"/>
      <c r="C96" s="42"/>
      <c r="D96" s="52"/>
      <c r="E96" s="53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>
      <c r="A97" s="42"/>
      <c r="B97" s="53"/>
      <c r="C97" s="42"/>
      <c r="D97" s="52"/>
      <c r="E97" s="53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>
      <c r="A98" s="42"/>
      <c r="B98" s="53"/>
      <c r="C98" s="42"/>
      <c r="D98" s="52"/>
      <c r="E98" s="53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>
      <c r="A99" s="42"/>
      <c r="B99" s="53"/>
      <c r="C99" s="42"/>
      <c r="D99" s="52"/>
      <c r="E99" s="53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>
      <c r="A100" s="42"/>
      <c r="B100" s="53"/>
      <c r="C100" s="42"/>
      <c r="D100" s="52"/>
      <c r="E100" s="53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>
      <c r="A101" s="42"/>
      <c r="B101" s="53"/>
      <c r="C101" s="42"/>
      <c r="D101" s="52"/>
      <c r="E101" s="53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>
      <c r="A102" s="42"/>
      <c r="B102" s="53"/>
      <c r="C102" s="42"/>
      <c r="D102" s="52"/>
      <c r="E102" s="53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>
      <c r="A103" s="42"/>
      <c r="B103" s="53"/>
      <c r="C103" s="42"/>
      <c r="D103" s="52"/>
      <c r="E103" s="53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>
      <c r="A104" s="42"/>
      <c r="B104" s="53"/>
      <c r="C104" s="42"/>
      <c r="D104" s="52"/>
      <c r="E104" s="53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>
      <c r="A105" s="42"/>
      <c r="B105" s="53"/>
      <c r="C105" s="42"/>
      <c r="D105" s="52"/>
      <c r="E105" s="53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>
      <c r="A106" s="42"/>
      <c r="B106" s="53"/>
      <c r="C106" s="42"/>
      <c r="D106" s="52"/>
      <c r="E106" s="53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>
      <c r="A107" s="42"/>
      <c r="B107" s="53"/>
      <c r="C107" s="42"/>
      <c r="D107" s="52"/>
      <c r="E107" s="53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>
      <c r="A108" s="42"/>
      <c r="B108" s="53"/>
      <c r="C108" s="42"/>
      <c r="D108" s="52"/>
      <c r="E108" s="53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>
      <c r="A109" s="42"/>
      <c r="B109" s="53"/>
      <c r="C109" s="42"/>
      <c r="D109" s="52"/>
      <c r="E109" s="53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>
      <c r="A110" s="42"/>
      <c r="B110" s="53"/>
      <c r="C110" s="42"/>
      <c r="D110" s="52"/>
      <c r="E110" s="53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>
      <c r="A111" s="42"/>
      <c r="B111" s="53"/>
      <c r="C111" s="42"/>
      <c r="D111" s="52"/>
      <c r="E111" s="53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>
      <c r="A112" s="42"/>
      <c r="B112" s="53"/>
      <c r="C112" s="42"/>
      <c r="D112" s="52"/>
      <c r="E112" s="53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>
      <c r="A113" s="42"/>
      <c r="B113" s="53"/>
      <c r="C113" s="42"/>
      <c r="D113" s="52"/>
      <c r="E113" s="53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>
      <c r="A114" s="42"/>
      <c r="B114" s="53"/>
      <c r="C114" s="42"/>
      <c r="D114" s="52"/>
      <c r="E114" s="53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>
      <c r="A115" s="42"/>
      <c r="B115" s="53"/>
      <c r="C115" s="42"/>
      <c r="D115" s="52"/>
      <c r="E115" s="53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>
      <c r="A116" s="42"/>
      <c r="B116" s="53"/>
      <c r="C116" s="42"/>
      <c r="D116" s="52"/>
      <c r="E116" s="53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>
      <c r="A117" s="42"/>
      <c r="B117" s="53"/>
      <c r="C117" s="42"/>
      <c r="D117" s="52"/>
      <c r="E117" s="53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>
      <c r="A118" s="42"/>
      <c r="B118" s="53"/>
      <c r="C118" s="42"/>
      <c r="D118" s="52"/>
      <c r="E118" s="53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>
      <c r="A119" s="42"/>
      <c r="B119" s="53"/>
      <c r="C119" s="42"/>
      <c r="D119" s="52"/>
      <c r="E119" s="53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>
      <c r="A120" s="42"/>
      <c r="B120" s="53"/>
      <c r="C120" s="42"/>
      <c r="D120" s="52"/>
      <c r="E120" s="53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>
      <c r="A121" s="42"/>
      <c r="B121" s="53"/>
      <c r="C121" s="42"/>
      <c r="D121" s="52"/>
      <c r="E121" s="53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>
      <c r="A122" s="42"/>
      <c r="B122" s="53"/>
      <c r="C122" s="42"/>
      <c r="D122" s="52"/>
      <c r="E122" s="53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>
      <c r="A123" s="42"/>
      <c r="B123" s="53"/>
      <c r="C123" s="42"/>
      <c r="D123" s="52"/>
      <c r="E123" s="53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>
      <c r="A124" s="42"/>
      <c r="B124" s="53"/>
      <c r="C124" s="42"/>
      <c r="D124" s="52"/>
      <c r="E124" s="53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>
      <c r="A125" s="42"/>
      <c r="B125" s="53"/>
      <c r="C125" s="42"/>
      <c r="D125" s="52"/>
      <c r="E125" s="53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>
      <c r="A126" s="42"/>
      <c r="B126" s="53"/>
      <c r="C126" s="42"/>
      <c r="D126" s="52"/>
      <c r="E126" s="53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>
      <c r="A127" s="42"/>
      <c r="B127" s="53"/>
      <c r="C127" s="42"/>
      <c r="D127" s="52"/>
      <c r="E127" s="53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>
      <c r="A128" s="42"/>
      <c r="B128" s="53"/>
      <c r="C128" s="42"/>
      <c r="D128" s="52"/>
      <c r="E128" s="53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>
      <c r="A129" s="42"/>
      <c r="B129" s="53"/>
      <c r="C129" s="42"/>
      <c r="D129" s="52"/>
      <c r="E129" s="53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>
      <c r="A130" s="42"/>
      <c r="B130" s="53"/>
      <c r="C130" s="42"/>
      <c r="D130" s="52"/>
      <c r="E130" s="53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>
      <c r="A131" s="42"/>
      <c r="B131" s="53"/>
      <c r="C131" s="42"/>
      <c r="D131" s="52"/>
      <c r="E131" s="53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>
      <c r="A132" s="42"/>
      <c r="B132" s="53"/>
      <c r="C132" s="42"/>
      <c r="D132" s="52"/>
      <c r="E132" s="53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>
      <c r="A133" s="42"/>
      <c r="B133" s="53"/>
      <c r="C133" s="42"/>
      <c r="D133" s="52"/>
      <c r="E133" s="53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>
      <c r="A134" s="42"/>
      <c r="B134" s="53"/>
      <c r="C134" s="42"/>
      <c r="D134" s="52"/>
      <c r="E134" s="53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>
      <c r="A135" s="42"/>
      <c r="B135" s="53"/>
      <c r="C135" s="42"/>
      <c r="D135" s="52"/>
      <c r="E135" s="53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>
      <c r="A136" s="42"/>
      <c r="B136" s="53"/>
      <c r="C136" s="42"/>
      <c r="D136" s="52"/>
      <c r="E136" s="53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>
      <c r="A137" s="42"/>
      <c r="B137" s="53"/>
      <c r="C137" s="42"/>
      <c r="D137" s="52"/>
      <c r="E137" s="53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>
      <c r="A138" s="42"/>
      <c r="B138" s="53"/>
      <c r="C138" s="42"/>
      <c r="D138" s="52"/>
      <c r="E138" s="53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>
      <c r="A139" s="42"/>
      <c r="B139" s="53"/>
      <c r="C139" s="42"/>
      <c r="D139" s="52"/>
      <c r="E139" s="53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>
      <c r="A140" s="42"/>
      <c r="B140" s="53"/>
      <c r="C140" s="42"/>
      <c r="D140" s="52"/>
      <c r="E140" s="53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>
      <c r="A141" s="42"/>
      <c r="B141" s="53"/>
      <c r="C141" s="42"/>
      <c r="D141" s="52"/>
      <c r="E141" s="53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>
      <c r="A142" s="42"/>
      <c r="B142" s="53"/>
      <c r="C142" s="42"/>
      <c r="D142" s="52"/>
      <c r="E142" s="53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>
      <c r="A143" s="42"/>
      <c r="B143" s="53"/>
      <c r="C143" s="42"/>
      <c r="D143" s="52"/>
      <c r="E143" s="53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>
      <c r="A144" s="42"/>
      <c r="B144" s="53"/>
      <c r="C144" s="42"/>
      <c r="D144" s="52"/>
      <c r="E144" s="53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>
      <c r="A145" s="42"/>
      <c r="B145" s="53"/>
      <c r="C145" s="42"/>
      <c r="D145" s="52"/>
      <c r="E145" s="53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>
      <c r="A146" s="42"/>
      <c r="B146" s="53"/>
      <c r="C146" s="42"/>
      <c r="D146" s="52"/>
      <c r="E146" s="53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>
      <c r="A147" s="42"/>
      <c r="B147" s="53"/>
      <c r="C147" s="42"/>
      <c r="D147" s="52"/>
      <c r="E147" s="53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>
      <c r="A148" s="42"/>
      <c r="B148" s="53"/>
      <c r="C148" s="42"/>
      <c r="D148" s="52"/>
      <c r="E148" s="53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>
      <c r="A149" s="42"/>
      <c r="B149" s="53"/>
      <c r="C149" s="42"/>
      <c r="D149" s="52"/>
      <c r="E149" s="53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>
      <c r="A150" s="42"/>
      <c r="B150" s="53"/>
      <c r="C150" s="42"/>
      <c r="D150" s="52"/>
      <c r="E150" s="53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>
      <c r="A151" s="42"/>
      <c r="B151" s="53"/>
      <c r="C151" s="42"/>
      <c r="D151" s="52"/>
      <c r="E151" s="53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>
      <c r="A152" s="42"/>
      <c r="B152" s="53"/>
      <c r="C152" s="42"/>
      <c r="D152" s="52"/>
      <c r="E152" s="53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>
      <c r="A153" s="42"/>
      <c r="B153" s="53"/>
      <c r="C153" s="42"/>
      <c r="D153" s="52"/>
      <c r="E153" s="53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>
      <c r="A154" s="42"/>
      <c r="B154" s="53"/>
      <c r="C154" s="42"/>
      <c r="D154" s="52"/>
      <c r="E154" s="53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>
      <c r="A155" s="42"/>
      <c r="B155" s="53"/>
      <c r="C155" s="42"/>
      <c r="D155" s="52"/>
      <c r="E155" s="53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>
      <c r="A156" s="42"/>
      <c r="B156" s="53"/>
      <c r="C156" s="42"/>
      <c r="D156" s="52"/>
      <c r="E156" s="53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>
      <c r="A157" s="42"/>
      <c r="B157" s="53"/>
      <c r="C157" s="42"/>
      <c r="D157" s="52"/>
      <c r="E157" s="53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>
      <c r="A158" s="42"/>
      <c r="B158" s="53"/>
      <c r="C158" s="42"/>
      <c r="D158" s="52"/>
      <c r="E158" s="53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>
      <c r="A159" s="42"/>
      <c r="B159" s="53"/>
      <c r="C159" s="42"/>
      <c r="D159" s="52"/>
      <c r="E159" s="53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>
      <c r="A160" s="42"/>
      <c r="B160" s="53"/>
      <c r="C160" s="42"/>
      <c r="D160" s="52"/>
      <c r="E160" s="53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>
      <c r="A161" s="42"/>
      <c r="B161" s="53"/>
      <c r="C161" s="42"/>
      <c r="D161" s="52"/>
      <c r="E161" s="53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>
      <c r="A162" s="42"/>
      <c r="B162" s="53"/>
      <c r="C162" s="42"/>
      <c r="D162" s="52"/>
      <c r="E162" s="53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>
      <c r="A163" s="42"/>
      <c r="B163" s="53"/>
      <c r="C163" s="42"/>
      <c r="D163" s="52"/>
      <c r="E163" s="53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>
      <c r="A164" s="42"/>
      <c r="B164" s="53"/>
      <c r="C164" s="42"/>
      <c r="D164" s="52"/>
      <c r="E164" s="53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>
      <c r="A165" s="42"/>
      <c r="B165" s="53"/>
      <c r="C165" s="42"/>
      <c r="D165" s="52"/>
      <c r="E165" s="53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>
      <c r="A166" s="42"/>
      <c r="B166" s="53"/>
      <c r="C166" s="42"/>
      <c r="D166" s="52"/>
      <c r="E166" s="53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>
      <c r="A167" s="42"/>
      <c r="B167" s="53"/>
      <c r="C167" s="42"/>
      <c r="D167" s="52"/>
      <c r="E167" s="53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>
      <c r="A168" s="42"/>
      <c r="B168" s="53"/>
      <c r="C168" s="42"/>
      <c r="D168" s="52"/>
      <c r="E168" s="53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>
      <c r="A169" s="42"/>
      <c r="B169" s="53"/>
      <c r="C169" s="42"/>
      <c r="D169" s="52"/>
      <c r="E169" s="53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>
      <c r="A170" s="42"/>
      <c r="B170" s="53"/>
      <c r="C170" s="42"/>
      <c r="D170" s="52"/>
      <c r="E170" s="53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>
      <c r="A171" s="42"/>
      <c r="B171" s="53"/>
      <c r="C171" s="42"/>
      <c r="D171" s="52"/>
      <c r="E171" s="53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>
      <c r="A172" s="42"/>
      <c r="B172" s="53"/>
      <c r="C172" s="42"/>
      <c r="D172" s="52"/>
      <c r="E172" s="53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>
      <c r="A173" s="42"/>
      <c r="B173" s="53"/>
      <c r="C173" s="42"/>
      <c r="D173" s="52"/>
      <c r="E173" s="53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>
      <c r="A174" s="42"/>
      <c r="B174" s="53"/>
      <c r="C174" s="42"/>
      <c r="D174" s="52"/>
      <c r="E174" s="53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>
      <c r="A175" s="42"/>
      <c r="B175" s="53"/>
      <c r="C175" s="42"/>
      <c r="D175" s="52"/>
      <c r="E175" s="53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>
      <c r="A176" s="42"/>
      <c r="B176" s="53"/>
      <c r="C176" s="42"/>
      <c r="D176" s="52"/>
      <c r="E176" s="53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>
      <c r="A177" s="42"/>
      <c r="B177" s="53"/>
      <c r="C177" s="42"/>
      <c r="D177" s="52"/>
      <c r="E177" s="53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>
      <c r="A178" s="42"/>
      <c r="B178" s="53"/>
      <c r="C178" s="42"/>
      <c r="D178" s="52"/>
      <c r="E178" s="53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>
      <c r="A179" s="42"/>
      <c r="B179" s="53"/>
      <c r="C179" s="42"/>
      <c r="D179" s="52"/>
      <c r="E179" s="53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>
      <c r="A180" s="42"/>
      <c r="B180" s="53"/>
      <c r="C180" s="42"/>
      <c r="D180" s="52"/>
      <c r="E180" s="53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>
      <c r="A181" s="42"/>
      <c r="B181" s="53"/>
      <c r="C181" s="42"/>
      <c r="D181" s="52"/>
      <c r="E181" s="53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>
      <c r="A182" s="42"/>
      <c r="B182" s="53"/>
      <c r="C182" s="42"/>
      <c r="D182" s="52"/>
      <c r="E182" s="53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>
      <c r="A183" s="42"/>
      <c r="B183" s="53"/>
      <c r="C183" s="42"/>
      <c r="D183" s="52"/>
      <c r="E183" s="53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>
      <c r="A184" s="42"/>
      <c r="B184" s="53"/>
      <c r="C184" s="42"/>
      <c r="D184" s="52"/>
      <c r="E184" s="53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>
      <c r="A185" s="42"/>
      <c r="B185" s="53"/>
      <c r="C185" s="42"/>
      <c r="D185" s="52"/>
      <c r="E185" s="53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>
      <c r="A186" s="42"/>
      <c r="B186" s="53"/>
      <c r="C186" s="42"/>
      <c r="D186" s="52"/>
      <c r="E186" s="53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>
      <c r="A187" s="42"/>
      <c r="B187" s="53"/>
      <c r="C187" s="42"/>
      <c r="D187" s="52"/>
      <c r="E187" s="53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>
      <c r="A188" s="42"/>
      <c r="B188" s="53"/>
      <c r="C188" s="42"/>
      <c r="D188" s="52"/>
      <c r="E188" s="53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>
      <c r="A189" s="42"/>
      <c r="B189" s="53"/>
      <c r="C189" s="42"/>
      <c r="D189" s="52"/>
      <c r="E189" s="53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>
      <c r="A190" s="42"/>
      <c r="B190" s="53"/>
      <c r="C190" s="42"/>
      <c r="D190" s="52"/>
      <c r="E190" s="53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>
      <c r="A191" s="42"/>
      <c r="B191" s="53"/>
      <c r="C191" s="42"/>
      <c r="D191" s="52"/>
      <c r="E191" s="53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>
      <c r="A192" s="42"/>
      <c r="B192" s="53"/>
      <c r="C192" s="42"/>
      <c r="D192" s="52"/>
      <c r="E192" s="53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>
      <c r="A193" s="42"/>
      <c r="B193" s="53"/>
      <c r="C193" s="42"/>
      <c r="D193" s="52"/>
      <c r="E193" s="53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>
      <c r="A194" s="42"/>
      <c r="B194" s="53"/>
      <c r="C194" s="42"/>
      <c r="D194" s="52"/>
      <c r="E194" s="53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>
      <c r="A195" s="42"/>
      <c r="B195" s="53"/>
      <c r="C195" s="42"/>
      <c r="D195" s="52"/>
      <c r="E195" s="53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>
      <c r="A196" s="42"/>
      <c r="B196" s="53"/>
      <c r="C196" s="42"/>
      <c r="D196" s="52"/>
      <c r="E196" s="53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>
      <c r="A197" s="42"/>
      <c r="B197" s="53"/>
      <c r="C197" s="42"/>
      <c r="D197" s="52"/>
      <c r="E197" s="53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>
      <c r="A198" s="42"/>
      <c r="B198" s="53"/>
      <c r="C198" s="42"/>
      <c r="D198" s="52"/>
      <c r="E198" s="53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>
      <c r="A199" s="42"/>
      <c r="B199" s="53"/>
      <c r="C199" s="42"/>
      <c r="D199" s="52"/>
      <c r="E199" s="53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>
      <c r="A200" s="42"/>
      <c r="B200" s="53"/>
      <c r="C200" s="42"/>
      <c r="D200" s="52"/>
      <c r="E200" s="53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>
      <c r="A201" s="42"/>
      <c r="B201" s="53"/>
      <c r="C201" s="42"/>
      <c r="D201" s="52"/>
      <c r="E201" s="53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>
      <c r="A202" s="42"/>
      <c r="B202" s="53"/>
      <c r="C202" s="42"/>
      <c r="D202" s="52"/>
      <c r="E202" s="53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>
      <c r="A203" s="42"/>
      <c r="B203" s="53"/>
      <c r="C203" s="42"/>
      <c r="D203" s="52"/>
      <c r="E203" s="53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>
      <c r="A204" s="42"/>
      <c r="B204" s="53"/>
      <c r="C204" s="42"/>
      <c r="D204" s="52"/>
      <c r="E204" s="53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>
      <c r="A205" s="42"/>
      <c r="B205" s="53"/>
      <c r="C205" s="42"/>
      <c r="D205" s="52"/>
      <c r="E205" s="53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>
      <c r="A206" s="42"/>
      <c r="B206" s="53"/>
      <c r="C206" s="42"/>
      <c r="D206" s="52"/>
      <c r="E206" s="53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>
      <c r="A207" s="42"/>
      <c r="B207" s="53"/>
      <c r="C207" s="42"/>
      <c r="D207" s="52"/>
      <c r="E207" s="53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>
      <c r="A208" s="42"/>
      <c r="B208" s="53"/>
      <c r="C208" s="42"/>
      <c r="D208" s="52"/>
      <c r="E208" s="53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>
      <c r="A209" s="42"/>
      <c r="B209" s="53"/>
      <c r="C209" s="42"/>
      <c r="D209" s="52"/>
      <c r="E209" s="53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>
      <c r="A210" s="42"/>
      <c r="B210" s="53"/>
      <c r="C210" s="42"/>
      <c r="D210" s="52"/>
      <c r="E210" s="53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>
      <c r="A211" s="42"/>
      <c r="B211" s="53"/>
      <c r="C211" s="42"/>
      <c r="D211" s="52"/>
      <c r="E211" s="53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>
      <c r="A212" s="42"/>
      <c r="B212" s="53"/>
      <c r="C212" s="42"/>
      <c r="D212" s="52"/>
      <c r="E212" s="53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>
      <c r="A213" s="42"/>
      <c r="B213" s="53"/>
      <c r="C213" s="42"/>
      <c r="D213" s="52"/>
      <c r="E213" s="53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>
      <c r="A214" s="42"/>
      <c r="B214" s="53"/>
      <c r="C214" s="42"/>
      <c r="D214" s="52"/>
      <c r="E214" s="53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>
      <c r="A215" s="42"/>
      <c r="B215" s="53"/>
      <c r="C215" s="42"/>
      <c r="D215" s="52"/>
      <c r="E215" s="53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>
      <c r="A216" s="42"/>
      <c r="B216" s="53"/>
      <c r="C216" s="42"/>
      <c r="D216" s="52"/>
      <c r="E216" s="53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>
      <c r="A217" s="42"/>
      <c r="B217" s="53"/>
      <c r="C217" s="42"/>
      <c r="D217" s="52"/>
      <c r="E217" s="53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>
      <c r="A218" s="42"/>
      <c r="B218" s="53"/>
      <c r="C218" s="42"/>
      <c r="D218" s="52"/>
      <c r="E218" s="53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>
      <c r="A219" s="42"/>
      <c r="B219" s="53"/>
      <c r="C219" s="42"/>
      <c r="D219" s="52"/>
      <c r="E219" s="53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>
      <c r="A220" s="42"/>
      <c r="B220" s="53"/>
      <c r="C220" s="42"/>
      <c r="D220" s="52"/>
      <c r="E220" s="53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>
      <c r="A221" s="42"/>
      <c r="B221" s="53"/>
      <c r="C221" s="42"/>
      <c r="D221" s="52"/>
      <c r="E221" s="53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>
      <c r="A222" s="42"/>
      <c r="B222" s="53"/>
      <c r="C222" s="42"/>
      <c r="D222" s="52"/>
      <c r="E222" s="53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>
      <c r="A223" s="42"/>
      <c r="B223" s="53"/>
      <c r="C223" s="42"/>
      <c r="D223" s="52"/>
      <c r="E223" s="53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>
      <c r="A224" s="42"/>
      <c r="B224" s="53"/>
      <c r="C224" s="42"/>
      <c r="D224" s="52"/>
      <c r="E224" s="53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>
      <c r="A225" s="42"/>
      <c r="B225" s="53"/>
      <c r="C225" s="42"/>
      <c r="D225" s="52"/>
      <c r="E225" s="53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>
      <c r="A226" s="42"/>
      <c r="B226" s="53"/>
      <c r="C226" s="42"/>
      <c r="D226" s="52"/>
      <c r="E226" s="53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>
      <c r="A227" s="42"/>
      <c r="B227" s="53"/>
      <c r="C227" s="42"/>
      <c r="D227" s="52"/>
      <c r="E227" s="53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>
      <c r="A228" s="42"/>
      <c r="B228" s="53"/>
      <c r="C228" s="42"/>
      <c r="D228" s="52"/>
      <c r="E228" s="53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>
      <c r="A229" s="42"/>
      <c r="B229" s="53"/>
      <c r="C229" s="42"/>
      <c r="D229" s="52"/>
      <c r="E229" s="53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>
      <c r="A230" s="42"/>
      <c r="B230" s="53"/>
      <c r="C230" s="42"/>
      <c r="D230" s="52"/>
      <c r="E230" s="53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>
      <c r="A231" s="42"/>
      <c r="B231" s="53"/>
      <c r="C231" s="42"/>
      <c r="D231" s="52"/>
      <c r="E231" s="53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>
      <c r="A232" s="42"/>
      <c r="B232" s="53"/>
      <c r="C232" s="42"/>
      <c r="D232" s="52"/>
      <c r="E232" s="53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>
      <c r="A233" s="42"/>
      <c r="B233" s="53"/>
      <c r="C233" s="42"/>
      <c r="D233" s="52"/>
      <c r="E233" s="53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>
      <c r="A234" s="42"/>
      <c r="B234" s="53"/>
      <c r="C234" s="42"/>
      <c r="D234" s="52"/>
      <c r="E234" s="53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>
      <c r="A235" s="42"/>
      <c r="B235" s="53"/>
      <c r="C235" s="42"/>
      <c r="D235" s="52"/>
      <c r="E235" s="53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>
      <c r="A236" s="42"/>
      <c r="B236" s="53"/>
      <c r="C236" s="42"/>
      <c r="D236" s="52"/>
      <c r="E236" s="53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</row>
    <row r="237">
      <c r="A237" s="42"/>
      <c r="B237" s="53"/>
      <c r="C237" s="42"/>
      <c r="D237" s="52"/>
      <c r="E237" s="53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</row>
    <row r="238">
      <c r="A238" s="42"/>
      <c r="B238" s="53"/>
      <c r="C238" s="42"/>
      <c r="D238" s="52"/>
      <c r="E238" s="53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>
      <c r="A239" s="42"/>
      <c r="B239" s="53"/>
      <c r="C239" s="42"/>
      <c r="D239" s="52"/>
      <c r="E239" s="53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</row>
    <row r="240">
      <c r="A240" s="42"/>
      <c r="B240" s="53"/>
      <c r="C240" s="42"/>
      <c r="D240" s="52"/>
      <c r="E240" s="53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</row>
    <row r="241">
      <c r="A241" s="42"/>
      <c r="B241" s="53"/>
      <c r="C241" s="42"/>
      <c r="D241" s="52"/>
      <c r="E241" s="53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</row>
    <row r="242">
      <c r="A242" s="42"/>
      <c r="B242" s="53"/>
      <c r="C242" s="42"/>
      <c r="D242" s="52"/>
      <c r="E242" s="53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</row>
    <row r="243">
      <c r="A243" s="42"/>
      <c r="B243" s="53"/>
      <c r="C243" s="42"/>
      <c r="D243" s="52"/>
      <c r="E243" s="53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</row>
    <row r="244">
      <c r="A244" s="42"/>
      <c r="B244" s="53"/>
      <c r="C244" s="42"/>
      <c r="D244" s="52"/>
      <c r="E244" s="53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</row>
    <row r="245">
      <c r="A245" s="42"/>
      <c r="B245" s="53"/>
      <c r="C245" s="42"/>
      <c r="D245" s="52"/>
      <c r="E245" s="53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</row>
    <row r="246">
      <c r="A246" s="42"/>
      <c r="B246" s="53"/>
      <c r="C246" s="42"/>
      <c r="D246" s="52"/>
      <c r="E246" s="53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>
      <c r="A247" s="42"/>
      <c r="B247" s="53"/>
      <c r="C247" s="42"/>
      <c r="D247" s="52"/>
      <c r="E247" s="53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</row>
    <row r="248">
      <c r="A248" s="42"/>
      <c r="B248" s="53"/>
      <c r="C248" s="42"/>
      <c r="D248" s="52"/>
      <c r="E248" s="53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</row>
    <row r="249">
      <c r="A249" s="42"/>
      <c r="B249" s="53"/>
      <c r="C249" s="42"/>
      <c r="D249" s="52"/>
      <c r="E249" s="53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</row>
    <row r="250">
      <c r="A250" s="42"/>
      <c r="B250" s="53"/>
      <c r="C250" s="42"/>
      <c r="D250" s="52"/>
      <c r="E250" s="53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>
      <c r="A251" s="42"/>
      <c r="B251" s="53"/>
      <c r="C251" s="42"/>
      <c r="D251" s="52"/>
      <c r="E251" s="53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</row>
    <row r="252">
      <c r="A252" s="42"/>
      <c r="B252" s="53"/>
      <c r="C252" s="42"/>
      <c r="D252" s="52"/>
      <c r="E252" s="53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>
      <c r="A253" s="42"/>
      <c r="B253" s="53"/>
      <c r="C253" s="42"/>
      <c r="D253" s="52"/>
      <c r="E253" s="53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</row>
    <row r="254">
      <c r="A254" s="42"/>
      <c r="B254" s="53"/>
      <c r="C254" s="42"/>
      <c r="D254" s="52"/>
      <c r="E254" s="53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</row>
    <row r="255">
      <c r="A255" s="42"/>
      <c r="B255" s="53"/>
      <c r="C255" s="42"/>
      <c r="D255" s="52"/>
      <c r="E255" s="53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</row>
    <row r="256">
      <c r="A256" s="42"/>
      <c r="B256" s="53"/>
      <c r="C256" s="42"/>
      <c r="D256" s="52"/>
      <c r="E256" s="53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</row>
    <row r="257">
      <c r="A257" s="42"/>
      <c r="B257" s="53"/>
      <c r="C257" s="42"/>
      <c r="D257" s="52"/>
      <c r="E257" s="53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</row>
    <row r="258">
      <c r="A258" s="42"/>
      <c r="B258" s="53"/>
      <c r="C258" s="42"/>
      <c r="D258" s="52"/>
      <c r="E258" s="53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</row>
    <row r="259">
      <c r="A259" s="42"/>
      <c r="B259" s="53"/>
      <c r="C259" s="42"/>
      <c r="D259" s="52"/>
      <c r="E259" s="53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</row>
    <row r="260">
      <c r="A260" s="42"/>
      <c r="B260" s="53"/>
      <c r="C260" s="42"/>
      <c r="D260" s="52"/>
      <c r="E260" s="53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</row>
    <row r="261">
      <c r="A261" s="42"/>
      <c r="B261" s="53"/>
      <c r="C261" s="42"/>
      <c r="D261" s="52"/>
      <c r="E261" s="53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</row>
    <row r="262">
      <c r="A262" s="42"/>
      <c r="B262" s="53"/>
      <c r="C262" s="42"/>
      <c r="D262" s="52"/>
      <c r="E262" s="53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</row>
    <row r="263">
      <c r="A263" s="42"/>
      <c r="B263" s="53"/>
      <c r="C263" s="42"/>
      <c r="D263" s="52"/>
      <c r="E263" s="53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>
      <c r="A264" s="42"/>
      <c r="B264" s="53"/>
      <c r="C264" s="42"/>
      <c r="D264" s="52"/>
      <c r="E264" s="53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>
      <c r="A265" s="42"/>
      <c r="B265" s="53"/>
      <c r="C265" s="42"/>
      <c r="D265" s="52"/>
      <c r="E265" s="53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>
      <c r="A266" s="42"/>
      <c r="B266" s="53"/>
      <c r="C266" s="42"/>
      <c r="D266" s="52"/>
      <c r="E266" s="53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>
      <c r="A267" s="42"/>
      <c r="B267" s="53"/>
      <c r="C267" s="42"/>
      <c r="D267" s="52"/>
      <c r="E267" s="53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>
      <c r="A268" s="42"/>
      <c r="B268" s="53"/>
      <c r="C268" s="42"/>
      <c r="D268" s="52"/>
      <c r="E268" s="53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>
      <c r="A269" s="42"/>
      <c r="B269" s="53"/>
      <c r="C269" s="42"/>
      <c r="D269" s="52"/>
      <c r="E269" s="53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>
      <c r="A270" s="42"/>
      <c r="B270" s="53"/>
      <c r="C270" s="42"/>
      <c r="D270" s="52"/>
      <c r="E270" s="53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>
      <c r="A271" s="42"/>
      <c r="B271" s="53"/>
      <c r="C271" s="42"/>
      <c r="D271" s="52"/>
      <c r="E271" s="53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>
      <c r="A272" s="42"/>
      <c r="B272" s="53"/>
      <c r="C272" s="42"/>
      <c r="D272" s="52"/>
      <c r="E272" s="53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>
      <c r="A273" s="42"/>
      <c r="B273" s="53"/>
      <c r="C273" s="42"/>
      <c r="D273" s="52"/>
      <c r="E273" s="53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>
      <c r="A274" s="42"/>
      <c r="B274" s="53"/>
      <c r="C274" s="42"/>
      <c r="D274" s="52"/>
      <c r="E274" s="53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</row>
    <row r="275">
      <c r="A275" s="42"/>
      <c r="B275" s="53"/>
      <c r="C275" s="42"/>
      <c r="D275" s="52"/>
      <c r="E275" s="53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</row>
    <row r="276">
      <c r="A276" s="42"/>
      <c r="B276" s="53"/>
      <c r="C276" s="42"/>
      <c r="D276" s="52"/>
      <c r="E276" s="53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</row>
    <row r="277">
      <c r="A277" s="42"/>
      <c r="B277" s="53"/>
      <c r="C277" s="42"/>
      <c r="D277" s="52"/>
      <c r="E277" s="53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>
      <c r="A278" s="42"/>
      <c r="B278" s="53"/>
      <c r="C278" s="42"/>
      <c r="D278" s="52"/>
      <c r="E278" s="53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>
      <c r="A279" s="42"/>
      <c r="B279" s="53"/>
      <c r="C279" s="42"/>
      <c r="D279" s="52"/>
      <c r="E279" s="53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</row>
    <row r="280">
      <c r="A280" s="42"/>
      <c r="B280" s="53"/>
      <c r="C280" s="42"/>
      <c r="D280" s="52"/>
      <c r="E280" s="53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>
      <c r="A281" s="42"/>
      <c r="B281" s="53"/>
      <c r="C281" s="42"/>
      <c r="D281" s="52"/>
      <c r="E281" s="53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>
      <c r="A282" s="42"/>
      <c r="B282" s="53"/>
      <c r="C282" s="42"/>
      <c r="D282" s="52"/>
      <c r="E282" s="53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>
      <c r="A283" s="42"/>
      <c r="B283" s="53"/>
      <c r="C283" s="42"/>
      <c r="D283" s="52"/>
      <c r="E283" s="53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>
      <c r="A284" s="42"/>
      <c r="B284" s="53"/>
      <c r="C284" s="42"/>
      <c r="D284" s="52"/>
      <c r="E284" s="53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>
      <c r="A285" s="42"/>
      <c r="B285" s="53"/>
      <c r="C285" s="42"/>
      <c r="D285" s="52"/>
      <c r="E285" s="53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</row>
    <row r="286">
      <c r="A286" s="42"/>
      <c r="B286" s="53"/>
      <c r="C286" s="42"/>
      <c r="D286" s="52"/>
      <c r="E286" s="53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>
      <c r="A287" s="42"/>
      <c r="B287" s="53"/>
      <c r="C287" s="42"/>
      <c r="D287" s="52"/>
      <c r="E287" s="53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>
      <c r="A288" s="42"/>
      <c r="B288" s="53"/>
      <c r="C288" s="42"/>
      <c r="D288" s="52"/>
      <c r="E288" s="53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</row>
    <row r="289">
      <c r="A289" s="42"/>
      <c r="B289" s="53"/>
      <c r="C289" s="42"/>
      <c r="D289" s="52"/>
      <c r="E289" s="53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</row>
    <row r="290">
      <c r="A290" s="42"/>
      <c r="B290" s="53"/>
      <c r="C290" s="42"/>
      <c r="D290" s="52"/>
      <c r="E290" s="53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</row>
    <row r="291">
      <c r="A291" s="42"/>
      <c r="B291" s="53"/>
      <c r="C291" s="42"/>
      <c r="D291" s="52"/>
      <c r="E291" s="53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</row>
    <row r="292">
      <c r="A292" s="42"/>
      <c r="B292" s="53"/>
      <c r="C292" s="42"/>
      <c r="D292" s="52"/>
      <c r="E292" s="53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</row>
    <row r="293">
      <c r="A293" s="42"/>
      <c r="B293" s="53"/>
      <c r="C293" s="42"/>
      <c r="D293" s="52"/>
      <c r="E293" s="53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</row>
    <row r="294">
      <c r="A294" s="42"/>
      <c r="B294" s="53"/>
      <c r="C294" s="42"/>
      <c r="D294" s="52"/>
      <c r="E294" s="53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</row>
    <row r="295">
      <c r="A295" s="42"/>
      <c r="B295" s="53"/>
      <c r="C295" s="42"/>
      <c r="D295" s="52"/>
      <c r="E295" s="53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</row>
    <row r="296">
      <c r="A296" s="42"/>
      <c r="B296" s="53"/>
      <c r="C296" s="42"/>
      <c r="D296" s="52"/>
      <c r="E296" s="53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>
      <c r="A297" s="42"/>
      <c r="B297" s="53"/>
      <c r="C297" s="42"/>
      <c r="D297" s="52"/>
      <c r="E297" s="53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</row>
    <row r="298">
      <c r="A298" s="42"/>
      <c r="B298" s="53"/>
      <c r="C298" s="42"/>
      <c r="D298" s="52"/>
      <c r="E298" s="53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</row>
    <row r="299">
      <c r="A299" s="42"/>
      <c r="B299" s="53"/>
      <c r="C299" s="42"/>
      <c r="D299" s="52"/>
      <c r="E299" s="53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</row>
    <row r="300">
      <c r="A300" s="42"/>
      <c r="B300" s="53"/>
      <c r="C300" s="42"/>
      <c r="D300" s="52"/>
      <c r="E300" s="53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</row>
    <row r="301">
      <c r="A301" s="42"/>
      <c r="B301" s="53"/>
      <c r="C301" s="42"/>
      <c r="D301" s="52"/>
      <c r="E301" s="53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</row>
    <row r="302">
      <c r="A302" s="42"/>
      <c r="B302" s="53"/>
      <c r="C302" s="42"/>
      <c r="D302" s="52"/>
      <c r="E302" s="53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</row>
    <row r="303">
      <c r="A303" s="42"/>
      <c r="B303" s="53"/>
      <c r="C303" s="42"/>
      <c r="D303" s="52"/>
      <c r="E303" s="53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</row>
    <row r="304">
      <c r="A304" s="42"/>
      <c r="B304" s="53"/>
      <c r="C304" s="42"/>
      <c r="D304" s="52"/>
      <c r="E304" s="53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</row>
    <row r="305">
      <c r="A305" s="42"/>
      <c r="B305" s="53"/>
      <c r="C305" s="42"/>
      <c r="D305" s="52"/>
      <c r="E305" s="53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</row>
    <row r="306">
      <c r="A306" s="42"/>
      <c r="B306" s="53"/>
      <c r="C306" s="42"/>
      <c r="D306" s="52"/>
      <c r="E306" s="53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</row>
    <row r="307">
      <c r="A307" s="42"/>
      <c r="B307" s="53"/>
      <c r="C307" s="42"/>
      <c r="D307" s="52"/>
      <c r="E307" s="53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</row>
    <row r="308">
      <c r="A308" s="42"/>
      <c r="B308" s="53"/>
      <c r="C308" s="42"/>
      <c r="D308" s="52"/>
      <c r="E308" s="53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</row>
    <row r="309">
      <c r="A309" s="42"/>
      <c r="B309" s="53"/>
      <c r="C309" s="42"/>
      <c r="D309" s="52"/>
      <c r="E309" s="53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</row>
    <row r="310">
      <c r="A310" s="42"/>
      <c r="B310" s="53"/>
      <c r="C310" s="42"/>
      <c r="D310" s="52"/>
      <c r="E310" s="53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</row>
    <row r="311">
      <c r="A311" s="42"/>
      <c r="B311" s="53"/>
      <c r="C311" s="42"/>
      <c r="D311" s="52"/>
      <c r="E311" s="53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</row>
    <row r="312">
      <c r="A312" s="42"/>
      <c r="B312" s="53"/>
      <c r="C312" s="42"/>
      <c r="D312" s="52"/>
      <c r="E312" s="53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>
      <c r="A313" s="42"/>
      <c r="B313" s="53"/>
      <c r="C313" s="42"/>
      <c r="D313" s="52"/>
      <c r="E313" s="53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</row>
    <row r="314">
      <c r="A314" s="42"/>
      <c r="B314" s="53"/>
      <c r="C314" s="42"/>
      <c r="D314" s="52"/>
      <c r="E314" s="53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>
      <c r="A315" s="42"/>
      <c r="B315" s="53"/>
      <c r="C315" s="42"/>
      <c r="D315" s="52"/>
      <c r="E315" s="53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</row>
    <row r="316">
      <c r="A316" s="42"/>
      <c r="B316" s="53"/>
      <c r="C316" s="42"/>
      <c r="D316" s="52"/>
      <c r="E316" s="53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</row>
    <row r="317">
      <c r="A317" s="42"/>
      <c r="B317" s="53"/>
      <c r="C317" s="42"/>
      <c r="D317" s="52"/>
      <c r="E317" s="53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>
      <c r="A318" s="42"/>
      <c r="B318" s="53"/>
      <c r="C318" s="42"/>
      <c r="D318" s="52"/>
      <c r="E318" s="53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</row>
    <row r="319">
      <c r="A319" s="42"/>
      <c r="B319" s="53"/>
      <c r="C319" s="42"/>
      <c r="D319" s="52"/>
      <c r="E319" s="53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</row>
    <row r="320">
      <c r="A320" s="42"/>
      <c r="B320" s="53"/>
      <c r="C320" s="42"/>
      <c r="D320" s="52"/>
      <c r="E320" s="53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</row>
    <row r="321">
      <c r="A321" s="42"/>
      <c r="B321" s="53"/>
      <c r="C321" s="42"/>
      <c r="D321" s="52"/>
      <c r="E321" s="53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</row>
    <row r="322">
      <c r="A322" s="42"/>
      <c r="B322" s="53"/>
      <c r="C322" s="42"/>
      <c r="D322" s="52"/>
      <c r="E322" s="53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</row>
    <row r="323">
      <c r="A323" s="42"/>
      <c r="B323" s="53"/>
      <c r="C323" s="42"/>
      <c r="D323" s="52"/>
      <c r="E323" s="53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>
      <c r="A324" s="42"/>
      <c r="B324" s="53"/>
      <c r="C324" s="42"/>
      <c r="D324" s="52"/>
      <c r="E324" s="53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</row>
    <row r="325">
      <c r="A325" s="42"/>
      <c r="B325" s="53"/>
      <c r="C325" s="42"/>
      <c r="D325" s="52"/>
      <c r="E325" s="53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>
      <c r="A326" s="42"/>
      <c r="B326" s="53"/>
      <c r="C326" s="42"/>
      <c r="D326" s="52"/>
      <c r="E326" s="53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>
      <c r="A327" s="42"/>
      <c r="B327" s="53"/>
      <c r="C327" s="42"/>
      <c r="D327" s="52"/>
      <c r="E327" s="53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</row>
    <row r="328">
      <c r="A328" s="42"/>
      <c r="B328" s="53"/>
      <c r="C328" s="42"/>
      <c r="D328" s="52"/>
      <c r="E328" s="53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</row>
    <row r="329">
      <c r="A329" s="42"/>
      <c r="B329" s="53"/>
      <c r="C329" s="42"/>
      <c r="D329" s="52"/>
      <c r="E329" s="53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</row>
    <row r="330">
      <c r="A330" s="42"/>
      <c r="B330" s="53"/>
      <c r="C330" s="42"/>
      <c r="D330" s="52"/>
      <c r="E330" s="53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>
      <c r="A331" s="42"/>
      <c r="B331" s="53"/>
      <c r="C331" s="42"/>
      <c r="D331" s="52"/>
      <c r="E331" s="53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</row>
    <row r="332">
      <c r="A332" s="42"/>
      <c r="B332" s="53"/>
      <c r="C332" s="42"/>
      <c r="D332" s="52"/>
      <c r="E332" s="53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</row>
    <row r="333">
      <c r="A333" s="42"/>
      <c r="B333" s="53"/>
      <c r="C333" s="42"/>
      <c r="D333" s="52"/>
      <c r="E333" s="53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</row>
    <row r="334">
      <c r="A334" s="42"/>
      <c r="B334" s="53"/>
      <c r="C334" s="42"/>
      <c r="D334" s="52"/>
      <c r="E334" s="53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>
      <c r="A335" s="42"/>
      <c r="B335" s="53"/>
      <c r="C335" s="42"/>
      <c r="D335" s="52"/>
      <c r="E335" s="53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>
      <c r="A336" s="42"/>
      <c r="B336" s="53"/>
      <c r="C336" s="42"/>
      <c r="D336" s="52"/>
      <c r="E336" s="53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>
      <c r="A337" s="42"/>
      <c r="B337" s="53"/>
      <c r="C337" s="42"/>
      <c r="D337" s="52"/>
      <c r="E337" s="53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>
      <c r="A338" s="42"/>
      <c r="B338" s="53"/>
      <c r="C338" s="42"/>
      <c r="D338" s="52"/>
      <c r="E338" s="53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>
      <c r="A339" s="42"/>
      <c r="B339" s="53"/>
      <c r="C339" s="42"/>
      <c r="D339" s="52"/>
      <c r="E339" s="53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>
      <c r="A340" s="42"/>
      <c r="B340" s="53"/>
      <c r="C340" s="42"/>
      <c r="D340" s="52"/>
      <c r="E340" s="53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>
      <c r="A341" s="42"/>
      <c r="B341" s="53"/>
      <c r="C341" s="42"/>
      <c r="D341" s="52"/>
      <c r="E341" s="53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>
      <c r="A342" s="42"/>
      <c r="B342" s="53"/>
      <c r="C342" s="42"/>
      <c r="D342" s="52"/>
      <c r="E342" s="53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>
      <c r="A343" s="42"/>
      <c r="B343" s="53"/>
      <c r="C343" s="42"/>
      <c r="D343" s="52"/>
      <c r="E343" s="53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>
      <c r="A344" s="42"/>
      <c r="B344" s="53"/>
      <c r="C344" s="42"/>
      <c r="D344" s="52"/>
      <c r="E344" s="53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>
      <c r="A345" s="42"/>
      <c r="B345" s="53"/>
      <c r="C345" s="42"/>
      <c r="D345" s="52"/>
      <c r="E345" s="53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>
      <c r="A346" s="42"/>
      <c r="B346" s="53"/>
      <c r="C346" s="42"/>
      <c r="D346" s="52"/>
      <c r="E346" s="53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>
      <c r="A347" s="42"/>
      <c r="B347" s="53"/>
      <c r="C347" s="42"/>
      <c r="D347" s="52"/>
      <c r="E347" s="53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>
      <c r="A348" s="42"/>
      <c r="B348" s="53"/>
      <c r="C348" s="42"/>
      <c r="D348" s="52"/>
      <c r="E348" s="53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>
      <c r="A349" s="42"/>
      <c r="B349" s="53"/>
      <c r="C349" s="42"/>
      <c r="D349" s="52"/>
      <c r="E349" s="53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>
      <c r="A350" s="42"/>
      <c r="B350" s="53"/>
      <c r="C350" s="42"/>
      <c r="D350" s="52"/>
      <c r="E350" s="53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>
      <c r="A351" s="42"/>
      <c r="B351" s="53"/>
      <c r="C351" s="42"/>
      <c r="D351" s="52"/>
      <c r="E351" s="53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</row>
    <row r="352">
      <c r="A352" s="42"/>
      <c r="B352" s="53"/>
      <c r="C352" s="42"/>
      <c r="D352" s="52"/>
      <c r="E352" s="53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>
      <c r="A353" s="42"/>
      <c r="B353" s="53"/>
      <c r="C353" s="42"/>
      <c r="D353" s="52"/>
      <c r="E353" s="53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>
      <c r="A354" s="42"/>
      <c r="B354" s="53"/>
      <c r="C354" s="42"/>
      <c r="D354" s="52"/>
      <c r="E354" s="53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>
      <c r="A355" s="42"/>
      <c r="B355" s="53"/>
      <c r="C355" s="42"/>
      <c r="D355" s="52"/>
      <c r="E355" s="53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>
      <c r="A356" s="42"/>
      <c r="B356" s="53"/>
      <c r="C356" s="42"/>
      <c r="D356" s="52"/>
      <c r="E356" s="53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>
      <c r="A357" s="42"/>
      <c r="B357" s="53"/>
      <c r="C357" s="42"/>
      <c r="D357" s="52"/>
      <c r="E357" s="53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>
      <c r="A358" s="42"/>
      <c r="B358" s="53"/>
      <c r="C358" s="42"/>
      <c r="D358" s="52"/>
      <c r="E358" s="53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>
      <c r="A359" s="42"/>
      <c r="B359" s="53"/>
      <c r="C359" s="42"/>
      <c r="D359" s="52"/>
      <c r="E359" s="53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>
      <c r="A360" s="42"/>
      <c r="B360" s="53"/>
      <c r="C360" s="42"/>
      <c r="D360" s="52"/>
      <c r="E360" s="53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>
      <c r="A361" s="42"/>
      <c r="B361" s="53"/>
      <c r="C361" s="42"/>
      <c r="D361" s="52"/>
      <c r="E361" s="53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>
      <c r="A362" s="42"/>
      <c r="B362" s="53"/>
      <c r="C362" s="42"/>
      <c r="D362" s="52"/>
      <c r="E362" s="53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>
      <c r="A363" s="42"/>
      <c r="B363" s="53"/>
      <c r="C363" s="42"/>
      <c r="D363" s="52"/>
      <c r="E363" s="53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>
      <c r="A364" s="42"/>
      <c r="B364" s="53"/>
      <c r="C364" s="42"/>
      <c r="D364" s="52"/>
      <c r="E364" s="53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>
      <c r="A365" s="42"/>
      <c r="B365" s="53"/>
      <c r="C365" s="42"/>
      <c r="D365" s="52"/>
      <c r="E365" s="53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</row>
    <row r="366">
      <c r="A366" s="42"/>
      <c r="B366" s="53"/>
      <c r="C366" s="42"/>
      <c r="D366" s="52"/>
      <c r="E366" s="53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</row>
    <row r="367">
      <c r="A367" s="42"/>
      <c r="B367" s="53"/>
      <c r="C367" s="42"/>
      <c r="D367" s="52"/>
      <c r="E367" s="53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</row>
    <row r="368">
      <c r="A368" s="42"/>
      <c r="B368" s="53"/>
      <c r="C368" s="42"/>
      <c r="D368" s="52"/>
      <c r="E368" s="53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</row>
    <row r="369">
      <c r="A369" s="42"/>
      <c r="B369" s="53"/>
      <c r="C369" s="42"/>
      <c r="D369" s="52"/>
      <c r="E369" s="53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</row>
    <row r="370">
      <c r="A370" s="42"/>
      <c r="B370" s="53"/>
      <c r="C370" s="42"/>
      <c r="D370" s="52"/>
      <c r="E370" s="53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</row>
    <row r="371">
      <c r="A371" s="42"/>
      <c r="B371" s="53"/>
      <c r="C371" s="42"/>
      <c r="D371" s="52"/>
      <c r="E371" s="53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</row>
    <row r="372">
      <c r="A372" s="42"/>
      <c r="B372" s="53"/>
      <c r="C372" s="42"/>
      <c r="D372" s="52"/>
      <c r="E372" s="53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</row>
    <row r="373">
      <c r="A373" s="42"/>
      <c r="B373" s="53"/>
      <c r="C373" s="42"/>
      <c r="D373" s="52"/>
      <c r="E373" s="53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</row>
    <row r="374">
      <c r="A374" s="42"/>
      <c r="B374" s="53"/>
      <c r="C374" s="42"/>
      <c r="D374" s="52"/>
      <c r="E374" s="53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</row>
    <row r="375">
      <c r="A375" s="42"/>
      <c r="B375" s="53"/>
      <c r="C375" s="42"/>
      <c r="D375" s="52"/>
      <c r="E375" s="53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</row>
    <row r="376">
      <c r="A376" s="42"/>
      <c r="B376" s="53"/>
      <c r="C376" s="42"/>
      <c r="D376" s="52"/>
      <c r="E376" s="53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</row>
    <row r="377">
      <c r="A377" s="42"/>
      <c r="B377" s="53"/>
      <c r="C377" s="42"/>
      <c r="D377" s="52"/>
      <c r="E377" s="53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</row>
    <row r="378">
      <c r="A378" s="42"/>
      <c r="B378" s="53"/>
      <c r="C378" s="42"/>
      <c r="D378" s="52"/>
      <c r="E378" s="53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</row>
    <row r="379">
      <c r="A379" s="42"/>
      <c r="B379" s="53"/>
      <c r="C379" s="42"/>
      <c r="D379" s="52"/>
      <c r="E379" s="53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</row>
    <row r="380">
      <c r="A380" s="42"/>
      <c r="B380" s="53"/>
      <c r="C380" s="42"/>
      <c r="D380" s="52"/>
      <c r="E380" s="53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</row>
    <row r="381">
      <c r="A381" s="42"/>
      <c r="B381" s="53"/>
      <c r="C381" s="42"/>
      <c r="D381" s="52"/>
      <c r="E381" s="53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</row>
    <row r="382">
      <c r="A382" s="42"/>
      <c r="B382" s="53"/>
      <c r="C382" s="42"/>
      <c r="D382" s="52"/>
      <c r="E382" s="53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</row>
    <row r="383">
      <c r="A383" s="42"/>
      <c r="B383" s="53"/>
      <c r="C383" s="42"/>
      <c r="D383" s="52"/>
      <c r="E383" s="53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</row>
    <row r="384">
      <c r="A384" s="42"/>
      <c r="B384" s="53"/>
      <c r="C384" s="42"/>
      <c r="D384" s="52"/>
      <c r="E384" s="53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</row>
    <row r="385">
      <c r="A385" s="42"/>
      <c r="B385" s="53"/>
      <c r="C385" s="42"/>
      <c r="D385" s="52"/>
      <c r="E385" s="53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</row>
    <row r="386">
      <c r="A386" s="42"/>
      <c r="B386" s="53"/>
      <c r="C386" s="42"/>
      <c r="D386" s="52"/>
      <c r="E386" s="53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</row>
    <row r="387">
      <c r="A387" s="42"/>
      <c r="B387" s="53"/>
      <c r="C387" s="42"/>
      <c r="D387" s="52"/>
      <c r="E387" s="53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</row>
    <row r="388">
      <c r="A388" s="42"/>
      <c r="B388" s="53"/>
      <c r="C388" s="42"/>
      <c r="D388" s="52"/>
      <c r="E388" s="53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</row>
    <row r="389">
      <c r="A389" s="42"/>
      <c r="B389" s="53"/>
      <c r="C389" s="42"/>
      <c r="D389" s="52"/>
      <c r="E389" s="53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</row>
    <row r="390">
      <c r="A390" s="42"/>
      <c r="B390" s="53"/>
      <c r="C390" s="42"/>
      <c r="D390" s="52"/>
      <c r="E390" s="53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</row>
    <row r="391">
      <c r="A391" s="42"/>
      <c r="B391" s="53"/>
      <c r="C391" s="42"/>
      <c r="D391" s="52"/>
      <c r="E391" s="53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</row>
    <row r="392">
      <c r="A392" s="42"/>
      <c r="B392" s="53"/>
      <c r="C392" s="42"/>
      <c r="D392" s="52"/>
      <c r="E392" s="53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</row>
    <row r="393">
      <c r="A393" s="42"/>
      <c r="B393" s="53"/>
      <c r="C393" s="42"/>
      <c r="D393" s="52"/>
      <c r="E393" s="53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</row>
    <row r="394">
      <c r="A394" s="42"/>
      <c r="B394" s="53"/>
      <c r="C394" s="42"/>
      <c r="D394" s="52"/>
      <c r="E394" s="53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</row>
    <row r="395">
      <c r="A395" s="42"/>
      <c r="B395" s="53"/>
      <c r="C395" s="42"/>
      <c r="D395" s="52"/>
      <c r="E395" s="53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</row>
    <row r="396">
      <c r="A396" s="42"/>
      <c r="B396" s="53"/>
      <c r="C396" s="42"/>
      <c r="D396" s="52"/>
      <c r="E396" s="53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</row>
    <row r="397">
      <c r="A397" s="42"/>
      <c r="B397" s="53"/>
      <c r="C397" s="42"/>
      <c r="D397" s="52"/>
      <c r="E397" s="53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</row>
    <row r="398">
      <c r="A398" s="42"/>
      <c r="B398" s="53"/>
      <c r="C398" s="42"/>
      <c r="D398" s="52"/>
      <c r="E398" s="53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</row>
    <row r="399">
      <c r="A399" s="42"/>
      <c r="B399" s="53"/>
      <c r="C399" s="42"/>
      <c r="D399" s="52"/>
      <c r="E399" s="53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</row>
    <row r="400">
      <c r="A400" s="42"/>
      <c r="B400" s="53"/>
      <c r="C400" s="42"/>
      <c r="D400" s="52"/>
      <c r="E400" s="53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</row>
    <row r="401">
      <c r="A401" s="42"/>
      <c r="B401" s="53"/>
      <c r="C401" s="42"/>
      <c r="D401" s="52"/>
      <c r="E401" s="53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</row>
    <row r="402">
      <c r="A402" s="42"/>
      <c r="B402" s="53"/>
      <c r="C402" s="42"/>
      <c r="D402" s="52"/>
      <c r="E402" s="53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</row>
    <row r="403">
      <c r="A403" s="42"/>
      <c r="B403" s="53"/>
      <c r="C403" s="42"/>
      <c r="D403" s="52"/>
      <c r="E403" s="53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</row>
    <row r="404">
      <c r="A404" s="42"/>
      <c r="B404" s="53"/>
      <c r="C404" s="42"/>
      <c r="D404" s="52"/>
      <c r="E404" s="53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</row>
    <row r="405">
      <c r="A405" s="42"/>
      <c r="B405" s="53"/>
      <c r="C405" s="42"/>
      <c r="D405" s="52"/>
      <c r="E405" s="53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</row>
    <row r="406">
      <c r="A406" s="42"/>
      <c r="B406" s="53"/>
      <c r="C406" s="42"/>
      <c r="D406" s="52"/>
      <c r="E406" s="53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</row>
    <row r="407">
      <c r="A407" s="42"/>
      <c r="B407" s="53"/>
      <c r="C407" s="42"/>
      <c r="D407" s="52"/>
      <c r="E407" s="53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</row>
    <row r="408">
      <c r="A408" s="42"/>
      <c r="B408" s="53"/>
      <c r="C408" s="42"/>
      <c r="D408" s="52"/>
      <c r="E408" s="53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</row>
    <row r="409">
      <c r="A409" s="42"/>
      <c r="B409" s="53"/>
      <c r="C409" s="42"/>
      <c r="D409" s="52"/>
      <c r="E409" s="53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</row>
    <row r="410">
      <c r="A410" s="42"/>
      <c r="B410" s="53"/>
      <c r="C410" s="42"/>
      <c r="D410" s="52"/>
      <c r="E410" s="53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</row>
    <row r="411">
      <c r="A411" s="42"/>
      <c r="B411" s="53"/>
      <c r="C411" s="42"/>
      <c r="D411" s="52"/>
      <c r="E411" s="53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</row>
    <row r="412">
      <c r="A412" s="42"/>
      <c r="B412" s="53"/>
      <c r="C412" s="42"/>
      <c r="D412" s="52"/>
      <c r="E412" s="53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</row>
    <row r="413">
      <c r="A413" s="42"/>
      <c r="B413" s="53"/>
      <c r="C413" s="42"/>
      <c r="D413" s="52"/>
      <c r="E413" s="53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</row>
    <row r="414">
      <c r="A414" s="42"/>
      <c r="B414" s="53"/>
      <c r="C414" s="42"/>
      <c r="D414" s="52"/>
      <c r="E414" s="53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</row>
    <row r="415">
      <c r="A415" s="42"/>
      <c r="B415" s="53"/>
      <c r="C415" s="42"/>
      <c r="D415" s="52"/>
      <c r="E415" s="53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</row>
    <row r="416">
      <c r="A416" s="42"/>
      <c r="B416" s="53"/>
      <c r="C416" s="42"/>
      <c r="D416" s="52"/>
      <c r="E416" s="53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</row>
    <row r="417">
      <c r="A417" s="42"/>
      <c r="B417" s="53"/>
      <c r="C417" s="42"/>
      <c r="D417" s="52"/>
      <c r="E417" s="53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</row>
    <row r="418">
      <c r="A418" s="42"/>
      <c r="B418" s="53"/>
      <c r="C418" s="42"/>
      <c r="D418" s="52"/>
      <c r="E418" s="53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</row>
    <row r="419">
      <c r="A419" s="42"/>
      <c r="B419" s="53"/>
      <c r="C419" s="42"/>
      <c r="D419" s="52"/>
      <c r="E419" s="53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</row>
    <row r="420">
      <c r="A420" s="42"/>
      <c r="B420" s="53"/>
      <c r="C420" s="42"/>
      <c r="D420" s="52"/>
      <c r="E420" s="53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</row>
    <row r="421">
      <c r="A421" s="42"/>
      <c r="B421" s="53"/>
      <c r="C421" s="42"/>
      <c r="D421" s="52"/>
      <c r="E421" s="53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</row>
    <row r="422">
      <c r="A422" s="42"/>
      <c r="B422" s="53"/>
      <c r="C422" s="42"/>
      <c r="D422" s="52"/>
      <c r="E422" s="53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</row>
    <row r="423">
      <c r="A423" s="42"/>
      <c r="B423" s="53"/>
      <c r="C423" s="42"/>
      <c r="D423" s="52"/>
      <c r="E423" s="53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</row>
    <row r="424">
      <c r="A424" s="42"/>
      <c r="B424" s="53"/>
      <c r="C424" s="42"/>
      <c r="D424" s="52"/>
      <c r="E424" s="53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</row>
    <row r="425">
      <c r="A425" s="42"/>
      <c r="B425" s="53"/>
      <c r="C425" s="42"/>
      <c r="D425" s="52"/>
      <c r="E425" s="53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</row>
    <row r="426">
      <c r="A426" s="42"/>
      <c r="B426" s="53"/>
      <c r="C426" s="42"/>
      <c r="D426" s="52"/>
      <c r="E426" s="53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</row>
    <row r="427">
      <c r="A427" s="42"/>
      <c r="B427" s="53"/>
      <c r="C427" s="42"/>
      <c r="D427" s="52"/>
      <c r="E427" s="53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</row>
    <row r="428">
      <c r="A428" s="42"/>
      <c r="B428" s="53"/>
      <c r="C428" s="42"/>
      <c r="D428" s="52"/>
      <c r="E428" s="53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</row>
    <row r="429">
      <c r="A429" s="42"/>
      <c r="B429" s="53"/>
      <c r="C429" s="42"/>
      <c r="D429" s="52"/>
      <c r="E429" s="53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</row>
    <row r="430">
      <c r="A430" s="42"/>
      <c r="B430" s="53"/>
      <c r="C430" s="42"/>
      <c r="D430" s="52"/>
      <c r="E430" s="53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</row>
    <row r="431">
      <c r="A431" s="42"/>
      <c r="B431" s="53"/>
      <c r="C431" s="42"/>
      <c r="D431" s="52"/>
      <c r="E431" s="53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</row>
    <row r="432">
      <c r="A432" s="42"/>
      <c r="B432" s="53"/>
      <c r="C432" s="42"/>
      <c r="D432" s="52"/>
      <c r="E432" s="53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</row>
    <row r="433">
      <c r="A433" s="42"/>
      <c r="B433" s="53"/>
      <c r="C433" s="42"/>
      <c r="D433" s="52"/>
      <c r="E433" s="53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</row>
    <row r="434">
      <c r="A434" s="42"/>
      <c r="B434" s="53"/>
      <c r="C434" s="42"/>
      <c r="D434" s="52"/>
      <c r="E434" s="53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</row>
    <row r="435">
      <c r="A435" s="42"/>
      <c r="B435" s="53"/>
      <c r="C435" s="42"/>
      <c r="D435" s="52"/>
      <c r="E435" s="53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</row>
    <row r="436">
      <c r="A436" s="42"/>
      <c r="B436" s="53"/>
      <c r="C436" s="42"/>
      <c r="D436" s="52"/>
      <c r="E436" s="53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</row>
    <row r="437">
      <c r="A437" s="42"/>
      <c r="B437" s="53"/>
      <c r="C437" s="42"/>
      <c r="D437" s="52"/>
      <c r="E437" s="53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</row>
    <row r="438">
      <c r="A438" s="42"/>
      <c r="B438" s="53"/>
      <c r="C438" s="42"/>
      <c r="D438" s="52"/>
      <c r="E438" s="53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</row>
    <row r="439">
      <c r="A439" s="42"/>
      <c r="B439" s="53"/>
      <c r="C439" s="42"/>
      <c r="D439" s="52"/>
      <c r="E439" s="53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</row>
    <row r="440">
      <c r="A440" s="42"/>
      <c r="B440" s="53"/>
      <c r="C440" s="42"/>
      <c r="D440" s="52"/>
      <c r="E440" s="53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</row>
    <row r="441">
      <c r="A441" s="42"/>
      <c r="B441" s="53"/>
      <c r="C441" s="42"/>
      <c r="D441" s="52"/>
      <c r="E441" s="53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</row>
    <row r="442">
      <c r="A442" s="42"/>
      <c r="B442" s="53"/>
      <c r="C442" s="42"/>
      <c r="D442" s="52"/>
      <c r="E442" s="53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</row>
    <row r="443">
      <c r="A443" s="42"/>
      <c r="B443" s="53"/>
      <c r="C443" s="42"/>
      <c r="D443" s="52"/>
      <c r="E443" s="53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</row>
    <row r="444">
      <c r="A444" s="42"/>
      <c r="B444" s="53"/>
      <c r="C444" s="42"/>
      <c r="D444" s="52"/>
      <c r="E444" s="53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</row>
    <row r="445">
      <c r="A445" s="42"/>
      <c r="B445" s="53"/>
      <c r="C445" s="42"/>
      <c r="D445" s="52"/>
      <c r="E445" s="53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</row>
    <row r="446">
      <c r="A446" s="42"/>
      <c r="B446" s="53"/>
      <c r="C446" s="42"/>
      <c r="D446" s="52"/>
      <c r="E446" s="53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</row>
    <row r="447">
      <c r="A447" s="42"/>
      <c r="B447" s="53"/>
      <c r="C447" s="42"/>
      <c r="D447" s="52"/>
      <c r="E447" s="53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</row>
    <row r="448">
      <c r="A448" s="42"/>
      <c r="B448" s="53"/>
      <c r="C448" s="42"/>
      <c r="D448" s="52"/>
      <c r="E448" s="53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</row>
    <row r="449">
      <c r="A449" s="42"/>
      <c r="B449" s="53"/>
      <c r="C449" s="42"/>
      <c r="D449" s="52"/>
      <c r="E449" s="53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</row>
    <row r="450">
      <c r="A450" s="42"/>
      <c r="B450" s="53"/>
      <c r="C450" s="42"/>
      <c r="D450" s="52"/>
      <c r="E450" s="53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</row>
    <row r="451">
      <c r="A451" s="42"/>
      <c r="B451" s="53"/>
      <c r="C451" s="42"/>
      <c r="D451" s="52"/>
      <c r="E451" s="53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</row>
    <row r="452">
      <c r="A452" s="42"/>
      <c r="B452" s="53"/>
      <c r="C452" s="42"/>
      <c r="D452" s="52"/>
      <c r="E452" s="53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</row>
    <row r="453">
      <c r="A453" s="42"/>
      <c r="B453" s="53"/>
      <c r="C453" s="42"/>
      <c r="D453" s="52"/>
      <c r="E453" s="53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</row>
    <row r="454">
      <c r="A454" s="42"/>
      <c r="B454" s="53"/>
      <c r="C454" s="42"/>
      <c r="D454" s="52"/>
      <c r="E454" s="53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</row>
    <row r="455">
      <c r="A455" s="42"/>
      <c r="B455" s="53"/>
      <c r="C455" s="42"/>
      <c r="D455" s="52"/>
      <c r="E455" s="53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</row>
    <row r="456">
      <c r="A456" s="42"/>
      <c r="B456" s="53"/>
      <c r="C456" s="42"/>
      <c r="D456" s="52"/>
      <c r="E456" s="53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</row>
    <row r="457">
      <c r="A457" s="42"/>
      <c r="B457" s="53"/>
      <c r="C457" s="42"/>
      <c r="D457" s="52"/>
      <c r="E457" s="53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</row>
    <row r="458">
      <c r="A458" s="42"/>
      <c r="B458" s="53"/>
      <c r="C458" s="42"/>
      <c r="D458" s="52"/>
      <c r="E458" s="53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</row>
    <row r="459">
      <c r="A459" s="42"/>
      <c r="B459" s="53"/>
      <c r="C459" s="42"/>
      <c r="D459" s="52"/>
      <c r="E459" s="53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</row>
    <row r="460">
      <c r="A460" s="42"/>
      <c r="B460" s="53"/>
      <c r="C460" s="42"/>
      <c r="D460" s="52"/>
      <c r="E460" s="53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</row>
    <row r="461">
      <c r="A461" s="42"/>
      <c r="B461" s="53"/>
      <c r="C461" s="42"/>
      <c r="D461" s="52"/>
      <c r="E461" s="53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</row>
    <row r="462">
      <c r="A462" s="42"/>
      <c r="B462" s="53"/>
      <c r="C462" s="42"/>
      <c r="D462" s="52"/>
      <c r="E462" s="53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</row>
    <row r="463">
      <c r="A463" s="42"/>
      <c r="B463" s="53"/>
      <c r="C463" s="42"/>
      <c r="D463" s="52"/>
      <c r="E463" s="53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</row>
    <row r="464">
      <c r="A464" s="42"/>
      <c r="B464" s="53"/>
      <c r="C464" s="42"/>
      <c r="D464" s="52"/>
      <c r="E464" s="53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</row>
    <row r="465">
      <c r="A465" s="42"/>
      <c r="B465" s="53"/>
      <c r="C465" s="42"/>
      <c r="D465" s="52"/>
      <c r="E465" s="53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</row>
    <row r="466">
      <c r="A466" s="42"/>
      <c r="B466" s="53"/>
      <c r="C466" s="42"/>
      <c r="D466" s="52"/>
      <c r="E466" s="53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</row>
    <row r="467">
      <c r="A467" s="42"/>
      <c r="B467" s="53"/>
      <c r="C467" s="42"/>
      <c r="D467" s="52"/>
      <c r="E467" s="53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</row>
    <row r="468">
      <c r="A468" s="42"/>
      <c r="B468" s="53"/>
      <c r="C468" s="42"/>
      <c r="D468" s="52"/>
      <c r="E468" s="53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</row>
    <row r="469">
      <c r="A469" s="42"/>
      <c r="B469" s="53"/>
      <c r="C469" s="42"/>
      <c r="D469" s="52"/>
      <c r="E469" s="53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</row>
    <row r="470">
      <c r="A470" s="42"/>
      <c r="B470" s="53"/>
      <c r="C470" s="42"/>
      <c r="D470" s="52"/>
      <c r="E470" s="53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</row>
    <row r="471">
      <c r="A471" s="42"/>
      <c r="B471" s="53"/>
      <c r="C471" s="42"/>
      <c r="D471" s="52"/>
      <c r="E471" s="53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</row>
    <row r="472">
      <c r="A472" s="42"/>
      <c r="B472" s="53"/>
      <c r="C472" s="42"/>
      <c r="D472" s="52"/>
      <c r="E472" s="53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</row>
    <row r="473">
      <c r="A473" s="42"/>
      <c r="B473" s="53"/>
      <c r="C473" s="42"/>
      <c r="D473" s="52"/>
      <c r="E473" s="53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</row>
    <row r="474">
      <c r="A474" s="42"/>
      <c r="B474" s="53"/>
      <c r="C474" s="42"/>
      <c r="D474" s="52"/>
      <c r="E474" s="53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</row>
    <row r="475">
      <c r="A475" s="42"/>
      <c r="B475" s="53"/>
      <c r="C475" s="42"/>
      <c r="D475" s="52"/>
      <c r="E475" s="53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</row>
    <row r="476">
      <c r="A476" s="42"/>
      <c r="B476" s="53"/>
      <c r="C476" s="42"/>
      <c r="D476" s="52"/>
      <c r="E476" s="53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</row>
    <row r="477">
      <c r="A477" s="42"/>
      <c r="B477" s="53"/>
      <c r="C477" s="42"/>
      <c r="D477" s="52"/>
      <c r="E477" s="53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</row>
    <row r="478">
      <c r="A478" s="42"/>
      <c r="B478" s="53"/>
      <c r="C478" s="42"/>
      <c r="D478" s="52"/>
      <c r="E478" s="53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</row>
    <row r="479">
      <c r="A479" s="42"/>
      <c r="B479" s="53"/>
      <c r="C479" s="42"/>
      <c r="D479" s="52"/>
      <c r="E479" s="53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</row>
    <row r="480">
      <c r="A480" s="42"/>
      <c r="B480" s="53"/>
      <c r="C480" s="42"/>
      <c r="D480" s="52"/>
      <c r="E480" s="53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</row>
    <row r="481">
      <c r="A481" s="42"/>
      <c r="B481" s="53"/>
      <c r="C481" s="42"/>
      <c r="D481" s="52"/>
      <c r="E481" s="53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</row>
    <row r="482">
      <c r="A482" s="42"/>
      <c r="B482" s="53"/>
      <c r="C482" s="42"/>
      <c r="D482" s="52"/>
      <c r="E482" s="53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</row>
    <row r="483">
      <c r="A483" s="42"/>
      <c r="B483" s="53"/>
      <c r="C483" s="42"/>
      <c r="D483" s="52"/>
      <c r="E483" s="53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</row>
    <row r="484">
      <c r="A484" s="42"/>
      <c r="B484" s="53"/>
      <c r="C484" s="42"/>
      <c r="D484" s="52"/>
      <c r="E484" s="53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</row>
    <row r="485">
      <c r="A485" s="42"/>
      <c r="B485" s="53"/>
      <c r="C485" s="42"/>
      <c r="D485" s="52"/>
      <c r="E485" s="53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</row>
    <row r="486">
      <c r="A486" s="42"/>
      <c r="B486" s="53"/>
      <c r="C486" s="42"/>
      <c r="D486" s="52"/>
      <c r="E486" s="53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</row>
    <row r="487">
      <c r="A487" s="42"/>
      <c r="B487" s="53"/>
      <c r="C487" s="42"/>
      <c r="D487" s="52"/>
      <c r="E487" s="53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</row>
    <row r="488">
      <c r="A488" s="42"/>
      <c r="B488" s="53"/>
      <c r="C488" s="42"/>
      <c r="D488" s="52"/>
      <c r="E488" s="53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</row>
    <row r="489">
      <c r="A489" s="42"/>
      <c r="B489" s="53"/>
      <c r="C489" s="42"/>
      <c r="D489" s="52"/>
      <c r="E489" s="53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</row>
    <row r="490">
      <c r="A490" s="42"/>
      <c r="B490" s="53"/>
      <c r="C490" s="42"/>
      <c r="D490" s="52"/>
      <c r="E490" s="53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</row>
    <row r="491">
      <c r="A491" s="42"/>
      <c r="B491" s="53"/>
      <c r="C491" s="42"/>
      <c r="D491" s="52"/>
      <c r="E491" s="53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</row>
    <row r="492">
      <c r="A492" s="42"/>
      <c r="B492" s="53"/>
      <c r="C492" s="42"/>
      <c r="D492" s="52"/>
      <c r="E492" s="53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</row>
    <row r="493">
      <c r="A493" s="42"/>
      <c r="B493" s="53"/>
      <c r="C493" s="42"/>
      <c r="D493" s="52"/>
      <c r="E493" s="53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</row>
    <row r="494">
      <c r="A494" s="42"/>
      <c r="B494" s="53"/>
      <c r="C494" s="42"/>
      <c r="D494" s="52"/>
      <c r="E494" s="53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</row>
    <row r="495">
      <c r="A495" s="42"/>
      <c r="B495" s="53"/>
      <c r="C495" s="42"/>
      <c r="D495" s="52"/>
      <c r="E495" s="53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</row>
    <row r="496">
      <c r="A496" s="42"/>
      <c r="B496" s="53"/>
      <c r="C496" s="42"/>
      <c r="D496" s="52"/>
      <c r="E496" s="53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</row>
    <row r="497">
      <c r="A497" s="42"/>
      <c r="B497" s="53"/>
      <c r="C497" s="42"/>
      <c r="D497" s="52"/>
      <c r="E497" s="53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</row>
    <row r="498">
      <c r="A498" s="42"/>
      <c r="B498" s="53"/>
      <c r="C498" s="42"/>
      <c r="D498" s="52"/>
      <c r="E498" s="53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</row>
    <row r="499">
      <c r="A499" s="42"/>
      <c r="B499" s="53"/>
      <c r="C499" s="42"/>
      <c r="D499" s="52"/>
      <c r="E499" s="53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</row>
    <row r="500">
      <c r="A500" s="42"/>
      <c r="B500" s="53"/>
      <c r="C500" s="42"/>
      <c r="D500" s="52"/>
      <c r="E500" s="53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</row>
    <row r="501">
      <c r="A501" s="42"/>
      <c r="B501" s="53"/>
      <c r="C501" s="42"/>
      <c r="D501" s="52"/>
      <c r="E501" s="53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</row>
    <row r="502">
      <c r="A502" s="42"/>
      <c r="B502" s="53"/>
      <c r="C502" s="42"/>
      <c r="D502" s="52"/>
      <c r="E502" s="53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</row>
    <row r="503">
      <c r="A503" s="42"/>
      <c r="B503" s="53"/>
      <c r="C503" s="42"/>
      <c r="D503" s="52"/>
      <c r="E503" s="53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</row>
    <row r="504">
      <c r="A504" s="42"/>
      <c r="B504" s="53"/>
      <c r="C504" s="42"/>
      <c r="D504" s="52"/>
      <c r="E504" s="53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</row>
    <row r="505">
      <c r="A505" s="42"/>
      <c r="B505" s="53"/>
      <c r="C505" s="42"/>
      <c r="D505" s="52"/>
      <c r="E505" s="53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</row>
    <row r="506">
      <c r="A506" s="42"/>
      <c r="B506" s="53"/>
      <c r="C506" s="42"/>
      <c r="D506" s="52"/>
      <c r="E506" s="53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</row>
    <row r="507">
      <c r="A507" s="42"/>
      <c r="B507" s="53"/>
      <c r="C507" s="42"/>
      <c r="D507" s="52"/>
      <c r="E507" s="53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</row>
    <row r="508">
      <c r="A508" s="42"/>
      <c r="B508" s="53"/>
      <c r="C508" s="42"/>
      <c r="D508" s="52"/>
      <c r="E508" s="53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</row>
    <row r="509">
      <c r="A509" s="42"/>
      <c r="B509" s="53"/>
      <c r="C509" s="42"/>
      <c r="D509" s="52"/>
      <c r="E509" s="53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</row>
    <row r="510">
      <c r="A510" s="42"/>
      <c r="B510" s="53"/>
      <c r="C510" s="42"/>
      <c r="D510" s="52"/>
      <c r="E510" s="53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</row>
    <row r="511">
      <c r="A511" s="42"/>
      <c r="B511" s="53"/>
      <c r="C511" s="42"/>
      <c r="D511" s="52"/>
      <c r="E511" s="53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</row>
    <row r="512">
      <c r="A512" s="42"/>
      <c r="B512" s="53"/>
      <c r="C512" s="42"/>
      <c r="D512" s="52"/>
      <c r="E512" s="53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</row>
    <row r="513">
      <c r="A513" s="42"/>
      <c r="B513" s="53"/>
      <c r="C513" s="42"/>
      <c r="D513" s="52"/>
      <c r="E513" s="53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</row>
    <row r="514">
      <c r="A514" s="42"/>
      <c r="B514" s="53"/>
      <c r="C514" s="42"/>
      <c r="D514" s="52"/>
      <c r="E514" s="53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</row>
    <row r="515">
      <c r="A515" s="42"/>
      <c r="B515" s="53"/>
      <c r="C515" s="42"/>
      <c r="D515" s="52"/>
      <c r="E515" s="53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</row>
    <row r="516">
      <c r="A516" s="42"/>
      <c r="B516" s="53"/>
      <c r="C516" s="42"/>
      <c r="D516" s="52"/>
      <c r="E516" s="53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</row>
    <row r="517">
      <c r="A517" s="42"/>
      <c r="B517" s="53"/>
      <c r="C517" s="42"/>
      <c r="D517" s="52"/>
      <c r="E517" s="53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</row>
    <row r="518">
      <c r="A518" s="42"/>
      <c r="B518" s="53"/>
      <c r="C518" s="42"/>
      <c r="D518" s="52"/>
      <c r="E518" s="53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</row>
    <row r="519">
      <c r="A519" s="42"/>
      <c r="B519" s="53"/>
      <c r="C519" s="42"/>
      <c r="D519" s="52"/>
      <c r="E519" s="53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</row>
    <row r="520">
      <c r="A520" s="42"/>
      <c r="B520" s="53"/>
      <c r="C520" s="42"/>
      <c r="D520" s="52"/>
      <c r="E520" s="53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</row>
    <row r="521">
      <c r="A521" s="42"/>
      <c r="B521" s="53"/>
      <c r="C521" s="42"/>
      <c r="D521" s="52"/>
      <c r="E521" s="53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</row>
    <row r="522">
      <c r="A522" s="42"/>
      <c r="B522" s="53"/>
      <c r="C522" s="42"/>
      <c r="D522" s="52"/>
      <c r="E522" s="53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</row>
    <row r="523">
      <c r="A523" s="42"/>
      <c r="B523" s="53"/>
      <c r="C523" s="42"/>
      <c r="D523" s="52"/>
      <c r="E523" s="53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</row>
    <row r="524">
      <c r="A524" s="42"/>
      <c r="B524" s="53"/>
      <c r="C524" s="42"/>
      <c r="D524" s="52"/>
      <c r="E524" s="53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</row>
    <row r="525">
      <c r="A525" s="42"/>
      <c r="B525" s="53"/>
      <c r="C525" s="42"/>
      <c r="D525" s="52"/>
      <c r="E525" s="53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</row>
    <row r="526">
      <c r="A526" s="42"/>
      <c r="B526" s="53"/>
      <c r="C526" s="42"/>
      <c r="D526" s="52"/>
      <c r="E526" s="53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</row>
    <row r="527">
      <c r="A527" s="42"/>
      <c r="B527" s="53"/>
      <c r="C527" s="42"/>
      <c r="D527" s="52"/>
      <c r="E527" s="53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</row>
    <row r="528">
      <c r="A528" s="42"/>
      <c r="B528" s="53"/>
      <c r="C528" s="42"/>
      <c r="D528" s="52"/>
      <c r="E528" s="53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</row>
    <row r="529">
      <c r="A529" s="42"/>
      <c r="B529" s="53"/>
      <c r="C529" s="42"/>
      <c r="D529" s="52"/>
      <c r="E529" s="53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</row>
    <row r="530">
      <c r="A530" s="42"/>
      <c r="B530" s="53"/>
      <c r="C530" s="42"/>
      <c r="D530" s="52"/>
      <c r="E530" s="53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</row>
    <row r="531">
      <c r="A531" s="42"/>
      <c r="B531" s="53"/>
      <c r="C531" s="42"/>
      <c r="D531" s="52"/>
      <c r="E531" s="53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</row>
    <row r="532">
      <c r="A532" s="42"/>
      <c r="B532" s="53"/>
      <c r="C532" s="42"/>
      <c r="D532" s="52"/>
      <c r="E532" s="53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</row>
    <row r="533">
      <c r="A533" s="42"/>
      <c r="B533" s="53"/>
      <c r="C533" s="42"/>
      <c r="D533" s="52"/>
      <c r="E533" s="53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</row>
    <row r="534">
      <c r="A534" s="42"/>
      <c r="B534" s="53"/>
      <c r="C534" s="42"/>
      <c r="D534" s="52"/>
      <c r="E534" s="53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</row>
    <row r="535">
      <c r="A535" s="42"/>
      <c r="B535" s="53"/>
      <c r="C535" s="42"/>
      <c r="D535" s="52"/>
      <c r="E535" s="53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</row>
    <row r="536">
      <c r="A536" s="42"/>
      <c r="B536" s="53"/>
      <c r="C536" s="42"/>
      <c r="D536" s="52"/>
      <c r="E536" s="53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</row>
    <row r="537">
      <c r="A537" s="42"/>
      <c r="B537" s="53"/>
      <c r="C537" s="42"/>
      <c r="D537" s="52"/>
      <c r="E537" s="53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</row>
    <row r="538">
      <c r="A538" s="42"/>
      <c r="B538" s="53"/>
      <c r="C538" s="42"/>
      <c r="D538" s="52"/>
      <c r="E538" s="53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</row>
    <row r="539">
      <c r="A539" s="42"/>
      <c r="B539" s="53"/>
      <c r="C539" s="42"/>
      <c r="D539" s="52"/>
      <c r="E539" s="53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</row>
    <row r="540">
      <c r="A540" s="42"/>
      <c r="B540" s="53"/>
      <c r="C540" s="42"/>
      <c r="D540" s="52"/>
      <c r="E540" s="53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</row>
    <row r="541">
      <c r="A541" s="42"/>
      <c r="B541" s="53"/>
      <c r="C541" s="42"/>
      <c r="D541" s="52"/>
      <c r="E541" s="53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</row>
    <row r="542">
      <c r="A542" s="42"/>
      <c r="B542" s="53"/>
      <c r="C542" s="42"/>
      <c r="D542" s="52"/>
      <c r="E542" s="53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</row>
    <row r="543">
      <c r="A543" s="42"/>
      <c r="B543" s="53"/>
      <c r="C543" s="42"/>
      <c r="D543" s="52"/>
      <c r="E543" s="53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</row>
    <row r="544">
      <c r="A544" s="42"/>
      <c r="B544" s="53"/>
      <c r="C544" s="42"/>
      <c r="D544" s="52"/>
      <c r="E544" s="53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</row>
    <row r="545">
      <c r="A545" s="42"/>
      <c r="B545" s="53"/>
      <c r="C545" s="42"/>
      <c r="D545" s="52"/>
      <c r="E545" s="53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</row>
    <row r="546">
      <c r="A546" s="42"/>
      <c r="B546" s="53"/>
      <c r="C546" s="42"/>
      <c r="D546" s="52"/>
      <c r="E546" s="53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</row>
    <row r="547">
      <c r="A547" s="42"/>
      <c r="B547" s="53"/>
      <c r="C547" s="42"/>
      <c r="D547" s="52"/>
      <c r="E547" s="53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</row>
    <row r="548">
      <c r="A548" s="42"/>
      <c r="B548" s="53"/>
      <c r="C548" s="42"/>
      <c r="D548" s="52"/>
      <c r="E548" s="53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</row>
    <row r="549">
      <c r="A549" s="42"/>
      <c r="B549" s="53"/>
      <c r="C549" s="42"/>
      <c r="D549" s="52"/>
      <c r="E549" s="53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</row>
    <row r="550">
      <c r="A550" s="42"/>
      <c r="B550" s="53"/>
      <c r="C550" s="42"/>
      <c r="D550" s="52"/>
      <c r="E550" s="53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</row>
    <row r="551">
      <c r="A551" s="42"/>
      <c r="B551" s="53"/>
      <c r="C551" s="42"/>
      <c r="D551" s="52"/>
      <c r="E551" s="53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</row>
    <row r="552">
      <c r="A552" s="42"/>
      <c r="B552" s="53"/>
      <c r="C552" s="42"/>
      <c r="D552" s="52"/>
      <c r="E552" s="53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</row>
    <row r="553">
      <c r="A553" s="42"/>
      <c r="B553" s="53"/>
      <c r="C553" s="42"/>
      <c r="D553" s="52"/>
      <c r="E553" s="53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</row>
    <row r="554">
      <c r="A554" s="42"/>
      <c r="B554" s="53"/>
      <c r="C554" s="42"/>
      <c r="D554" s="52"/>
      <c r="E554" s="53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</row>
    <row r="555">
      <c r="A555" s="42"/>
      <c r="B555" s="53"/>
      <c r="C555" s="42"/>
      <c r="D555" s="52"/>
      <c r="E555" s="53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</row>
    <row r="556">
      <c r="A556" s="42"/>
      <c r="B556" s="53"/>
      <c r="C556" s="42"/>
      <c r="D556" s="52"/>
      <c r="E556" s="53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</row>
    <row r="557">
      <c r="A557" s="42"/>
      <c r="B557" s="53"/>
      <c r="C557" s="42"/>
      <c r="D557" s="52"/>
      <c r="E557" s="53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</row>
    <row r="558">
      <c r="A558" s="42"/>
      <c r="B558" s="53"/>
      <c r="C558" s="42"/>
      <c r="D558" s="52"/>
      <c r="E558" s="53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</row>
    <row r="559">
      <c r="A559" s="42"/>
      <c r="B559" s="53"/>
      <c r="C559" s="42"/>
      <c r="D559" s="52"/>
      <c r="E559" s="53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</row>
    <row r="560">
      <c r="A560" s="42"/>
      <c r="B560" s="53"/>
      <c r="C560" s="42"/>
      <c r="D560" s="52"/>
      <c r="E560" s="53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</row>
    <row r="561">
      <c r="A561" s="42"/>
      <c r="B561" s="53"/>
      <c r="C561" s="42"/>
      <c r="D561" s="52"/>
      <c r="E561" s="53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</row>
    <row r="562">
      <c r="A562" s="42"/>
      <c r="B562" s="53"/>
      <c r="C562" s="42"/>
      <c r="D562" s="52"/>
      <c r="E562" s="53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</row>
    <row r="563">
      <c r="A563" s="42"/>
      <c r="B563" s="53"/>
      <c r="C563" s="42"/>
      <c r="D563" s="52"/>
      <c r="E563" s="53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</row>
    <row r="564">
      <c r="A564" s="42"/>
      <c r="B564" s="53"/>
      <c r="C564" s="42"/>
      <c r="D564" s="52"/>
      <c r="E564" s="53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</row>
    <row r="565">
      <c r="A565" s="42"/>
      <c r="B565" s="53"/>
      <c r="C565" s="42"/>
      <c r="D565" s="52"/>
      <c r="E565" s="53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</row>
    <row r="566">
      <c r="A566" s="42"/>
      <c r="B566" s="53"/>
      <c r="C566" s="42"/>
      <c r="D566" s="52"/>
      <c r="E566" s="53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</row>
    <row r="567">
      <c r="A567" s="42"/>
      <c r="B567" s="53"/>
      <c r="C567" s="42"/>
      <c r="D567" s="52"/>
      <c r="E567" s="53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</row>
    <row r="568">
      <c r="A568" s="42"/>
      <c r="B568" s="53"/>
      <c r="C568" s="42"/>
      <c r="D568" s="52"/>
      <c r="E568" s="53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</row>
    <row r="569">
      <c r="A569" s="42"/>
      <c r="B569" s="53"/>
      <c r="C569" s="42"/>
      <c r="D569" s="52"/>
      <c r="E569" s="53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</row>
    <row r="570">
      <c r="A570" s="42"/>
      <c r="B570" s="53"/>
      <c r="C570" s="42"/>
      <c r="D570" s="52"/>
      <c r="E570" s="53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</row>
    <row r="571">
      <c r="A571" s="42"/>
      <c r="B571" s="53"/>
      <c r="C571" s="42"/>
      <c r="D571" s="52"/>
      <c r="E571" s="53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</row>
    <row r="572">
      <c r="A572" s="42"/>
      <c r="B572" s="53"/>
      <c r="C572" s="42"/>
      <c r="D572" s="52"/>
      <c r="E572" s="53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</row>
    <row r="573">
      <c r="A573" s="42"/>
      <c r="B573" s="53"/>
      <c r="C573" s="42"/>
      <c r="D573" s="52"/>
      <c r="E573" s="53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</row>
    <row r="574">
      <c r="A574" s="42"/>
      <c r="B574" s="53"/>
      <c r="C574" s="42"/>
      <c r="D574" s="52"/>
      <c r="E574" s="53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</row>
    <row r="575">
      <c r="A575" s="42"/>
      <c r="B575" s="53"/>
      <c r="C575" s="42"/>
      <c r="D575" s="52"/>
      <c r="E575" s="53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</row>
    <row r="576">
      <c r="A576" s="42"/>
      <c r="B576" s="53"/>
      <c r="C576" s="42"/>
      <c r="D576" s="52"/>
      <c r="E576" s="53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</row>
    <row r="577">
      <c r="A577" s="42"/>
      <c r="B577" s="53"/>
      <c r="C577" s="42"/>
      <c r="D577" s="52"/>
      <c r="E577" s="53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</row>
    <row r="578">
      <c r="A578" s="42"/>
      <c r="B578" s="53"/>
      <c r="C578" s="42"/>
      <c r="D578" s="52"/>
      <c r="E578" s="53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</row>
    <row r="579">
      <c r="A579" s="42"/>
      <c r="B579" s="53"/>
      <c r="C579" s="42"/>
      <c r="D579" s="52"/>
      <c r="E579" s="53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</row>
    <row r="580">
      <c r="A580" s="42"/>
      <c r="B580" s="53"/>
      <c r="C580" s="42"/>
      <c r="D580" s="52"/>
      <c r="E580" s="53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</row>
    <row r="581">
      <c r="A581" s="42"/>
      <c r="B581" s="53"/>
      <c r="C581" s="42"/>
      <c r="D581" s="52"/>
      <c r="E581" s="53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</row>
    <row r="582">
      <c r="A582" s="42"/>
      <c r="B582" s="53"/>
      <c r="C582" s="42"/>
      <c r="D582" s="52"/>
      <c r="E582" s="53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</row>
    <row r="583">
      <c r="A583" s="42"/>
      <c r="B583" s="53"/>
      <c r="C583" s="42"/>
      <c r="D583" s="52"/>
      <c r="E583" s="53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</row>
    <row r="584">
      <c r="A584" s="42"/>
      <c r="B584" s="53"/>
      <c r="C584" s="42"/>
      <c r="D584" s="52"/>
      <c r="E584" s="53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</row>
    <row r="585">
      <c r="A585" s="42"/>
      <c r="B585" s="53"/>
      <c r="C585" s="42"/>
      <c r="D585" s="52"/>
      <c r="E585" s="53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</row>
    <row r="586">
      <c r="A586" s="42"/>
      <c r="B586" s="53"/>
      <c r="C586" s="42"/>
      <c r="D586" s="52"/>
      <c r="E586" s="53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</row>
    <row r="587">
      <c r="A587" s="42"/>
      <c r="B587" s="53"/>
      <c r="C587" s="42"/>
      <c r="D587" s="52"/>
      <c r="E587" s="53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</row>
    <row r="588">
      <c r="A588" s="42"/>
      <c r="B588" s="53"/>
      <c r="C588" s="42"/>
      <c r="D588" s="52"/>
      <c r="E588" s="53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</row>
    <row r="589">
      <c r="A589" s="42"/>
      <c r="B589" s="53"/>
      <c r="C589" s="42"/>
      <c r="D589" s="52"/>
      <c r="E589" s="53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</row>
    <row r="590">
      <c r="A590" s="42"/>
      <c r="B590" s="53"/>
      <c r="C590" s="42"/>
      <c r="D590" s="52"/>
      <c r="E590" s="53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</row>
    <row r="591">
      <c r="A591" s="42"/>
      <c r="B591" s="53"/>
      <c r="C591" s="42"/>
      <c r="D591" s="52"/>
      <c r="E591" s="53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</row>
    <row r="592">
      <c r="A592" s="42"/>
      <c r="B592" s="53"/>
      <c r="C592" s="42"/>
      <c r="D592" s="52"/>
      <c r="E592" s="53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</row>
    <row r="593">
      <c r="A593" s="42"/>
      <c r="B593" s="53"/>
      <c r="C593" s="42"/>
      <c r="D593" s="52"/>
      <c r="E593" s="53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</row>
    <row r="594">
      <c r="A594" s="42"/>
      <c r="B594" s="53"/>
      <c r="C594" s="42"/>
      <c r="D594" s="52"/>
      <c r="E594" s="53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</row>
    <row r="595">
      <c r="A595" s="42"/>
      <c r="B595" s="53"/>
      <c r="C595" s="42"/>
      <c r="D595" s="52"/>
      <c r="E595" s="53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>
      <c r="A596" s="42"/>
      <c r="B596" s="53"/>
      <c r="C596" s="42"/>
      <c r="D596" s="52"/>
      <c r="E596" s="53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</row>
    <row r="597">
      <c r="A597" s="42"/>
      <c r="B597" s="53"/>
      <c r="C597" s="42"/>
      <c r="D597" s="52"/>
      <c r="E597" s="53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</row>
    <row r="598">
      <c r="A598" s="42"/>
      <c r="B598" s="53"/>
      <c r="C598" s="42"/>
      <c r="D598" s="52"/>
      <c r="E598" s="53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>
      <c r="A599" s="42"/>
      <c r="B599" s="53"/>
      <c r="C599" s="42"/>
      <c r="D599" s="52"/>
      <c r="E599" s="53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>
      <c r="A600" s="42"/>
      <c r="B600" s="53"/>
      <c r="C600" s="42"/>
      <c r="D600" s="52"/>
      <c r="E600" s="53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</row>
    <row r="601">
      <c r="A601" s="42"/>
      <c r="B601" s="53"/>
      <c r="C601" s="42"/>
      <c r="D601" s="52"/>
      <c r="E601" s="53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</row>
    <row r="602">
      <c r="A602" s="42"/>
      <c r="B602" s="53"/>
      <c r="C602" s="42"/>
      <c r="D602" s="52"/>
      <c r="E602" s="53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>
      <c r="A603" s="42"/>
      <c r="B603" s="53"/>
      <c r="C603" s="42"/>
      <c r="D603" s="52"/>
      <c r="E603" s="53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>
      <c r="A604" s="42"/>
      <c r="B604" s="53"/>
      <c r="C604" s="42"/>
      <c r="D604" s="52"/>
      <c r="E604" s="53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>
      <c r="A605" s="42"/>
      <c r="B605" s="53"/>
      <c r="C605" s="42"/>
      <c r="D605" s="52"/>
      <c r="E605" s="53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</row>
    <row r="606">
      <c r="A606" s="42"/>
      <c r="B606" s="53"/>
      <c r="C606" s="42"/>
      <c r="D606" s="52"/>
      <c r="E606" s="53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</row>
    <row r="607">
      <c r="A607" s="42"/>
      <c r="B607" s="53"/>
      <c r="C607" s="42"/>
      <c r="D607" s="52"/>
      <c r="E607" s="53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</row>
    <row r="608">
      <c r="A608" s="42"/>
      <c r="B608" s="53"/>
      <c r="C608" s="42"/>
      <c r="D608" s="52"/>
      <c r="E608" s="53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</row>
    <row r="609">
      <c r="A609" s="42"/>
      <c r="B609" s="53"/>
      <c r="C609" s="42"/>
      <c r="D609" s="52"/>
      <c r="E609" s="53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</row>
    <row r="610">
      <c r="A610" s="42"/>
      <c r="B610" s="53"/>
      <c r="C610" s="42"/>
      <c r="D610" s="52"/>
      <c r="E610" s="53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</row>
    <row r="611">
      <c r="A611" s="42"/>
      <c r="B611" s="53"/>
      <c r="C611" s="42"/>
      <c r="D611" s="52"/>
      <c r="E611" s="53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</row>
    <row r="612">
      <c r="A612" s="42"/>
      <c r="B612" s="53"/>
      <c r="C612" s="42"/>
      <c r="D612" s="52"/>
      <c r="E612" s="53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</row>
    <row r="613">
      <c r="A613" s="42"/>
      <c r="B613" s="53"/>
      <c r="C613" s="42"/>
      <c r="D613" s="52"/>
      <c r="E613" s="53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</row>
    <row r="614">
      <c r="A614" s="42"/>
      <c r="B614" s="53"/>
      <c r="C614" s="42"/>
      <c r="D614" s="52"/>
      <c r="E614" s="53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</row>
    <row r="615">
      <c r="A615" s="42"/>
      <c r="B615" s="53"/>
      <c r="C615" s="42"/>
      <c r="D615" s="52"/>
      <c r="E615" s="53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</row>
    <row r="616">
      <c r="A616" s="42"/>
      <c r="B616" s="53"/>
      <c r="C616" s="42"/>
      <c r="D616" s="52"/>
      <c r="E616" s="53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</row>
    <row r="617">
      <c r="A617" s="42"/>
      <c r="B617" s="53"/>
      <c r="C617" s="42"/>
      <c r="D617" s="52"/>
      <c r="E617" s="53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</row>
    <row r="618">
      <c r="A618" s="42"/>
      <c r="B618" s="53"/>
      <c r="C618" s="42"/>
      <c r="D618" s="52"/>
      <c r="E618" s="53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</row>
    <row r="619">
      <c r="A619" s="42"/>
      <c r="B619" s="53"/>
      <c r="C619" s="42"/>
      <c r="D619" s="52"/>
      <c r="E619" s="53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</row>
    <row r="620">
      <c r="A620" s="42"/>
      <c r="B620" s="53"/>
      <c r="C620" s="42"/>
      <c r="D620" s="52"/>
      <c r="E620" s="53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</row>
    <row r="621">
      <c r="A621" s="42"/>
      <c r="B621" s="53"/>
      <c r="C621" s="42"/>
      <c r="D621" s="52"/>
      <c r="E621" s="53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</row>
    <row r="622">
      <c r="A622" s="42"/>
      <c r="B622" s="53"/>
      <c r="C622" s="42"/>
      <c r="D622" s="52"/>
      <c r="E622" s="53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</row>
    <row r="623">
      <c r="A623" s="42"/>
      <c r="B623" s="53"/>
      <c r="C623" s="42"/>
      <c r="D623" s="52"/>
      <c r="E623" s="53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</row>
    <row r="624">
      <c r="A624" s="42"/>
      <c r="B624" s="53"/>
      <c r="C624" s="42"/>
      <c r="D624" s="52"/>
      <c r="E624" s="53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</row>
    <row r="625">
      <c r="A625" s="42"/>
      <c r="B625" s="53"/>
      <c r="C625" s="42"/>
      <c r="D625" s="52"/>
      <c r="E625" s="53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</row>
    <row r="626">
      <c r="A626" s="42"/>
      <c r="B626" s="53"/>
      <c r="C626" s="42"/>
      <c r="D626" s="52"/>
      <c r="E626" s="53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</row>
    <row r="627">
      <c r="A627" s="42"/>
      <c r="B627" s="53"/>
      <c r="C627" s="42"/>
      <c r="D627" s="52"/>
      <c r="E627" s="53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</row>
    <row r="628">
      <c r="A628" s="42"/>
      <c r="B628" s="53"/>
      <c r="C628" s="42"/>
      <c r="D628" s="52"/>
      <c r="E628" s="53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</row>
    <row r="629">
      <c r="A629" s="42"/>
      <c r="B629" s="53"/>
      <c r="C629" s="42"/>
      <c r="D629" s="52"/>
      <c r="E629" s="53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</row>
    <row r="630">
      <c r="A630" s="42"/>
      <c r="B630" s="53"/>
      <c r="C630" s="42"/>
      <c r="D630" s="52"/>
      <c r="E630" s="53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</row>
    <row r="631">
      <c r="A631" s="42"/>
      <c r="B631" s="53"/>
      <c r="C631" s="42"/>
      <c r="D631" s="52"/>
      <c r="E631" s="53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</row>
    <row r="632">
      <c r="A632" s="42"/>
      <c r="B632" s="53"/>
      <c r="C632" s="42"/>
      <c r="D632" s="52"/>
      <c r="E632" s="53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</row>
    <row r="633">
      <c r="A633" s="42"/>
      <c r="B633" s="53"/>
      <c r="C633" s="42"/>
      <c r="D633" s="52"/>
      <c r="E633" s="53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</row>
    <row r="634">
      <c r="A634" s="42"/>
      <c r="B634" s="53"/>
      <c r="C634" s="42"/>
      <c r="D634" s="52"/>
      <c r="E634" s="53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</row>
    <row r="635">
      <c r="A635" s="42"/>
      <c r="B635" s="53"/>
      <c r="C635" s="42"/>
      <c r="D635" s="52"/>
      <c r="E635" s="53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</row>
    <row r="636">
      <c r="A636" s="42"/>
      <c r="B636" s="53"/>
      <c r="C636" s="42"/>
      <c r="D636" s="52"/>
      <c r="E636" s="53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</row>
    <row r="637">
      <c r="A637" s="42"/>
      <c r="B637" s="53"/>
      <c r="C637" s="42"/>
      <c r="D637" s="52"/>
      <c r="E637" s="53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</row>
    <row r="638">
      <c r="A638" s="42"/>
      <c r="B638" s="53"/>
      <c r="C638" s="42"/>
      <c r="D638" s="52"/>
      <c r="E638" s="53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</row>
    <row r="639">
      <c r="A639" s="42"/>
      <c r="B639" s="53"/>
      <c r="C639" s="42"/>
      <c r="D639" s="52"/>
      <c r="E639" s="53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</row>
    <row r="640">
      <c r="A640" s="42"/>
      <c r="B640" s="53"/>
      <c r="C640" s="42"/>
      <c r="D640" s="52"/>
      <c r="E640" s="53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</row>
    <row r="641">
      <c r="A641" s="42"/>
      <c r="B641" s="53"/>
      <c r="C641" s="42"/>
      <c r="D641" s="52"/>
      <c r="E641" s="53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</row>
    <row r="642">
      <c r="A642" s="42"/>
      <c r="B642" s="53"/>
      <c r="C642" s="42"/>
      <c r="D642" s="52"/>
      <c r="E642" s="53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</row>
    <row r="643">
      <c r="A643" s="42"/>
      <c r="B643" s="53"/>
      <c r="C643" s="42"/>
      <c r="D643" s="52"/>
      <c r="E643" s="53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</row>
    <row r="644">
      <c r="A644" s="42"/>
      <c r="B644" s="53"/>
      <c r="C644" s="42"/>
      <c r="D644" s="52"/>
      <c r="E644" s="53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</row>
    <row r="645">
      <c r="A645" s="42"/>
      <c r="B645" s="53"/>
      <c r="C645" s="42"/>
      <c r="D645" s="52"/>
      <c r="E645" s="53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</row>
    <row r="646">
      <c r="A646" s="42"/>
      <c r="B646" s="53"/>
      <c r="C646" s="42"/>
      <c r="D646" s="52"/>
      <c r="E646" s="53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</row>
    <row r="647">
      <c r="A647" s="42"/>
      <c r="B647" s="53"/>
      <c r="C647" s="42"/>
      <c r="D647" s="52"/>
      <c r="E647" s="53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</row>
    <row r="648">
      <c r="A648" s="42"/>
      <c r="B648" s="53"/>
      <c r="C648" s="42"/>
      <c r="D648" s="52"/>
      <c r="E648" s="53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</row>
    <row r="649">
      <c r="A649" s="42"/>
      <c r="B649" s="53"/>
      <c r="C649" s="42"/>
      <c r="D649" s="52"/>
      <c r="E649" s="53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</row>
    <row r="650">
      <c r="A650" s="42"/>
      <c r="B650" s="53"/>
      <c r="C650" s="42"/>
      <c r="D650" s="52"/>
      <c r="E650" s="53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</row>
    <row r="651">
      <c r="A651" s="42"/>
      <c r="B651" s="53"/>
      <c r="C651" s="42"/>
      <c r="D651" s="52"/>
      <c r="E651" s="53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</row>
    <row r="652">
      <c r="A652" s="42"/>
      <c r="B652" s="53"/>
      <c r="C652" s="42"/>
      <c r="D652" s="52"/>
      <c r="E652" s="53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</row>
    <row r="653">
      <c r="A653" s="42"/>
      <c r="B653" s="53"/>
      <c r="C653" s="42"/>
      <c r="D653" s="52"/>
      <c r="E653" s="53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</row>
    <row r="654">
      <c r="A654" s="42"/>
      <c r="B654" s="53"/>
      <c r="C654" s="42"/>
      <c r="D654" s="52"/>
      <c r="E654" s="53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</row>
    <row r="655">
      <c r="A655" s="42"/>
      <c r="B655" s="53"/>
      <c r="C655" s="42"/>
      <c r="D655" s="52"/>
      <c r="E655" s="53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</row>
    <row r="656">
      <c r="A656" s="42"/>
      <c r="B656" s="53"/>
      <c r="C656" s="42"/>
      <c r="D656" s="52"/>
      <c r="E656" s="53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</row>
    <row r="657">
      <c r="A657" s="42"/>
      <c r="B657" s="53"/>
      <c r="C657" s="42"/>
      <c r="D657" s="52"/>
      <c r="E657" s="53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</row>
    <row r="658">
      <c r="A658" s="42"/>
      <c r="B658" s="53"/>
      <c r="C658" s="42"/>
      <c r="D658" s="52"/>
      <c r="E658" s="53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</row>
    <row r="659">
      <c r="A659" s="42"/>
      <c r="B659" s="53"/>
      <c r="C659" s="42"/>
      <c r="D659" s="52"/>
      <c r="E659" s="53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</row>
    <row r="660">
      <c r="A660" s="42"/>
      <c r="B660" s="53"/>
      <c r="C660" s="42"/>
      <c r="D660" s="52"/>
      <c r="E660" s="53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</row>
    <row r="661">
      <c r="A661" s="42"/>
      <c r="B661" s="53"/>
      <c r="C661" s="42"/>
      <c r="D661" s="52"/>
      <c r="E661" s="53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</row>
    <row r="662">
      <c r="A662" s="42"/>
      <c r="B662" s="53"/>
      <c r="C662" s="42"/>
      <c r="D662" s="52"/>
      <c r="E662" s="53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</row>
    <row r="663">
      <c r="A663" s="42"/>
      <c r="B663" s="53"/>
      <c r="C663" s="42"/>
      <c r="D663" s="52"/>
      <c r="E663" s="53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</row>
    <row r="664">
      <c r="A664" s="42"/>
      <c r="B664" s="53"/>
      <c r="C664" s="42"/>
      <c r="D664" s="52"/>
      <c r="E664" s="53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</row>
    <row r="665">
      <c r="A665" s="42"/>
      <c r="B665" s="53"/>
      <c r="C665" s="42"/>
      <c r="D665" s="52"/>
      <c r="E665" s="53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</row>
    <row r="666">
      <c r="A666" s="42"/>
      <c r="B666" s="53"/>
      <c r="C666" s="42"/>
      <c r="D666" s="52"/>
      <c r="E666" s="53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</row>
    <row r="667">
      <c r="A667" s="42"/>
      <c r="B667" s="53"/>
      <c r="C667" s="42"/>
      <c r="D667" s="52"/>
      <c r="E667" s="53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</row>
    <row r="668">
      <c r="A668" s="42"/>
      <c r="B668" s="53"/>
      <c r="C668" s="42"/>
      <c r="D668" s="52"/>
      <c r="E668" s="53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</row>
    <row r="669">
      <c r="A669" s="42"/>
      <c r="B669" s="53"/>
      <c r="C669" s="42"/>
      <c r="D669" s="52"/>
      <c r="E669" s="53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</row>
    <row r="670">
      <c r="A670" s="42"/>
      <c r="B670" s="53"/>
      <c r="C670" s="42"/>
      <c r="D670" s="52"/>
      <c r="E670" s="53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</row>
    <row r="671">
      <c r="A671" s="42"/>
      <c r="B671" s="53"/>
      <c r="C671" s="42"/>
      <c r="D671" s="52"/>
      <c r="E671" s="53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</row>
    <row r="672">
      <c r="A672" s="42"/>
      <c r="B672" s="53"/>
      <c r="C672" s="42"/>
      <c r="D672" s="52"/>
      <c r="E672" s="53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</row>
    <row r="673">
      <c r="A673" s="42"/>
      <c r="B673" s="53"/>
      <c r="C673" s="42"/>
      <c r="D673" s="52"/>
      <c r="E673" s="53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</row>
    <row r="674">
      <c r="A674" s="42"/>
      <c r="B674" s="53"/>
      <c r="C674" s="42"/>
      <c r="D674" s="52"/>
      <c r="E674" s="53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</row>
    <row r="675">
      <c r="A675" s="42"/>
      <c r="B675" s="53"/>
      <c r="C675" s="42"/>
      <c r="D675" s="52"/>
      <c r="E675" s="53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</row>
    <row r="676">
      <c r="A676" s="42"/>
      <c r="B676" s="53"/>
      <c r="C676" s="42"/>
      <c r="D676" s="52"/>
      <c r="E676" s="53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</row>
    <row r="677">
      <c r="A677" s="42"/>
      <c r="B677" s="53"/>
      <c r="C677" s="42"/>
      <c r="D677" s="52"/>
      <c r="E677" s="53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</row>
    <row r="678">
      <c r="A678" s="42"/>
      <c r="B678" s="53"/>
      <c r="C678" s="42"/>
      <c r="D678" s="52"/>
      <c r="E678" s="53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</row>
    <row r="679">
      <c r="A679" s="42"/>
      <c r="B679" s="53"/>
      <c r="C679" s="42"/>
      <c r="D679" s="52"/>
      <c r="E679" s="53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</row>
    <row r="680">
      <c r="A680" s="42"/>
      <c r="B680" s="53"/>
      <c r="C680" s="42"/>
      <c r="D680" s="52"/>
      <c r="E680" s="53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</row>
    <row r="681">
      <c r="A681" s="42"/>
      <c r="B681" s="53"/>
      <c r="C681" s="42"/>
      <c r="D681" s="52"/>
      <c r="E681" s="53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</row>
    <row r="682">
      <c r="A682" s="42"/>
      <c r="B682" s="53"/>
      <c r="C682" s="42"/>
      <c r="D682" s="52"/>
      <c r="E682" s="53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</row>
    <row r="683">
      <c r="A683" s="42"/>
      <c r="B683" s="53"/>
      <c r="C683" s="42"/>
      <c r="D683" s="52"/>
      <c r="E683" s="53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</row>
    <row r="684">
      <c r="A684" s="42"/>
      <c r="B684" s="53"/>
      <c r="C684" s="42"/>
      <c r="D684" s="52"/>
      <c r="E684" s="53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</row>
    <row r="685">
      <c r="A685" s="42"/>
      <c r="B685" s="53"/>
      <c r="C685" s="42"/>
      <c r="D685" s="52"/>
      <c r="E685" s="53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</row>
    <row r="686">
      <c r="A686" s="42"/>
      <c r="B686" s="53"/>
      <c r="C686" s="42"/>
      <c r="D686" s="52"/>
      <c r="E686" s="53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</row>
    <row r="687">
      <c r="A687" s="42"/>
      <c r="B687" s="53"/>
      <c r="C687" s="42"/>
      <c r="D687" s="52"/>
      <c r="E687" s="53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</row>
    <row r="688">
      <c r="A688" s="42"/>
      <c r="B688" s="53"/>
      <c r="C688" s="42"/>
      <c r="D688" s="52"/>
      <c r="E688" s="53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</row>
    <row r="689">
      <c r="A689" s="42"/>
      <c r="B689" s="53"/>
      <c r="C689" s="42"/>
      <c r="D689" s="52"/>
      <c r="E689" s="53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</row>
    <row r="690">
      <c r="A690" s="42"/>
      <c r="B690" s="53"/>
      <c r="C690" s="42"/>
      <c r="D690" s="52"/>
      <c r="E690" s="53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</row>
    <row r="691">
      <c r="A691" s="42"/>
      <c r="B691" s="53"/>
      <c r="C691" s="42"/>
      <c r="D691" s="52"/>
      <c r="E691" s="53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</row>
    <row r="692">
      <c r="A692" s="42"/>
      <c r="B692" s="53"/>
      <c r="C692" s="42"/>
      <c r="D692" s="52"/>
      <c r="E692" s="53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</row>
    <row r="693">
      <c r="A693" s="42"/>
      <c r="B693" s="53"/>
      <c r="C693" s="42"/>
      <c r="D693" s="52"/>
      <c r="E693" s="53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</row>
    <row r="694">
      <c r="A694" s="42"/>
      <c r="B694" s="53"/>
      <c r="C694" s="42"/>
      <c r="D694" s="52"/>
      <c r="E694" s="53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</row>
    <row r="695">
      <c r="A695" s="42"/>
      <c r="B695" s="53"/>
      <c r="C695" s="42"/>
      <c r="D695" s="52"/>
      <c r="E695" s="53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</row>
    <row r="696">
      <c r="A696" s="42"/>
      <c r="B696" s="53"/>
      <c r="C696" s="42"/>
      <c r="D696" s="52"/>
      <c r="E696" s="53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</row>
    <row r="697">
      <c r="A697" s="42"/>
      <c r="B697" s="53"/>
      <c r="C697" s="42"/>
      <c r="D697" s="52"/>
      <c r="E697" s="53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</row>
    <row r="698">
      <c r="A698" s="42"/>
      <c r="B698" s="53"/>
      <c r="C698" s="42"/>
      <c r="D698" s="52"/>
      <c r="E698" s="53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</row>
    <row r="699">
      <c r="A699" s="42"/>
      <c r="B699" s="53"/>
      <c r="C699" s="42"/>
      <c r="D699" s="52"/>
      <c r="E699" s="53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</row>
    <row r="700">
      <c r="A700" s="42"/>
      <c r="B700" s="53"/>
      <c r="C700" s="42"/>
      <c r="D700" s="52"/>
      <c r="E700" s="53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</row>
    <row r="701">
      <c r="A701" s="42"/>
      <c r="B701" s="53"/>
      <c r="C701" s="42"/>
      <c r="D701" s="52"/>
      <c r="E701" s="53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</row>
    <row r="702">
      <c r="A702" s="42"/>
      <c r="B702" s="53"/>
      <c r="C702" s="42"/>
      <c r="D702" s="52"/>
      <c r="E702" s="53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</row>
    <row r="703">
      <c r="A703" s="42"/>
      <c r="B703" s="53"/>
      <c r="C703" s="42"/>
      <c r="D703" s="52"/>
      <c r="E703" s="53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</row>
    <row r="704">
      <c r="A704" s="42"/>
      <c r="B704" s="53"/>
      <c r="C704" s="42"/>
      <c r="D704" s="52"/>
      <c r="E704" s="53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</row>
    <row r="705">
      <c r="A705" s="42"/>
      <c r="B705" s="53"/>
      <c r="C705" s="42"/>
      <c r="D705" s="52"/>
      <c r="E705" s="53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</row>
    <row r="706">
      <c r="A706" s="42"/>
      <c r="B706" s="53"/>
      <c r="C706" s="42"/>
      <c r="D706" s="52"/>
      <c r="E706" s="53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</row>
    <row r="707">
      <c r="A707" s="42"/>
      <c r="B707" s="53"/>
      <c r="C707" s="42"/>
      <c r="D707" s="52"/>
      <c r="E707" s="53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</row>
    <row r="708">
      <c r="A708" s="42"/>
      <c r="B708" s="53"/>
      <c r="C708" s="42"/>
      <c r="D708" s="52"/>
      <c r="E708" s="53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</row>
    <row r="709">
      <c r="A709" s="42"/>
      <c r="B709" s="53"/>
      <c r="C709" s="42"/>
      <c r="D709" s="52"/>
      <c r="E709" s="53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</row>
    <row r="710">
      <c r="A710" s="42"/>
      <c r="B710" s="53"/>
      <c r="C710" s="42"/>
      <c r="D710" s="52"/>
      <c r="E710" s="53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</row>
    <row r="711">
      <c r="A711" s="42"/>
      <c r="B711" s="53"/>
      <c r="C711" s="42"/>
      <c r="D711" s="52"/>
      <c r="E711" s="53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</row>
    <row r="712">
      <c r="A712" s="42"/>
      <c r="B712" s="53"/>
      <c r="C712" s="42"/>
      <c r="D712" s="52"/>
      <c r="E712" s="53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</row>
    <row r="713">
      <c r="A713" s="42"/>
      <c r="B713" s="53"/>
      <c r="C713" s="42"/>
      <c r="D713" s="52"/>
      <c r="E713" s="53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</row>
    <row r="714">
      <c r="A714" s="42"/>
      <c r="B714" s="53"/>
      <c r="C714" s="42"/>
      <c r="D714" s="52"/>
      <c r="E714" s="53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</row>
    <row r="715">
      <c r="A715" s="42"/>
      <c r="B715" s="53"/>
      <c r="C715" s="42"/>
      <c r="D715" s="52"/>
      <c r="E715" s="53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</row>
    <row r="716">
      <c r="A716" s="42"/>
      <c r="B716" s="53"/>
      <c r="C716" s="42"/>
      <c r="D716" s="52"/>
      <c r="E716" s="53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</row>
    <row r="717">
      <c r="A717" s="42"/>
      <c r="B717" s="53"/>
      <c r="C717" s="42"/>
      <c r="D717" s="52"/>
      <c r="E717" s="53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</row>
    <row r="718">
      <c r="A718" s="42"/>
      <c r="B718" s="53"/>
      <c r="C718" s="42"/>
      <c r="D718" s="52"/>
      <c r="E718" s="53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</row>
    <row r="719">
      <c r="A719" s="42"/>
      <c r="B719" s="53"/>
      <c r="C719" s="42"/>
      <c r="D719" s="52"/>
      <c r="E719" s="53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</row>
    <row r="720">
      <c r="A720" s="42"/>
      <c r="B720" s="53"/>
      <c r="C720" s="42"/>
      <c r="D720" s="52"/>
      <c r="E720" s="53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</row>
    <row r="721">
      <c r="A721" s="42"/>
      <c r="B721" s="53"/>
      <c r="C721" s="42"/>
      <c r="D721" s="52"/>
      <c r="E721" s="53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>
      <c r="A722" s="42"/>
      <c r="B722" s="53"/>
      <c r="C722" s="42"/>
      <c r="D722" s="52"/>
      <c r="E722" s="53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</row>
    <row r="723">
      <c r="A723" s="42"/>
      <c r="B723" s="53"/>
      <c r="C723" s="42"/>
      <c r="D723" s="52"/>
      <c r="E723" s="53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</row>
    <row r="724">
      <c r="A724" s="42"/>
      <c r="B724" s="53"/>
      <c r="C724" s="42"/>
      <c r="D724" s="52"/>
      <c r="E724" s="53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</row>
    <row r="725">
      <c r="A725" s="42"/>
      <c r="B725" s="53"/>
      <c r="C725" s="42"/>
      <c r="D725" s="52"/>
      <c r="E725" s="53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</row>
    <row r="726">
      <c r="A726" s="42"/>
      <c r="B726" s="53"/>
      <c r="C726" s="42"/>
      <c r="D726" s="52"/>
      <c r="E726" s="53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</row>
    <row r="727">
      <c r="A727" s="42"/>
      <c r="B727" s="53"/>
      <c r="C727" s="42"/>
      <c r="D727" s="52"/>
      <c r="E727" s="53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</row>
    <row r="728">
      <c r="A728" s="42"/>
      <c r="B728" s="53"/>
      <c r="C728" s="42"/>
      <c r="D728" s="52"/>
      <c r="E728" s="53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</row>
    <row r="729">
      <c r="A729" s="42"/>
      <c r="B729" s="53"/>
      <c r="C729" s="42"/>
      <c r="D729" s="52"/>
      <c r="E729" s="53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</row>
    <row r="730">
      <c r="A730" s="42"/>
      <c r="B730" s="53"/>
      <c r="C730" s="42"/>
      <c r="D730" s="52"/>
      <c r="E730" s="53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</row>
    <row r="731">
      <c r="A731" s="42"/>
      <c r="B731" s="53"/>
      <c r="C731" s="42"/>
      <c r="D731" s="52"/>
      <c r="E731" s="53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</row>
    <row r="732">
      <c r="A732" s="42"/>
      <c r="B732" s="53"/>
      <c r="C732" s="42"/>
      <c r="D732" s="52"/>
      <c r="E732" s="53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</row>
    <row r="733">
      <c r="A733" s="42"/>
      <c r="B733" s="53"/>
      <c r="C733" s="42"/>
      <c r="D733" s="52"/>
      <c r="E733" s="53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</row>
    <row r="734">
      <c r="A734" s="42"/>
      <c r="B734" s="53"/>
      <c r="C734" s="42"/>
      <c r="D734" s="52"/>
      <c r="E734" s="53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</row>
    <row r="735">
      <c r="A735" s="42"/>
      <c r="B735" s="53"/>
      <c r="C735" s="42"/>
      <c r="D735" s="52"/>
      <c r="E735" s="53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</row>
    <row r="736">
      <c r="A736" s="42"/>
      <c r="B736" s="53"/>
      <c r="C736" s="42"/>
      <c r="D736" s="52"/>
      <c r="E736" s="53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</row>
    <row r="737">
      <c r="A737" s="42"/>
      <c r="B737" s="53"/>
      <c r="C737" s="42"/>
      <c r="D737" s="52"/>
      <c r="E737" s="53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</row>
    <row r="738">
      <c r="A738" s="42"/>
      <c r="B738" s="53"/>
      <c r="C738" s="42"/>
      <c r="D738" s="52"/>
      <c r="E738" s="53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</row>
    <row r="739">
      <c r="A739" s="42"/>
      <c r="B739" s="53"/>
      <c r="C739" s="42"/>
      <c r="D739" s="52"/>
      <c r="E739" s="53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</row>
    <row r="740">
      <c r="A740" s="42"/>
      <c r="B740" s="53"/>
      <c r="C740" s="42"/>
      <c r="D740" s="52"/>
      <c r="E740" s="53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</row>
    <row r="741">
      <c r="A741" s="42"/>
      <c r="B741" s="53"/>
      <c r="C741" s="42"/>
      <c r="D741" s="52"/>
      <c r="E741" s="53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</row>
    <row r="742">
      <c r="A742" s="42"/>
      <c r="B742" s="53"/>
      <c r="C742" s="42"/>
      <c r="D742" s="52"/>
      <c r="E742" s="53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</row>
    <row r="743">
      <c r="A743" s="42"/>
      <c r="B743" s="53"/>
      <c r="C743" s="42"/>
      <c r="D743" s="52"/>
      <c r="E743" s="53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</row>
    <row r="744">
      <c r="A744" s="42"/>
      <c r="B744" s="53"/>
      <c r="C744" s="42"/>
      <c r="D744" s="52"/>
      <c r="E744" s="53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</row>
    <row r="745">
      <c r="A745" s="42"/>
      <c r="B745" s="53"/>
      <c r="C745" s="42"/>
      <c r="D745" s="52"/>
      <c r="E745" s="53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</row>
    <row r="746">
      <c r="A746" s="42"/>
      <c r="B746" s="53"/>
      <c r="C746" s="42"/>
      <c r="D746" s="52"/>
      <c r="E746" s="53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</row>
    <row r="747">
      <c r="A747" s="42"/>
      <c r="B747" s="53"/>
      <c r="C747" s="42"/>
      <c r="D747" s="52"/>
      <c r="E747" s="53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</row>
    <row r="748">
      <c r="A748" s="42"/>
      <c r="B748" s="53"/>
      <c r="C748" s="42"/>
      <c r="D748" s="52"/>
      <c r="E748" s="53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</row>
    <row r="749">
      <c r="A749" s="42"/>
      <c r="B749" s="53"/>
      <c r="C749" s="42"/>
      <c r="D749" s="52"/>
      <c r="E749" s="53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</row>
    <row r="750">
      <c r="A750" s="42"/>
      <c r="B750" s="53"/>
      <c r="C750" s="42"/>
      <c r="D750" s="52"/>
      <c r="E750" s="53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</row>
    <row r="751">
      <c r="A751" s="42"/>
      <c r="B751" s="53"/>
      <c r="C751" s="42"/>
      <c r="D751" s="52"/>
      <c r="E751" s="53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</row>
    <row r="752">
      <c r="A752" s="42"/>
      <c r="B752" s="53"/>
      <c r="C752" s="42"/>
      <c r="D752" s="52"/>
      <c r="E752" s="53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</row>
    <row r="753">
      <c r="A753" s="42"/>
      <c r="B753" s="53"/>
      <c r="C753" s="42"/>
      <c r="D753" s="52"/>
      <c r="E753" s="53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</row>
    <row r="754">
      <c r="A754" s="42"/>
      <c r="B754" s="53"/>
      <c r="C754" s="42"/>
      <c r="D754" s="52"/>
      <c r="E754" s="53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</row>
    <row r="755">
      <c r="A755" s="42"/>
      <c r="B755" s="53"/>
      <c r="C755" s="42"/>
      <c r="D755" s="52"/>
      <c r="E755" s="53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</row>
    <row r="756">
      <c r="A756" s="42"/>
      <c r="B756" s="53"/>
      <c r="C756" s="42"/>
      <c r="D756" s="52"/>
      <c r="E756" s="53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</row>
    <row r="757">
      <c r="A757" s="42"/>
      <c r="B757" s="53"/>
      <c r="C757" s="42"/>
      <c r="D757" s="52"/>
      <c r="E757" s="53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</row>
    <row r="758">
      <c r="A758" s="42"/>
      <c r="B758" s="53"/>
      <c r="C758" s="42"/>
      <c r="D758" s="52"/>
      <c r="E758" s="53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</row>
    <row r="759">
      <c r="A759" s="42"/>
      <c r="B759" s="53"/>
      <c r="C759" s="42"/>
      <c r="D759" s="52"/>
      <c r="E759" s="53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</row>
    <row r="760">
      <c r="A760" s="42"/>
      <c r="B760" s="53"/>
      <c r="C760" s="42"/>
      <c r="D760" s="52"/>
      <c r="E760" s="53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</row>
    <row r="761">
      <c r="A761" s="42"/>
      <c r="B761" s="53"/>
      <c r="C761" s="42"/>
      <c r="D761" s="52"/>
      <c r="E761" s="53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</row>
    <row r="762">
      <c r="A762" s="42"/>
      <c r="B762" s="53"/>
      <c r="C762" s="42"/>
      <c r="D762" s="52"/>
      <c r="E762" s="53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</row>
    <row r="763">
      <c r="A763" s="42"/>
      <c r="B763" s="53"/>
      <c r="C763" s="42"/>
      <c r="D763" s="52"/>
      <c r="E763" s="53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</row>
    <row r="764">
      <c r="A764" s="42"/>
      <c r="B764" s="53"/>
      <c r="C764" s="42"/>
      <c r="D764" s="52"/>
      <c r="E764" s="53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</row>
    <row r="765">
      <c r="A765" s="42"/>
      <c r="B765" s="53"/>
      <c r="C765" s="42"/>
      <c r="D765" s="52"/>
      <c r="E765" s="53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</row>
    <row r="766">
      <c r="A766" s="42"/>
      <c r="B766" s="53"/>
      <c r="C766" s="42"/>
      <c r="D766" s="52"/>
      <c r="E766" s="53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</row>
    <row r="767">
      <c r="A767" s="42"/>
      <c r="B767" s="53"/>
      <c r="C767" s="42"/>
      <c r="D767" s="52"/>
      <c r="E767" s="53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</row>
    <row r="768">
      <c r="A768" s="42"/>
      <c r="B768" s="53"/>
      <c r="C768" s="42"/>
      <c r="D768" s="52"/>
      <c r="E768" s="53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</row>
    <row r="769">
      <c r="A769" s="42"/>
      <c r="B769" s="53"/>
      <c r="C769" s="42"/>
      <c r="D769" s="52"/>
      <c r="E769" s="53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</row>
    <row r="770">
      <c r="A770" s="42"/>
      <c r="B770" s="53"/>
      <c r="C770" s="42"/>
      <c r="D770" s="52"/>
      <c r="E770" s="53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</row>
    <row r="771">
      <c r="A771" s="42"/>
      <c r="B771" s="53"/>
      <c r="C771" s="42"/>
      <c r="D771" s="52"/>
      <c r="E771" s="53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</row>
    <row r="772">
      <c r="A772" s="42"/>
      <c r="B772" s="53"/>
      <c r="C772" s="42"/>
      <c r="D772" s="52"/>
      <c r="E772" s="53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</row>
    <row r="773">
      <c r="A773" s="42"/>
      <c r="B773" s="53"/>
      <c r="C773" s="42"/>
      <c r="D773" s="52"/>
      <c r="E773" s="53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</row>
    <row r="774">
      <c r="A774" s="42"/>
      <c r="B774" s="53"/>
      <c r="C774" s="42"/>
      <c r="D774" s="52"/>
      <c r="E774" s="53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</row>
    <row r="775">
      <c r="A775" s="42"/>
      <c r="B775" s="53"/>
      <c r="C775" s="42"/>
      <c r="D775" s="52"/>
      <c r="E775" s="53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</row>
    <row r="776">
      <c r="A776" s="42"/>
      <c r="B776" s="53"/>
      <c r="C776" s="42"/>
      <c r="D776" s="52"/>
      <c r="E776" s="53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</row>
    <row r="777">
      <c r="A777" s="42"/>
      <c r="B777" s="53"/>
      <c r="C777" s="42"/>
      <c r="D777" s="52"/>
      <c r="E777" s="53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</row>
    <row r="778">
      <c r="A778" s="42"/>
      <c r="B778" s="53"/>
      <c r="C778" s="42"/>
      <c r="D778" s="52"/>
      <c r="E778" s="53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</row>
    <row r="779">
      <c r="A779" s="42"/>
      <c r="B779" s="53"/>
      <c r="C779" s="42"/>
      <c r="D779" s="52"/>
      <c r="E779" s="53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</row>
    <row r="780">
      <c r="A780" s="42"/>
      <c r="B780" s="53"/>
      <c r="C780" s="42"/>
      <c r="D780" s="52"/>
      <c r="E780" s="53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</row>
    <row r="781">
      <c r="A781" s="42"/>
      <c r="B781" s="53"/>
      <c r="C781" s="42"/>
      <c r="D781" s="52"/>
      <c r="E781" s="53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</row>
    <row r="782">
      <c r="A782" s="42"/>
      <c r="B782" s="53"/>
      <c r="C782" s="42"/>
      <c r="D782" s="52"/>
      <c r="E782" s="53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</row>
    <row r="783">
      <c r="A783" s="42"/>
      <c r="B783" s="53"/>
      <c r="C783" s="42"/>
      <c r="D783" s="52"/>
      <c r="E783" s="53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</row>
    <row r="784">
      <c r="A784" s="42"/>
      <c r="B784" s="53"/>
      <c r="C784" s="42"/>
      <c r="D784" s="52"/>
      <c r="E784" s="53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</row>
    <row r="785">
      <c r="A785" s="42"/>
      <c r="B785" s="53"/>
      <c r="C785" s="42"/>
      <c r="D785" s="52"/>
      <c r="E785" s="53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</row>
    <row r="786">
      <c r="A786" s="42"/>
      <c r="B786" s="53"/>
      <c r="C786" s="42"/>
      <c r="D786" s="52"/>
      <c r="E786" s="53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</row>
    <row r="787">
      <c r="A787" s="42"/>
      <c r="B787" s="53"/>
      <c r="C787" s="42"/>
      <c r="D787" s="52"/>
      <c r="E787" s="53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</row>
    <row r="788">
      <c r="A788" s="42"/>
      <c r="B788" s="53"/>
      <c r="C788" s="42"/>
      <c r="D788" s="52"/>
      <c r="E788" s="53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</row>
    <row r="789">
      <c r="A789" s="42"/>
      <c r="B789" s="53"/>
      <c r="C789" s="42"/>
      <c r="D789" s="52"/>
      <c r="E789" s="53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</row>
    <row r="790">
      <c r="A790" s="42"/>
      <c r="B790" s="53"/>
      <c r="C790" s="42"/>
      <c r="D790" s="52"/>
      <c r="E790" s="53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</row>
    <row r="791">
      <c r="A791" s="42"/>
      <c r="B791" s="53"/>
      <c r="C791" s="42"/>
      <c r="D791" s="52"/>
      <c r="E791" s="53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</row>
    <row r="792">
      <c r="A792" s="42"/>
      <c r="B792" s="53"/>
      <c r="C792" s="42"/>
      <c r="D792" s="52"/>
      <c r="E792" s="53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</row>
    <row r="793">
      <c r="A793" s="42"/>
      <c r="B793" s="53"/>
      <c r="C793" s="42"/>
      <c r="D793" s="52"/>
      <c r="E793" s="53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</row>
    <row r="794">
      <c r="A794" s="42"/>
      <c r="B794" s="53"/>
      <c r="C794" s="42"/>
      <c r="D794" s="52"/>
      <c r="E794" s="53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</row>
    <row r="795">
      <c r="A795" s="42"/>
      <c r="B795" s="53"/>
      <c r="C795" s="42"/>
      <c r="D795" s="52"/>
      <c r="E795" s="53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</row>
    <row r="796">
      <c r="A796" s="42"/>
      <c r="B796" s="53"/>
      <c r="C796" s="42"/>
      <c r="D796" s="52"/>
      <c r="E796" s="53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</row>
    <row r="797">
      <c r="A797" s="42"/>
      <c r="B797" s="53"/>
      <c r="C797" s="42"/>
      <c r="D797" s="52"/>
      <c r="E797" s="53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</row>
    <row r="798">
      <c r="A798" s="42"/>
      <c r="B798" s="53"/>
      <c r="C798" s="42"/>
      <c r="D798" s="52"/>
      <c r="E798" s="53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</row>
    <row r="799">
      <c r="A799" s="42"/>
      <c r="B799" s="53"/>
      <c r="C799" s="42"/>
      <c r="D799" s="52"/>
      <c r="E799" s="53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</row>
    <row r="800">
      <c r="A800" s="42"/>
      <c r="B800" s="53"/>
      <c r="C800" s="42"/>
      <c r="D800" s="52"/>
      <c r="E800" s="53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</row>
    <row r="801">
      <c r="A801" s="42"/>
      <c r="B801" s="53"/>
      <c r="C801" s="42"/>
      <c r="D801" s="52"/>
      <c r="E801" s="53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</row>
    <row r="802">
      <c r="A802" s="42"/>
      <c r="B802" s="53"/>
      <c r="C802" s="42"/>
      <c r="D802" s="52"/>
      <c r="E802" s="53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</row>
    <row r="803">
      <c r="A803" s="42"/>
      <c r="B803" s="53"/>
      <c r="C803" s="42"/>
      <c r="D803" s="52"/>
      <c r="E803" s="53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</row>
    <row r="804">
      <c r="A804" s="42"/>
      <c r="B804" s="53"/>
      <c r="C804" s="42"/>
      <c r="D804" s="52"/>
      <c r="E804" s="53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</row>
    <row r="805">
      <c r="A805" s="42"/>
      <c r="B805" s="53"/>
      <c r="C805" s="42"/>
      <c r="D805" s="52"/>
      <c r="E805" s="53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</row>
    <row r="806">
      <c r="A806" s="42"/>
      <c r="B806" s="53"/>
      <c r="C806" s="42"/>
      <c r="D806" s="52"/>
      <c r="E806" s="53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</row>
    <row r="807">
      <c r="A807" s="42"/>
      <c r="B807" s="53"/>
      <c r="C807" s="42"/>
      <c r="D807" s="52"/>
      <c r="E807" s="53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</row>
    <row r="808">
      <c r="A808" s="42"/>
      <c r="B808" s="53"/>
      <c r="C808" s="42"/>
      <c r="D808" s="52"/>
      <c r="E808" s="53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</row>
    <row r="809">
      <c r="A809" s="42"/>
      <c r="B809" s="53"/>
      <c r="C809" s="42"/>
      <c r="D809" s="52"/>
      <c r="E809" s="53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</row>
    <row r="810">
      <c r="A810" s="42"/>
      <c r="B810" s="53"/>
      <c r="C810" s="42"/>
      <c r="D810" s="52"/>
      <c r="E810" s="53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</row>
    <row r="811">
      <c r="A811" s="42"/>
      <c r="B811" s="53"/>
      <c r="C811" s="42"/>
      <c r="D811" s="52"/>
      <c r="E811" s="53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</row>
    <row r="812">
      <c r="A812" s="42"/>
      <c r="B812" s="53"/>
      <c r="C812" s="42"/>
      <c r="D812" s="52"/>
      <c r="E812" s="53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</row>
    <row r="813">
      <c r="A813" s="42"/>
      <c r="B813" s="53"/>
      <c r="C813" s="42"/>
      <c r="D813" s="52"/>
      <c r="E813" s="53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</row>
    <row r="814">
      <c r="A814" s="42"/>
      <c r="B814" s="53"/>
      <c r="C814" s="42"/>
      <c r="D814" s="52"/>
      <c r="E814" s="53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</row>
    <row r="815">
      <c r="A815" s="42"/>
      <c r="B815" s="53"/>
      <c r="C815" s="42"/>
      <c r="D815" s="52"/>
      <c r="E815" s="53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</row>
    <row r="816">
      <c r="A816" s="42"/>
      <c r="B816" s="53"/>
      <c r="C816" s="42"/>
      <c r="D816" s="52"/>
      <c r="E816" s="53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</row>
    <row r="817">
      <c r="A817" s="42"/>
      <c r="B817" s="53"/>
      <c r="C817" s="42"/>
      <c r="D817" s="52"/>
      <c r="E817" s="53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</row>
    <row r="818">
      <c r="A818" s="42"/>
      <c r="B818" s="53"/>
      <c r="C818" s="42"/>
      <c r="D818" s="52"/>
      <c r="E818" s="53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</row>
    <row r="819">
      <c r="A819" s="42"/>
      <c r="B819" s="53"/>
      <c r="C819" s="42"/>
      <c r="D819" s="52"/>
      <c r="E819" s="53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</row>
    <row r="820">
      <c r="A820" s="42"/>
      <c r="B820" s="53"/>
      <c r="C820" s="42"/>
      <c r="D820" s="52"/>
      <c r="E820" s="53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</row>
    <row r="821">
      <c r="A821" s="42"/>
      <c r="B821" s="53"/>
      <c r="C821" s="42"/>
      <c r="D821" s="52"/>
      <c r="E821" s="53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</row>
    <row r="822">
      <c r="A822" s="42"/>
      <c r="B822" s="53"/>
      <c r="C822" s="42"/>
      <c r="D822" s="52"/>
      <c r="E822" s="53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</row>
    <row r="823">
      <c r="A823" s="42"/>
      <c r="B823" s="53"/>
      <c r="C823" s="42"/>
      <c r="D823" s="52"/>
      <c r="E823" s="53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</row>
    <row r="824">
      <c r="A824" s="42"/>
      <c r="B824" s="53"/>
      <c r="C824" s="42"/>
      <c r="D824" s="52"/>
      <c r="E824" s="53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</row>
    <row r="825">
      <c r="A825" s="42"/>
      <c r="B825" s="53"/>
      <c r="C825" s="42"/>
      <c r="D825" s="52"/>
      <c r="E825" s="53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</row>
    <row r="826">
      <c r="A826" s="42"/>
      <c r="B826" s="53"/>
      <c r="C826" s="42"/>
      <c r="D826" s="52"/>
      <c r="E826" s="53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</row>
    <row r="827">
      <c r="A827" s="42"/>
      <c r="B827" s="53"/>
      <c r="C827" s="42"/>
      <c r="D827" s="52"/>
      <c r="E827" s="53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</row>
    <row r="828">
      <c r="A828" s="42"/>
      <c r="B828" s="53"/>
      <c r="C828" s="42"/>
      <c r="D828" s="52"/>
      <c r="E828" s="53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</row>
    <row r="829">
      <c r="A829" s="42"/>
      <c r="B829" s="53"/>
      <c r="C829" s="42"/>
      <c r="D829" s="52"/>
      <c r="E829" s="53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</row>
    <row r="830">
      <c r="A830" s="42"/>
      <c r="B830" s="53"/>
      <c r="C830" s="42"/>
      <c r="D830" s="52"/>
      <c r="E830" s="53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</row>
    <row r="831">
      <c r="A831" s="42"/>
      <c r="B831" s="53"/>
      <c r="C831" s="42"/>
      <c r="D831" s="52"/>
      <c r="E831" s="53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</row>
    <row r="832">
      <c r="A832" s="42"/>
      <c r="B832" s="53"/>
      <c r="C832" s="42"/>
      <c r="D832" s="52"/>
      <c r="E832" s="53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</row>
    <row r="833">
      <c r="A833" s="42"/>
      <c r="B833" s="53"/>
      <c r="C833" s="42"/>
      <c r="D833" s="52"/>
      <c r="E833" s="53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</row>
    <row r="834">
      <c r="A834" s="42"/>
      <c r="B834" s="53"/>
      <c r="C834" s="42"/>
      <c r="D834" s="52"/>
      <c r="E834" s="53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</row>
    <row r="835">
      <c r="A835" s="42"/>
      <c r="B835" s="53"/>
      <c r="C835" s="42"/>
      <c r="D835" s="52"/>
      <c r="E835" s="53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</row>
    <row r="836">
      <c r="A836" s="42"/>
      <c r="B836" s="53"/>
      <c r="C836" s="42"/>
      <c r="D836" s="52"/>
      <c r="E836" s="53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</row>
    <row r="837">
      <c r="A837" s="42"/>
      <c r="B837" s="53"/>
      <c r="C837" s="42"/>
      <c r="D837" s="52"/>
      <c r="E837" s="53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</row>
    <row r="838">
      <c r="A838" s="42"/>
      <c r="B838" s="53"/>
      <c r="C838" s="42"/>
      <c r="D838" s="52"/>
      <c r="E838" s="53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</row>
    <row r="839">
      <c r="A839" s="42"/>
      <c r="B839" s="53"/>
      <c r="C839" s="42"/>
      <c r="D839" s="52"/>
      <c r="E839" s="53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</row>
    <row r="840">
      <c r="A840" s="42"/>
      <c r="B840" s="53"/>
      <c r="C840" s="42"/>
      <c r="D840" s="52"/>
      <c r="E840" s="53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</row>
    <row r="841">
      <c r="A841" s="42"/>
      <c r="B841" s="53"/>
      <c r="C841" s="42"/>
      <c r="D841" s="52"/>
      <c r="E841" s="53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</row>
    <row r="842">
      <c r="A842" s="42"/>
      <c r="B842" s="53"/>
      <c r="C842" s="42"/>
      <c r="D842" s="52"/>
      <c r="E842" s="53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</row>
    <row r="843">
      <c r="A843" s="42"/>
      <c r="B843" s="53"/>
      <c r="C843" s="42"/>
      <c r="D843" s="52"/>
      <c r="E843" s="53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</row>
    <row r="844">
      <c r="A844" s="42"/>
      <c r="B844" s="53"/>
      <c r="C844" s="42"/>
      <c r="D844" s="52"/>
      <c r="E844" s="53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</row>
    <row r="845">
      <c r="A845" s="42"/>
      <c r="B845" s="53"/>
      <c r="C845" s="42"/>
      <c r="D845" s="52"/>
      <c r="E845" s="53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</row>
    <row r="846">
      <c r="A846" s="42"/>
      <c r="B846" s="53"/>
      <c r="C846" s="42"/>
      <c r="D846" s="52"/>
      <c r="E846" s="53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</row>
    <row r="847">
      <c r="A847" s="42"/>
      <c r="B847" s="53"/>
      <c r="C847" s="42"/>
      <c r="D847" s="52"/>
      <c r="E847" s="53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</row>
    <row r="848">
      <c r="A848" s="42"/>
      <c r="B848" s="53"/>
      <c r="C848" s="42"/>
      <c r="D848" s="52"/>
      <c r="E848" s="53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</row>
    <row r="849">
      <c r="A849" s="42"/>
      <c r="B849" s="53"/>
      <c r="C849" s="42"/>
      <c r="D849" s="52"/>
      <c r="E849" s="53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</row>
    <row r="850">
      <c r="A850" s="42"/>
      <c r="B850" s="53"/>
      <c r="C850" s="42"/>
      <c r="D850" s="52"/>
      <c r="E850" s="53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</row>
    <row r="851">
      <c r="A851" s="42"/>
      <c r="B851" s="53"/>
      <c r="C851" s="42"/>
      <c r="D851" s="52"/>
      <c r="E851" s="53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</row>
    <row r="852">
      <c r="A852" s="42"/>
      <c r="B852" s="53"/>
      <c r="C852" s="42"/>
      <c r="D852" s="52"/>
      <c r="E852" s="53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</row>
    <row r="853">
      <c r="A853" s="42"/>
      <c r="B853" s="53"/>
      <c r="C853" s="42"/>
      <c r="D853" s="52"/>
      <c r="E853" s="53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</row>
    <row r="854">
      <c r="A854" s="42"/>
      <c r="B854" s="53"/>
      <c r="C854" s="42"/>
      <c r="D854" s="52"/>
      <c r="E854" s="53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</row>
    <row r="855">
      <c r="A855" s="42"/>
      <c r="B855" s="53"/>
      <c r="C855" s="42"/>
      <c r="D855" s="52"/>
      <c r="E855" s="53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</row>
    <row r="856">
      <c r="A856" s="42"/>
      <c r="B856" s="53"/>
      <c r="C856" s="42"/>
      <c r="D856" s="52"/>
      <c r="E856" s="53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</row>
    <row r="857">
      <c r="A857" s="42"/>
      <c r="B857" s="53"/>
      <c r="C857" s="42"/>
      <c r="D857" s="52"/>
      <c r="E857" s="53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</row>
    <row r="858">
      <c r="A858" s="42"/>
      <c r="B858" s="53"/>
      <c r="C858" s="42"/>
      <c r="D858" s="52"/>
      <c r="E858" s="53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</row>
    <row r="859">
      <c r="A859" s="42"/>
      <c r="B859" s="53"/>
      <c r="C859" s="42"/>
      <c r="D859" s="52"/>
      <c r="E859" s="53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</row>
    <row r="860">
      <c r="A860" s="42"/>
      <c r="B860" s="53"/>
      <c r="C860" s="42"/>
      <c r="D860" s="52"/>
      <c r="E860" s="53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</row>
    <row r="861">
      <c r="A861" s="42"/>
      <c r="B861" s="53"/>
      <c r="C861" s="42"/>
      <c r="D861" s="52"/>
      <c r="E861" s="53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</row>
    <row r="862">
      <c r="A862" s="42"/>
      <c r="B862" s="53"/>
      <c r="C862" s="42"/>
      <c r="D862" s="52"/>
      <c r="E862" s="53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</row>
    <row r="863">
      <c r="A863" s="42"/>
      <c r="B863" s="53"/>
      <c r="C863" s="42"/>
      <c r="D863" s="52"/>
      <c r="E863" s="53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</row>
    <row r="864">
      <c r="A864" s="42"/>
      <c r="B864" s="53"/>
      <c r="C864" s="42"/>
      <c r="D864" s="52"/>
      <c r="E864" s="53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</row>
    <row r="865">
      <c r="A865" s="42"/>
      <c r="B865" s="53"/>
      <c r="C865" s="42"/>
      <c r="D865" s="52"/>
      <c r="E865" s="53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</row>
    <row r="866">
      <c r="A866" s="42"/>
      <c r="B866" s="53"/>
      <c r="C866" s="42"/>
      <c r="D866" s="52"/>
      <c r="E866" s="53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</row>
    <row r="867">
      <c r="A867" s="42"/>
      <c r="B867" s="53"/>
      <c r="C867" s="42"/>
      <c r="D867" s="52"/>
      <c r="E867" s="53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</row>
    <row r="868">
      <c r="A868" s="42"/>
      <c r="B868" s="53"/>
      <c r="C868" s="42"/>
      <c r="D868" s="52"/>
      <c r="E868" s="53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</row>
    <row r="869">
      <c r="A869" s="42"/>
      <c r="B869" s="53"/>
      <c r="C869" s="42"/>
      <c r="D869" s="52"/>
      <c r="E869" s="53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</row>
    <row r="870">
      <c r="A870" s="42"/>
      <c r="B870" s="53"/>
      <c r="C870" s="42"/>
      <c r="D870" s="52"/>
      <c r="E870" s="53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</row>
    <row r="871">
      <c r="A871" s="42"/>
      <c r="B871" s="53"/>
      <c r="C871" s="42"/>
      <c r="D871" s="52"/>
      <c r="E871" s="53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</row>
    <row r="872">
      <c r="A872" s="42"/>
      <c r="B872" s="53"/>
      <c r="C872" s="42"/>
      <c r="D872" s="52"/>
      <c r="E872" s="53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</row>
    <row r="873">
      <c r="A873" s="42"/>
      <c r="B873" s="53"/>
      <c r="C873" s="42"/>
      <c r="D873" s="52"/>
      <c r="E873" s="53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</row>
    <row r="874">
      <c r="A874" s="42"/>
      <c r="B874" s="53"/>
      <c r="C874" s="42"/>
      <c r="D874" s="52"/>
      <c r="E874" s="53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</row>
    <row r="875">
      <c r="A875" s="42"/>
      <c r="B875" s="53"/>
      <c r="C875" s="42"/>
      <c r="D875" s="52"/>
      <c r="E875" s="53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</row>
    <row r="876">
      <c r="A876" s="42"/>
      <c r="B876" s="53"/>
      <c r="C876" s="42"/>
      <c r="D876" s="52"/>
      <c r="E876" s="53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</row>
    <row r="877">
      <c r="A877" s="42"/>
      <c r="B877" s="53"/>
      <c r="C877" s="42"/>
      <c r="D877" s="52"/>
      <c r="E877" s="53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</row>
    <row r="878">
      <c r="A878" s="42"/>
      <c r="B878" s="53"/>
      <c r="C878" s="42"/>
      <c r="D878" s="52"/>
      <c r="E878" s="53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</row>
    <row r="879">
      <c r="A879" s="42"/>
      <c r="B879" s="53"/>
      <c r="C879" s="42"/>
      <c r="D879" s="52"/>
      <c r="E879" s="53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</row>
    <row r="880">
      <c r="A880" s="42"/>
      <c r="B880" s="53"/>
      <c r="C880" s="42"/>
      <c r="D880" s="52"/>
      <c r="E880" s="53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</row>
    <row r="881">
      <c r="A881" s="42"/>
      <c r="B881" s="53"/>
      <c r="C881" s="42"/>
      <c r="D881" s="52"/>
      <c r="E881" s="53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</row>
    <row r="882">
      <c r="A882" s="42"/>
      <c r="B882" s="53"/>
      <c r="C882" s="42"/>
      <c r="D882" s="52"/>
      <c r="E882" s="53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</row>
    <row r="883">
      <c r="A883" s="42"/>
      <c r="B883" s="53"/>
      <c r="C883" s="42"/>
      <c r="D883" s="52"/>
      <c r="E883" s="53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</row>
    <row r="884">
      <c r="A884" s="42"/>
      <c r="B884" s="53"/>
      <c r="C884" s="42"/>
      <c r="D884" s="52"/>
      <c r="E884" s="53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</row>
    <row r="885">
      <c r="A885" s="42"/>
      <c r="B885" s="53"/>
      <c r="C885" s="42"/>
      <c r="D885" s="52"/>
      <c r="E885" s="53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</row>
    <row r="886">
      <c r="A886" s="42"/>
      <c r="B886" s="53"/>
      <c r="C886" s="42"/>
      <c r="D886" s="52"/>
      <c r="E886" s="53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</row>
    <row r="887">
      <c r="A887" s="42"/>
      <c r="B887" s="53"/>
      <c r="C887" s="42"/>
      <c r="D887" s="52"/>
      <c r="E887" s="53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</row>
    <row r="888">
      <c r="A888" s="42"/>
      <c r="B888" s="53"/>
      <c r="C888" s="42"/>
      <c r="D888" s="52"/>
      <c r="E888" s="53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</row>
    <row r="889">
      <c r="A889" s="42"/>
      <c r="B889" s="53"/>
      <c r="C889" s="42"/>
      <c r="D889" s="52"/>
      <c r="E889" s="53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</row>
    <row r="890">
      <c r="A890" s="42"/>
      <c r="B890" s="53"/>
      <c r="C890" s="42"/>
      <c r="D890" s="52"/>
      <c r="E890" s="53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</row>
    <row r="891">
      <c r="A891" s="42"/>
      <c r="B891" s="53"/>
      <c r="C891" s="42"/>
      <c r="D891" s="52"/>
      <c r="E891" s="53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</row>
    <row r="892">
      <c r="A892" s="42"/>
      <c r="B892" s="53"/>
      <c r="C892" s="42"/>
      <c r="D892" s="52"/>
      <c r="E892" s="53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</row>
    <row r="893">
      <c r="A893" s="42"/>
      <c r="B893" s="53"/>
      <c r="C893" s="42"/>
      <c r="D893" s="52"/>
      <c r="E893" s="53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</row>
    <row r="894">
      <c r="A894" s="42"/>
      <c r="B894" s="53"/>
      <c r="C894" s="42"/>
      <c r="D894" s="52"/>
      <c r="E894" s="53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</row>
    <row r="895">
      <c r="A895" s="42"/>
      <c r="B895" s="53"/>
      <c r="C895" s="42"/>
      <c r="D895" s="52"/>
      <c r="E895" s="53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</row>
    <row r="896">
      <c r="A896" s="42"/>
      <c r="B896" s="53"/>
      <c r="C896" s="42"/>
      <c r="D896" s="52"/>
      <c r="E896" s="53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</row>
    <row r="897">
      <c r="A897" s="42"/>
      <c r="B897" s="53"/>
      <c r="C897" s="42"/>
      <c r="D897" s="52"/>
      <c r="E897" s="53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</row>
    <row r="898">
      <c r="A898" s="42"/>
      <c r="B898" s="53"/>
      <c r="C898" s="42"/>
      <c r="D898" s="52"/>
      <c r="E898" s="53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</row>
    <row r="899">
      <c r="A899" s="42"/>
      <c r="B899" s="53"/>
      <c r="C899" s="42"/>
      <c r="D899" s="52"/>
      <c r="E899" s="53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</row>
    <row r="900">
      <c r="A900" s="42"/>
      <c r="B900" s="53"/>
      <c r="C900" s="42"/>
      <c r="D900" s="52"/>
      <c r="E900" s="53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</row>
    <row r="901">
      <c r="A901" s="42"/>
      <c r="B901" s="53"/>
      <c r="C901" s="42"/>
      <c r="D901" s="52"/>
      <c r="E901" s="53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</row>
    <row r="902">
      <c r="A902" s="42"/>
      <c r="B902" s="53"/>
      <c r="C902" s="42"/>
      <c r="D902" s="52"/>
      <c r="E902" s="53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</row>
    <row r="903">
      <c r="A903" s="42"/>
      <c r="B903" s="53"/>
      <c r="C903" s="42"/>
      <c r="D903" s="52"/>
      <c r="E903" s="53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</row>
    <row r="904">
      <c r="A904" s="42"/>
      <c r="B904" s="53"/>
      <c r="C904" s="42"/>
      <c r="D904" s="52"/>
      <c r="E904" s="53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</row>
    <row r="905">
      <c r="A905" s="42"/>
      <c r="B905" s="53"/>
      <c r="C905" s="42"/>
      <c r="D905" s="52"/>
      <c r="E905" s="53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</row>
    <row r="906">
      <c r="A906" s="42"/>
      <c r="B906" s="53"/>
      <c r="C906" s="42"/>
      <c r="D906" s="52"/>
      <c r="E906" s="53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</row>
    <row r="907">
      <c r="A907" s="42"/>
      <c r="B907" s="53"/>
      <c r="C907" s="42"/>
      <c r="D907" s="52"/>
      <c r="E907" s="53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</row>
    <row r="908">
      <c r="A908" s="42"/>
      <c r="B908" s="53"/>
      <c r="C908" s="42"/>
      <c r="D908" s="52"/>
      <c r="E908" s="53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</row>
    <row r="909">
      <c r="A909" s="42"/>
      <c r="B909" s="53"/>
      <c r="C909" s="42"/>
      <c r="D909" s="52"/>
      <c r="E909" s="53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</row>
    <row r="910">
      <c r="A910" s="42"/>
      <c r="B910" s="53"/>
      <c r="C910" s="42"/>
      <c r="D910" s="52"/>
      <c r="E910" s="53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</row>
    <row r="911">
      <c r="A911" s="42"/>
      <c r="B911" s="53"/>
      <c r="C911" s="42"/>
      <c r="D911" s="52"/>
      <c r="E911" s="53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</row>
    <row r="912">
      <c r="A912" s="42"/>
      <c r="B912" s="53"/>
      <c r="C912" s="42"/>
      <c r="D912" s="52"/>
      <c r="E912" s="53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</row>
    <row r="913">
      <c r="A913" s="42"/>
      <c r="B913" s="53"/>
      <c r="C913" s="42"/>
      <c r="D913" s="52"/>
      <c r="E913" s="53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</row>
    <row r="914">
      <c r="A914" s="42"/>
      <c r="B914" s="53"/>
      <c r="C914" s="42"/>
      <c r="D914" s="52"/>
      <c r="E914" s="53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</row>
    <row r="915">
      <c r="A915" s="42"/>
      <c r="B915" s="53"/>
      <c r="C915" s="42"/>
      <c r="D915" s="52"/>
      <c r="E915" s="53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</row>
    <row r="916">
      <c r="A916" s="42"/>
      <c r="B916" s="53"/>
      <c r="C916" s="42"/>
      <c r="D916" s="52"/>
      <c r="E916" s="53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</row>
    <row r="917">
      <c r="A917" s="42"/>
      <c r="B917" s="53"/>
      <c r="C917" s="42"/>
      <c r="D917" s="52"/>
      <c r="E917" s="53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</row>
    <row r="918">
      <c r="A918" s="42"/>
      <c r="B918" s="53"/>
      <c r="C918" s="42"/>
      <c r="D918" s="52"/>
      <c r="E918" s="53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</row>
    <row r="919">
      <c r="A919" s="42"/>
      <c r="B919" s="53"/>
      <c r="C919" s="42"/>
      <c r="D919" s="52"/>
      <c r="E919" s="53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</row>
    <row r="920">
      <c r="A920" s="42"/>
      <c r="B920" s="53"/>
      <c r="C920" s="42"/>
      <c r="D920" s="52"/>
      <c r="E920" s="53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</row>
    <row r="921">
      <c r="A921" s="42"/>
      <c r="B921" s="53"/>
      <c r="C921" s="42"/>
      <c r="D921" s="52"/>
      <c r="E921" s="53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</row>
    <row r="922">
      <c r="A922" s="42"/>
      <c r="B922" s="53"/>
      <c r="C922" s="42"/>
      <c r="D922" s="52"/>
      <c r="E922" s="53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</row>
    <row r="923">
      <c r="A923" s="42"/>
      <c r="B923" s="53"/>
      <c r="C923" s="42"/>
      <c r="D923" s="52"/>
      <c r="E923" s="53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</row>
    <row r="924">
      <c r="A924" s="42"/>
      <c r="B924" s="53"/>
      <c r="C924" s="42"/>
      <c r="D924" s="52"/>
      <c r="E924" s="53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</row>
    <row r="925">
      <c r="A925" s="42"/>
      <c r="B925" s="53"/>
      <c r="C925" s="42"/>
      <c r="D925" s="52"/>
      <c r="E925" s="53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</row>
    <row r="926">
      <c r="A926" s="42"/>
      <c r="B926" s="53"/>
      <c r="C926" s="42"/>
      <c r="D926" s="52"/>
      <c r="E926" s="53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</row>
    <row r="927">
      <c r="A927" s="42"/>
      <c r="B927" s="53"/>
      <c r="C927" s="42"/>
      <c r="D927" s="52"/>
      <c r="E927" s="53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</row>
    <row r="928">
      <c r="A928" s="42"/>
      <c r="B928" s="53"/>
      <c r="C928" s="42"/>
      <c r="D928" s="52"/>
      <c r="E928" s="53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</row>
    <row r="929">
      <c r="A929" s="42"/>
      <c r="B929" s="53"/>
      <c r="C929" s="42"/>
      <c r="D929" s="52"/>
      <c r="E929" s="53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</row>
    <row r="930">
      <c r="A930" s="42"/>
      <c r="B930" s="53"/>
      <c r="C930" s="42"/>
      <c r="D930" s="52"/>
      <c r="E930" s="53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</row>
    <row r="931">
      <c r="A931" s="42"/>
      <c r="B931" s="53"/>
      <c r="C931" s="42"/>
      <c r="D931" s="52"/>
      <c r="E931" s="53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</row>
    <row r="932">
      <c r="A932" s="42"/>
      <c r="B932" s="53"/>
      <c r="C932" s="42"/>
      <c r="D932" s="52"/>
      <c r="E932" s="53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</row>
    <row r="933">
      <c r="A933" s="42"/>
      <c r="B933" s="53"/>
      <c r="C933" s="42"/>
      <c r="D933" s="52"/>
      <c r="E933" s="53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</row>
    <row r="934">
      <c r="A934" s="42"/>
      <c r="B934" s="53"/>
      <c r="C934" s="42"/>
      <c r="D934" s="52"/>
      <c r="E934" s="53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</row>
    <row r="935">
      <c r="A935" s="42"/>
      <c r="B935" s="53"/>
      <c r="C935" s="42"/>
      <c r="D935" s="52"/>
      <c r="E935" s="53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</row>
    <row r="936">
      <c r="A936" s="42"/>
      <c r="B936" s="53"/>
      <c r="C936" s="42"/>
      <c r="D936" s="52"/>
      <c r="E936" s="53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</row>
    <row r="937">
      <c r="A937" s="42"/>
      <c r="B937" s="53"/>
      <c r="C937" s="42"/>
      <c r="D937" s="52"/>
      <c r="E937" s="53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</row>
    <row r="938">
      <c r="A938" s="42"/>
      <c r="B938" s="53"/>
      <c r="C938" s="42"/>
      <c r="D938" s="52"/>
      <c r="E938" s="53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</row>
    <row r="939">
      <c r="A939" s="42"/>
      <c r="B939" s="53"/>
      <c r="C939" s="42"/>
      <c r="D939" s="52"/>
      <c r="E939" s="53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</row>
    <row r="940">
      <c r="A940" s="42"/>
      <c r="B940" s="53"/>
      <c r="C940" s="42"/>
      <c r="D940" s="52"/>
      <c r="E940" s="53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</row>
    <row r="941">
      <c r="A941" s="42"/>
      <c r="B941" s="53"/>
      <c r="C941" s="42"/>
      <c r="D941" s="52"/>
      <c r="E941" s="53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</row>
    <row r="942">
      <c r="A942" s="42"/>
      <c r="B942" s="53"/>
      <c r="C942" s="42"/>
      <c r="D942" s="52"/>
      <c r="E942" s="53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</row>
    <row r="943">
      <c r="A943" s="42"/>
      <c r="B943" s="53"/>
      <c r="C943" s="42"/>
      <c r="D943" s="52"/>
      <c r="E943" s="53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</row>
    <row r="944">
      <c r="A944" s="42"/>
      <c r="B944" s="53"/>
      <c r="C944" s="42"/>
      <c r="D944" s="52"/>
      <c r="E944" s="53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</row>
    <row r="945">
      <c r="A945" s="42"/>
      <c r="B945" s="53"/>
      <c r="C945" s="42"/>
      <c r="D945" s="52"/>
      <c r="E945" s="53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</row>
    <row r="946">
      <c r="A946" s="42"/>
      <c r="B946" s="53"/>
      <c r="C946" s="42"/>
      <c r="D946" s="52"/>
      <c r="E946" s="53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</row>
    <row r="947">
      <c r="A947" s="42"/>
      <c r="B947" s="53"/>
      <c r="C947" s="42"/>
      <c r="D947" s="52"/>
      <c r="E947" s="53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</row>
    <row r="948">
      <c r="A948" s="42"/>
      <c r="B948" s="53"/>
      <c r="C948" s="42"/>
      <c r="D948" s="52"/>
      <c r="E948" s="53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</row>
    <row r="949">
      <c r="A949" s="42"/>
      <c r="B949" s="53"/>
      <c r="C949" s="42"/>
      <c r="D949" s="52"/>
      <c r="E949" s="53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</row>
    <row r="950">
      <c r="A950" s="42"/>
      <c r="B950" s="53"/>
      <c r="C950" s="42"/>
      <c r="D950" s="52"/>
      <c r="E950" s="53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</row>
    <row r="951">
      <c r="A951" s="42"/>
      <c r="B951" s="53"/>
      <c r="C951" s="42"/>
      <c r="D951" s="52"/>
      <c r="E951" s="53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</row>
    <row r="952">
      <c r="A952" s="42"/>
      <c r="B952" s="53"/>
      <c r="C952" s="42"/>
      <c r="D952" s="52"/>
      <c r="E952" s="53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</row>
    <row r="953">
      <c r="A953" s="42"/>
      <c r="B953" s="53"/>
      <c r="C953" s="42"/>
      <c r="D953" s="52"/>
      <c r="E953" s="53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</row>
    <row r="954">
      <c r="A954" s="42"/>
      <c r="B954" s="53"/>
      <c r="C954" s="42"/>
      <c r="D954" s="52"/>
      <c r="E954" s="53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</row>
    <row r="955">
      <c r="A955" s="42"/>
      <c r="B955" s="53"/>
      <c r="C955" s="42"/>
      <c r="D955" s="52"/>
      <c r="E955" s="53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</row>
    <row r="956">
      <c r="A956" s="42"/>
      <c r="B956" s="53"/>
      <c r="C956" s="42"/>
      <c r="D956" s="52"/>
      <c r="E956" s="53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</row>
    <row r="957">
      <c r="A957" s="42"/>
      <c r="B957" s="53"/>
      <c r="C957" s="42"/>
      <c r="D957" s="52"/>
      <c r="E957" s="53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</row>
    <row r="958">
      <c r="A958" s="42"/>
      <c r="B958" s="53"/>
      <c r="C958" s="42"/>
      <c r="D958" s="52"/>
      <c r="E958" s="53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</row>
    <row r="959">
      <c r="A959" s="42"/>
      <c r="B959" s="53"/>
      <c r="C959" s="42"/>
      <c r="D959" s="52"/>
      <c r="E959" s="53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</row>
    <row r="960">
      <c r="A960" s="42"/>
      <c r="B960" s="53"/>
      <c r="C960" s="42"/>
      <c r="D960" s="52"/>
      <c r="E960" s="53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</row>
    <row r="961">
      <c r="A961" s="42"/>
      <c r="B961" s="53"/>
      <c r="C961" s="42"/>
      <c r="D961" s="52"/>
      <c r="E961" s="53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</row>
    <row r="962">
      <c r="A962" s="42"/>
      <c r="B962" s="53"/>
      <c r="C962" s="42"/>
      <c r="D962" s="52"/>
      <c r="E962" s="53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</row>
    <row r="963">
      <c r="A963" s="42"/>
      <c r="B963" s="53"/>
      <c r="C963" s="42"/>
      <c r="D963" s="52"/>
      <c r="E963" s="53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</row>
    <row r="964">
      <c r="A964" s="42"/>
      <c r="B964" s="53"/>
      <c r="C964" s="42"/>
      <c r="D964" s="52"/>
      <c r="E964" s="53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</row>
    <row r="965">
      <c r="A965" s="42"/>
      <c r="B965" s="53"/>
      <c r="C965" s="42"/>
      <c r="D965" s="52"/>
      <c r="E965" s="53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</row>
  </sheetData>
  <autoFilter ref="$A$1:$AA$3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45.88"/>
  </cols>
  <sheetData>
    <row r="1">
      <c r="A1" s="26" t="s">
        <v>497</v>
      </c>
      <c r="B1" s="54" t="s">
        <v>498</v>
      </c>
    </row>
    <row r="2">
      <c r="A2" s="55" t="str">
        <f>IFERROR(__xludf.DUMMYFUNCTION("FILTER(PERSONAL!$B:$B,PERSONAL!$H:$H=""NUEVO"")"),"TIC 1")</f>
        <v>TIC 1</v>
      </c>
      <c r="B2" s="55" t="str">
        <f>IFERROR(__xludf.DUMMYFUNCTION("FILTER(PERSONAL!$B:$B,PERSONAL!$H:$H=""NUEVO"")"),"TIC 1")</f>
        <v>TIC 1</v>
      </c>
    </row>
    <row r="3">
      <c r="A3" s="56" t="str">
        <f>IFERROR(__xludf.DUMMYFUNCTION("""COMPUTED_VALUE"""),"ARIAS PARADA JHONATAN DAVID")</f>
        <v>ARIAS PARADA JHONATAN DAVID</v>
      </c>
      <c r="B3" s="56" t="str">
        <f>IFERROR(__xludf.DUMMYFUNCTION("""COMPUTED_VALUE"""),"ARIAS PARADA JHONATAN DAVID")</f>
        <v>ARIAS PARADA JHONATAN DAVID</v>
      </c>
    </row>
    <row r="4">
      <c r="A4" s="56" t="str">
        <f>IFERROR(__xludf.DUMMYFUNCTION("""COMPUTED_VALUE"""),"FIGUEREDO SANMILLAN ALEXANDER")</f>
        <v>FIGUEREDO SANMILLAN ALEXANDER</v>
      </c>
      <c r="B4" s="56" t="str">
        <f>IFERROR(__xludf.DUMMYFUNCTION("""COMPUTED_VALUE"""),"FIGUEREDO SANMILLAN ALEXANDER")</f>
        <v>FIGUEREDO SANMILLAN ALEXANDER</v>
      </c>
    </row>
    <row r="5">
      <c r="A5" s="56"/>
      <c r="B5" s="56"/>
      <c r="C5" s="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3.5"/>
    <col customWidth="1" min="2" max="2" width="14.88"/>
    <col customWidth="1" min="3" max="3" width="22.88"/>
    <col customWidth="1" min="5" max="6" width="33.38"/>
  </cols>
  <sheetData>
    <row r="1">
      <c r="A1" s="26" t="s">
        <v>499</v>
      </c>
      <c r="B1" s="26" t="s">
        <v>1</v>
      </c>
      <c r="C1" s="26" t="s">
        <v>500</v>
      </c>
      <c r="D1" s="26" t="s">
        <v>201</v>
      </c>
      <c r="E1" s="26" t="s">
        <v>165</v>
      </c>
      <c r="F1" s="26"/>
    </row>
    <row r="2">
      <c r="A2" s="58">
        <v>3.0</v>
      </c>
      <c r="B2" s="22" t="s">
        <v>69</v>
      </c>
      <c r="C2" s="25" t="s">
        <v>501</v>
      </c>
      <c r="D2" s="33" t="s">
        <v>72</v>
      </c>
      <c r="E2" s="24" t="str">
        <f>IF(B2="","",IF(A2=0,"NO HAY ESE CODIGO",IF(COUNTIF(ASIGNACIONES!$B$3:$B949,B2)=1,"DOTACION ASIGNADA",IF(C2="VISITAS","DOTACION VISITA",IF(C2="MTTO","DOTACION MTTO",IF(C2="PLANTA EMERGENCIA","DOTACION RES DE EMERGENCIA",IF(C2="EXTERNOS","DOTACION DE EXTERNO","DOTACION DISPONIBLE")))))))</f>
        <v>DOTACION ASIGNADA</v>
      </c>
      <c r="F2" s="24"/>
      <c r="H2" s="59"/>
    </row>
    <row r="3">
      <c r="A3" s="58">
        <v>3.0</v>
      </c>
      <c r="B3" s="22" t="s">
        <v>94</v>
      </c>
      <c r="C3" s="25" t="s">
        <v>501</v>
      </c>
      <c r="D3" s="33" t="s">
        <v>67</v>
      </c>
      <c r="E3" s="24" t="str">
        <f>IF(B3="","",IF(A3=0,"NO HAY ESE CODIGO",IF(COUNTIF(ASIGNACIONES!$B$3:$B949,B3)=1,"DOTACION ASIGNADA",IF(C3="VISITAS","DOTACION VISITA",IF(C3="MTTO","DOTACION MTTO",IF(C3="PLANTA EMERGENCIA","DOTACION RES DE EMERGENCIA",IF(C3="EXTERNOS","DOTACION DE EXTERNO","DOTACION DISPONIBLE")))))))</f>
        <v>DOTACION ASIGNADA</v>
      </c>
      <c r="F3" s="24"/>
    </row>
    <row r="4">
      <c r="A4" s="58">
        <v>3.0</v>
      </c>
      <c r="B4" s="22" t="s">
        <v>115</v>
      </c>
      <c r="C4" s="25" t="s">
        <v>501</v>
      </c>
      <c r="D4" s="33" t="s">
        <v>67</v>
      </c>
      <c r="E4" s="24" t="str">
        <f>IF(B4="","",IF(A4=0,"NO HAY ESE CODIGO",IF(COUNTIF(ASIGNACIONES!$B$3:$B949,B4)=1,"DOTACION ASIGNADA",IF(C4="VISITAS","DOTACION VISITA",IF(C4="MTTO","DOTACION MTTO",IF(C4="PLANTA EMERGENCIA","DOTACION RES DE EMERGENCIA",IF(C4="EXTERNOS","DOTACION DE EXTERNO","DOTACION DISPONIBLE")))))))</f>
        <v>DOTACION ASIGNADA</v>
      </c>
      <c r="F4" s="24"/>
    </row>
    <row r="5">
      <c r="A5" s="58">
        <v>0.0</v>
      </c>
      <c r="B5" s="22" t="s">
        <v>502</v>
      </c>
      <c r="C5" s="25" t="s">
        <v>501</v>
      </c>
      <c r="D5" s="33" t="s">
        <v>24</v>
      </c>
      <c r="E5" s="24" t="str">
        <f>IF(B5="","",IF(A5=0,"NO HAY ESE CODIGO",IF(COUNTIF(ASIGNACIONES!$B$3:$B949,B5)=1,"DOTACION ASIGNADA",IF(C5="VISITAS","DOTACION VISITA",IF(C5="MTTO","DOTACION MTTO",IF(C5="PLANTA EMERGENCIA","DOTACION RES DE EMERGENCIA",IF(C5="EXTERNOS","DOTACION DE EXTERNO","DOTACION DISPONIBLE")))))))</f>
        <v>NO HAY ESE CODIGO</v>
      </c>
      <c r="F5" s="24"/>
    </row>
    <row r="6">
      <c r="A6" s="58">
        <v>0.0</v>
      </c>
      <c r="B6" s="22" t="s">
        <v>402</v>
      </c>
      <c r="C6" s="25" t="s">
        <v>501</v>
      </c>
      <c r="D6" s="33" t="s">
        <v>18</v>
      </c>
      <c r="E6" s="24" t="str">
        <f>IF(B6="","",IF(A6=0,"NO HAY ESE CODIGO",IF(COUNTIF(ASIGNACIONES!$B$3:$B949,B6)=1,"DOTACION ASIGNADA",IF(C6="VISITAS","DOTACION VISITA",IF(C6="MTTO","DOTACION MTTO",IF(C6="PLANTA EMERGENCIA","DOTACION RES DE EMERGENCIA",IF(C6="EXTERNOS","DOTACION DE EXTERNO","DOTACION DISPONIBLE")))))))</f>
        <v>NO HAY ESE CODIGO</v>
      </c>
      <c r="F6" s="24"/>
    </row>
    <row r="7">
      <c r="A7" s="58">
        <v>3.0</v>
      </c>
      <c r="B7" s="22" t="s">
        <v>366</v>
      </c>
      <c r="C7" s="25" t="s">
        <v>501</v>
      </c>
      <c r="D7" s="33" t="s">
        <v>37</v>
      </c>
      <c r="E7" s="24" t="str">
        <f>IF(B7="","",IF(A7=0,"NO HAY ESE CODIGO",IF(COUNTIF(ASIGNACIONES!$B$3:$B949,B7)=1,"DOTACION ASIGNADA",IF(C7="VISITAS","DOTACION VISITA",IF(C7="MTTO","DOTACION MTTO",IF(C7="PLANTA EMERGENCIA","DOTACION RES DE EMERGENCIA",IF(C7="EXTERNOS","DOTACION DE EXTERNO","DOTACION DISPONIBLE")))))))</f>
        <v>DOTACION DISPONIBLE</v>
      </c>
      <c r="F7" s="24"/>
    </row>
    <row r="8">
      <c r="A8" s="58">
        <v>3.0</v>
      </c>
      <c r="B8" s="22" t="s">
        <v>47</v>
      </c>
      <c r="C8" s="25" t="s">
        <v>501</v>
      </c>
      <c r="D8" s="33" t="s">
        <v>24</v>
      </c>
      <c r="E8" s="24" t="str">
        <f>IF(B8="","",IF(A8=0,"NO HAY ESE CODIGO",IF(COUNTIF(ASIGNACIONES!$B$3:$B949,B8)=1,"DOTACION ASIGNADA",IF(C8="VISITAS","DOTACION VISITA",IF(C8="MTTO","DOTACION MTTO",IF(C8="PLANTA EMERGENCIA","DOTACION RES DE EMERGENCIA",IF(C8="EXTERNOS","DOTACION DE EXTERNO","DOTACION DISPONIBLE")))))))</f>
        <v>DOTACION ASIGNADA</v>
      </c>
      <c r="F8" s="24"/>
    </row>
    <row r="9">
      <c r="A9" s="58">
        <v>3.0</v>
      </c>
      <c r="B9" s="22" t="s">
        <v>86</v>
      </c>
      <c r="C9" s="25" t="s">
        <v>501</v>
      </c>
      <c r="D9" s="33" t="s">
        <v>37</v>
      </c>
      <c r="E9" s="24" t="str">
        <f>IF(B9="","",IF(A9=0,"NO HAY ESE CODIGO",IF(COUNTIF(ASIGNACIONES!$B$3:$B949,B9)=1,"DOTACION ASIGNADA",IF(C9="VISITAS","DOTACION VISITA",IF(C9="MTTO","DOTACION MTTO",IF(C9="PLANTA EMERGENCIA","DOTACION RES DE EMERGENCIA",IF(C9="EXTERNOS","DOTACION DE EXTERNO","DOTACION DISPONIBLE")))))))</f>
        <v>DOTACION ASIGNADA</v>
      </c>
      <c r="F9" s="24"/>
    </row>
    <row r="10">
      <c r="A10" s="58">
        <v>3.0</v>
      </c>
      <c r="B10" s="22" t="s">
        <v>39</v>
      </c>
      <c r="C10" s="25" t="s">
        <v>501</v>
      </c>
      <c r="D10" s="33" t="s">
        <v>24</v>
      </c>
      <c r="E10" s="24" t="str">
        <f>IF(B10="","",IF(A10=0,"NO HAY ESE CODIGO",IF(COUNTIF(ASIGNACIONES!$B$3:$B949,B10)=1,"DOTACION ASIGNADA",IF(C10="VISITAS","DOTACION VISITA",IF(C10="MTTO","DOTACION MTTO",IF(C10="PLANTA EMERGENCIA","DOTACION RES DE EMERGENCIA",IF(C10="EXTERNOS","DOTACION DE EXTERNO","DOTACION DISPONIBLE")))))))</f>
        <v>DOTACION ASIGNADA</v>
      </c>
      <c r="F10" s="24"/>
    </row>
    <row r="11">
      <c r="A11" s="58">
        <v>3.0</v>
      </c>
      <c r="B11" s="22" t="s">
        <v>138</v>
      </c>
      <c r="C11" s="25" t="s">
        <v>501</v>
      </c>
      <c r="D11" s="33" t="s">
        <v>24</v>
      </c>
      <c r="E11" s="24" t="str">
        <f>IF(B11="","",IF(A11=0,"NO HAY ESE CODIGO",IF(COUNTIF(ASIGNACIONES!$B$3:$B949,B11)=1,"DOTACION ASIGNADA",IF(C11="VISITAS","DOTACION VISITA",IF(C11="MTTO","DOTACION MTTO",IF(C11="PLANTA EMERGENCIA","DOTACION RES DE EMERGENCIA",IF(C11="EXTERNOS","DOTACION DE EXTERNO","DOTACION DISPONIBLE")))))))</f>
        <v>DOTACION ASIGNADA</v>
      </c>
      <c r="F11" s="24"/>
    </row>
    <row r="12">
      <c r="A12" s="58">
        <v>1.0</v>
      </c>
      <c r="B12" s="22" t="s">
        <v>503</v>
      </c>
      <c r="C12" s="25" t="s">
        <v>501</v>
      </c>
      <c r="D12" s="33" t="s">
        <v>350</v>
      </c>
      <c r="E12" s="24" t="str">
        <f>IF(B12="","",IF(A12=0,"NO HAY ESE CODIGO",IF(COUNTIF(ASIGNACIONES!$B$3:$B949,B12)=1,"DOTACION ASIGNADA",IF(C12="VISITAS","DOTACION VISITA",IF(C12="MTTO","DOTACION MTTO",IF(C12="PLANTA EMERGENCIA","DOTACION RES DE EMERGENCIA",IF(C12="EXTERNOS","DOTACION DE EXTERNO","DOTACION DISPONIBLE")))))))</f>
        <v>DOTACION DISPONIBLE</v>
      </c>
      <c r="F12" s="24"/>
    </row>
    <row r="13">
      <c r="A13" s="58">
        <v>2.0</v>
      </c>
      <c r="B13" s="22" t="s">
        <v>327</v>
      </c>
      <c r="C13" s="25" t="s">
        <v>501</v>
      </c>
      <c r="D13" s="33" t="s">
        <v>18</v>
      </c>
      <c r="E13" s="24" t="str">
        <f>IF(B13="","",IF(A13=0,"NO HAY ESE CODIGO",IF(COUNTIF(ASIGNACIONES!$B$3:$B949,B13)=1,"DOTACION ASIGNADA",IF(C13="VISITAS","DOTACION VISITA",IF(C13="MTTO","DOTACION MTTO",IF(C13="PLANTA EMERGENCIA","DOTACION RES DE EMERGENCIA",IF(C13="EXTERNOS","DOTACION DE EXTERNO","DOTACION DISPONIBLE")))))))</f>
        <v>DOTACION DISPONIBLE</v>
      </c>
      <c r="F13" s="24"/>
    </row>
    <row r="14">
      <c r="A14" s="58">
        <v>3.0</v>
      </c>
      <c r="B14" s="22" t="s">
        <v>142</v>
      </c>
      <c r="C14" s="25" t="s">
        <v>501</v>
      </c>
      <c r="D14" s="33" t="s">
        <v>24</v>
      </c>
      <c r="E14" s="24" t="str">
        <f>IF(B14="","",IF(A14=0,"NO HAY ESE CODIGO",IF(COUNTIF(ASIGNACIONES!$B$3:$B949,B14)=1,"DOTACION ASIGNADA",IF(C14="VISITAS","DOTACION VISITA",IF(C14="MTTO","DOTACION MTTO",IF(C14="PLANTA EMERGENCIA","DOTACION RES DE EMERGENCIA",IF(C14="EXTERNOS","DOTACION DE EXTERNO","DOTACION DISPONIBLE")))))))</f>
        <v>DOTACION ASIGNADA</v>
      </c>
      <c r="F14" s="24"/>
    </row>
    <row r="15">
      <c r="A15" s="58">
        <v>3.0</v>
      </c>
      <c r="B15" s="22" t="s">
        <v>34</v>
      </c>
      <c r="C15" s="25" t="s">
        <v>501</v>
      </c>
      <c r="D15" s="33" t="s">
        <v>37</v>
      </c>
      <c r="E15" s="24" t="str">
        <f>IF(B15="","",IF(A15=0,"NO HAY ESE CODIGO",IF(COUNTIF(ASIGNACIONES!$B$3:$B949,B15)=1,"DOTACION ASIGNADA",IF(C15="VISITAS","DOTACION VISITA",IF(C15="MTTO","DOTACION MTTO",IF(C15="PLANTA EMERGENCIA","DOTACION RES DE EMERGENCIA",IF(C15="EXTERNOS","DOTACION DE EXTERNO","DOTACION DISPONIBLE")))))))</f>
        <v>DOTACION ASIGNADA</v>
      </c>
      <c r="F15" s="24"/>
    </row>
    <row r="16">
      <c r="A16" s="58">
        <v>3.0</v>
      </c>
      <c r="B16" s="22" t="s">
        <v>486</v>
      </c>
      <c r="C16" s="25" t="s">
        <v>501</v>
      </c>
      <c r="D16" s="33" t="s">
        <v>18</v>
      </c>
      <c r="E16" s="24" t="str">
        <f>IF(B16="","",IF(A16=0,"NO HAY ESE CODIGO",IF(COUNTIF(ASIGNACIONES!$B$3:$B949,B16)=1,"DOTACION ASIGNADA",IF(C16="VISITAS","DOTACION VISITA",IF(C16="MTTO","DOTACION MTTO",IF(C16="PLANTA EMERGENCIA","DOTACION RES DE EMERGENCIA",IF(C16="EXTERNOS","DOTACION DE EXTERNO","DOTACION DISPONIBLE")))))))</f>
        <v>DOTACION DISPONIBLE</v>
      </c>
      <c r="F16" s="24"/>
    </row>
    <row r="17">
      <c r="A17" s="58">
        <v>3.0</v>
      </c>
      <c r="B17" s="22" t="s">
        <v>264</v>
      </c>
      <c r="C17" s="25" t="s">
        <v>501</v>
      </c>
      <c r="D17" s="33" t="s">
        <v>24</v>
      </c>
      <c r="E17" s="24" t="str">
        <f>IF(B17="","",IF(A17=0,"NO HAY ESE CODIGO",IF(COUNTIF(ASIGNACIONES!$B$3:$B949,B17)=1,"DOTACION ASIGNADA",IF(C17="VISITAS","DOTACION VISITA",IF(C17="MTTO","DOTACION MTTO",IF(C17="PLANTA EMERGENCIA","DOTACION RES DE EMERGENCIA",IF(C17="EXTERNOS","DOTACION DE EXTERNO","DOTACION DISPONIBLE")))))))</f>
        <v>DOTACION DISPONIBLE</v>
      </c>
      <c r="F17" s="24"/>
    </row>
    <row r="18">
      <c r="A18" s="58">
        <v>3.0</v>
      </c>
      <c r="B18" s="22" t="s">
        <v>43</v>
      </c>
      <c r="C18" s="25" t="s">
        <v>501</v>
      </c>
      <c r="D18" s="33" t="s">
        <v>37</v>
      </c>
      <c r="E18" s="24" t="str">
        <f>IF(B18="","",IF(A18=0,"NO HAY ESE CODIGO",IF(COUNTIF(ASIGNACIONES!$B$3:$B949,B18)=1,"DOTACION ASIGNADA",IF(C18="VISITAS","DOTACION VISITA",IF(C18="MTTO","DOTACION MTTO",IF(C18="PLANTA EMERGENCIA","DOTACION RES DE EMERGENCIA",IF(C18="EXTERNOS","DOTACION DE EXTERNO","DOTACION DISPONIBLE")))))))</f>
        <v>DOTACION ASIGNADA</v>
      </c>
      <c r="F18" s="24"/>
    </row>
    <row r="19">
      <c r="A19" s="58">
        <v>3.0</v>
      </c>
      <c r="B19" s="22" t="s">
        <v>119</v>
      </c>
      <c r="C19" s="25" t="s">
        <v>501</v>
      </c>
      <c r="D19" s="33" t="s">
        <v>24</v>
      </c>
      <c r="E19" s="24" t="str">
        <f>IF(B19="","",IF(A19=0,"NO HAY ESE CODIGO",IF(COUNTIF(ASIGNACIONES!$B$3:$B949,B19)=1,"DOTACION ASIGNADA",IF(C19="VISITAS","DOTACION VISITA",IF(C19="MTTO","DOTACION MTTO",IF(C19="PLANTA EMERGENCIA","DOTACION RES DE EMERGENCIA",IF(C19="EXTERNOS","DOTACION DE EXTERNO","DOTACION DISPONIBLE")))))))</f>
        <v>DOTACION ASIGNADA</v>
      </c>
      <c r="F19" s="24"/>
    </row>
    <row r="20">
      <c r="A20" s="58">
        <v>0.0</v>
      </c>
      <c r="B20" s="22" t="s">
        <v>504</v>
      </c>
      <c r="C20" s="25" t="s">
        <v>501</v>
      </c>
      <c r="D20" s="33" t="s">
        <v>18</v>
      </c>
      <c r="E20" s="24" t="str">
        <f>IF(B20="","",IF(A20=0,"NO HAY ESE CODIGO",IF(COUNTIF(ASIGNACIONES!$B$3:$B949,B20)=1,"DOTACION ASIGNADA",IF(C20="VISITAS","DOTACION VISITA",IF(C20="MTTO","DOTACION MTTO",IF(C20="PLANTA EMERGENCIA","DOTACION RES DE EMERGENCIA",IF(C20="EXTERNOS","DOTACION DE EXTERNO","DOTACION DISPONIBLE")))))))</f>
        <v>NO HAY ESE CODIGO</v>
      </c>
      <c r="F20" s="24"/>
    </row>
    <row r="21">
      <c r="A21" s="58">
        <v>3.0</v>
      </c>
      <c r="B21" s="22" t="s">
        <v>90</v>
      </c>
      <c r="C21" s="25" t="s">
        <v>501</v>
      </c>
      <c r="D21" s="33" t="s">
        <v>24</v>
      </c>
      <c r="E21" s="24" t="str">
        <f>IF(B21="","",IF(A21=0,"NO HAY ESE CODIGO",IF(COUNTIF(ASIGNACIONES!$B$3:$B949,B21)=1,"DOTACION ASIGNADA",IF(C21="VISITAS","DOTACION VISITA",IF(C21="MTTO","DOTACION MTTO",IF(C21="PLANTA EMERGENCIA","DOTACION RES DE EMERGENCIA",IF(C21="EXTERNOS","DOTACION DE EXTERNO","DOTACION DISPONIBLE")))))))</f>
        <v>DOTACION ASIGNADA</v>
      </c>
      <c r="F21" s="24"/>
    </row>
    <row r="22">
      <c r="A22" s="58">
        <v>3.0</v>
      </c>
      <c r="B22" s="22" t="s">
        <v>30</v>
      </c>
      <c r="C22" s="25" t="s">
        <v>501</v>
      </c>
      <c r="D22" s="33" t="s">
        <v>24</v>
      </c>
      <c r="E22" s="24" t="str">
        <f>IF(B22="","",IF(A22=0,"NO HAY ESE CODIGO",IF(COUNTIF(ASIGNACIONES!$B$3:$B949,B22)=1,"DOTACION ASIGNADA",IF(C22="VISITAS","DOTACION VISITA",IF(C22="MTTO","DOTACION MTTO",IF(C22="PLANTA EMERGENCIA","DOTACION RES DE EMERGENCIA",IF(C22="EXTERNOS","DOTACION DE EXTERNO","DOTACION DISPONIBLE")))))))</f>
        <v>DOTACION ASIGNADA</v>
      </c>
      <c r="F22" s="24"/>
    </row>
    <row r="23">
      <c r="A23" s="58">
        <v>3.0</v>
      </c>
      <c r="B23" s="22" t="s">
        <v>123</v>
      </c>
      <c r="C23" s="25" t="s">
        <v>501</v>
      </c>
      <c r="D23" s="33" t="s">
        <v>18</v>
      </c>
      <c r="E23" s="24" t="str">
        <f>IF(B23="","",IF(A23=0,"NO HAY ESE CODIGO",IF(COUNTIF(ASIGNACIONES!$B$3:$B949,B23)=1,"DOTACION ASIGNADA",IF(C23="VISITAS","DOTACION VISITA",IF(C23="MTTO","DOTACION MTTO",IF(C23="PLANTA EMERGENCIA","DOTACION RES DE EMERGENCIA",IF(C23="EXTERNOS","DOTACION DE EXTERNO","DOTACION DISPONIBLE")))))))</f>
        <v>DOTACION ASIGNADA</v>
      </c>
      <c r="F23" s="24"/>
    </row>
    <row r="24">
      <c r="A24" s="58">
        <v>0.0</v>
      </c>
      <c r="B24" s="22" t="s">
        <v>249</v>
      </c>
      <c r="C24" s="25" t="s">
        <v>501</v>
      </c>
      <c r="D24" s="33" t="s">
        <v>18</v>
      </c>
      <c r="E24" s="24" t="str">
        <f>IF(B24="","",IF(A24=0,"NO HAY ESE CODIGO",IF(COUNTIF(ASIGNACIONES!$B$3:$B949,B24)=1,"DOTACION ASIGNADA",IF(C24="VISITAS","DOTACION VISITA",IF(C24="MTTO","DOTACION MTTO",IF(C24="PLANTA EMERGENCIA","DOTACION RES DE EMERGENCIA",IF(C24="EXTERNOS","DOTACION DE EXTERNO","DOTACION DISPONIBLE")))))))</f>
        <v>NO HAY ESE CODIGO</v>
      </c>
      <c r="F24" s="24"/>
    </row>
    <row r="25">
      <c r="A25" s="58">
        <v>1.0</v>
      </c>
      <c r="B25" s="22" t="s">
        <v>271</v>
      </c>
      <c r="C25" s="25" t="s">
        <v>501</v>
      </c>
      <c r="D25" s="33" t="s">
        <v>24</v>
      </c>
      <c r="E25" s="24" t="str">
        <f>IF(B25="","",IF(A25=0,"NO HAY ESE CODIGO",IF(COUNTIF(ASIGNACIONES!$B$3:$B949,B25)=1,"DOTACION ASIGNADA",IF(C25="VISITAS","DOTACION VISITA",IF(C25="MTTO","DOTACION MTTO",IF(C25="PLANTA EMERGENCIA","DOTACION RES DE EMERGENCIA",IF(C25="EXTERNOS","DOTACION DE EXTERNO","DOTACION DISPONIBLE")))))))</f>
        <v>DOTACION DISPONIBLE</v>
      </c>
      <c r="F25" s="24"/>
    </row>
    <row r="26">
      <c r="A26" s="58">
        <v>3.0</v>
      </c>
      <c r="B26" s="22" t="s">
        <v>127</v>
      </c>
      <c r="C26" s="25" t="s">
        <v>501</v>
      </c>
      <c r="D26" s="33" t="s">
        <v>67</v>
      </c>
      <c r="E26" s="24" t="str">
        <f>IF(B26="","",IF(A26=0,"NO HAY ESE CODIGO",IF(COUNTIF(ASIGNACIONES!$B$3:$B949,B26)=1,"DOTACION ASIGNADA",IF(C26="VISITAS","DOTACION VISITA",IF(C26="MTTO","DOTACION MTTO",IF(C26="PLANTA EMERGENCIA","DOTACION RES DE EMERGENCIA",IF(C26="EXTERNOS","DOTACION DE EXTERNO","DOTACION DISPONIBLE")))))))</f>
        <v>DOTACION ASIGNADA</v>
      </c>
      <c r="F26" s="24"/>
    </row>
    <row r="27">
      <c r="A27" s="58">
        <v>3.0</v>
      </c>
      <c r="B27" s="22" t="s">
        <v>253</v>
      </c>
      <c r="C27" s="25" t="s">
        <v>501</v>
      </c>
      <c r="D27" s="33" t="s">
        <v>18</v>
      </c>
      <c r="E27" s="24" t="str">
        <f>IF(B27="","",IF(A27=0,"NO HAY ESE CODIGO",IF(COUNTIF(ASIGNACIONES!$B$3:$B949,B27)=1,"DOTACION ASIGNADA",IF(C27="VISITAS","DOTACION VISITA",IF(C27="MTTO","DOTACION MTTO",IF(C27="PLANTA EMERGENCIA","DOTACION RES DE EMERGENCIA",IF(C27="EXTERNOS","DOTACION DE EXTERNO","DOTACION DISPONIBLE")))))))</f>
        <v>DOTACION DISPONIBLE</v>
      </c>
      <c r="F27" s="24"/>
    </row>
    <row r="28">
      <c r="A28" s="58">
        <v>0.0</v>
      </c>
      <c r="B28" s="22" t="s">
        <v>505</v>
      </c>
      <c r="C28" s="25" t="s">
        <v>501</v>
      </c>
      <c r="D28" s="33" t="s">
        <v>24</v>
      </c>
      <c r="E28" s="24" t="str">
        <f>IF(B28="","",IF(A28=0,"NO HAY ESE CODIGO",IF(COUNTIF(ASIGNACIONES!$B$3:$B949,B28)=1,"DOTACION ASIGNADA",IF(C28="VISITAS","DOTACION VISITA",IF(C28="MTTO","DOTACION MTTO",IF(C28="PLANTA EMERGENCIA","DOTACION RES DE EMERGENCIA",IF(C28="EXTERNOS","DOTACION DE EXTERNO","DOTACION DISPONIBLE")))))))</f>
        <v>NO HAY ESE CODIGO</v>
      </c>
      <c r="F28" s="24"/>
    </row>
    <row r="29">
      <c r="A29" s="58">
        <v>3.0</v>
      </c>
      <c r="B29" s="22" t="s">
        <v>21</v>
      </c>
      <c r="C29" s="25" t="s">
        <v>501</v>
      </c>
      <c r="D29" s="33" t="s">
        <v>24</v>
      </c>
      <c r="E29" s="24" t="str">
        <f>IF(B29="","",IF(A29=0,"NO HAY ESE CODIGO",IF(COUNTIF(ASIGNACIONES!$B$3:$B949,B29)=1,"DOTACION ASIGNADA",IF(C29="VISITAS","DOTACION VISITA",IF(C29="MTTO","DOTACION MTTO",IF(C29="PLANTA EMERGENCIA","DOTACION RES DE EMERGENCIA",IF(C29="EXTERNOS","DOTACION DE EXTERNO","DOTACION DISPONIBLE")))))))</f>
        <v>DOTACION ASIGNADA</v>
      </c>
      <c r="F29" s="24"/>
    </row>
    <row r="30">
      <c r="A30" s="58">
        <v>0.0</v>
      </c>
      <c r="B30" s="22" t="s">
        <v>506</v>
      </c>
      <c r="C30" s="25" t="s">
        <v>501</v>
      </c>
      <c r="D30" s="33" t="s">
        <v>350</v>
      </c>
      <c r="E30" s="24" t="str">
        <f>IF(B30="","",IF(A30=0,"NO HAY ESE CODIGO",IF(COUNTIF(ASIGNACIONES!$B$3:$B949,B30)=1,"DOTACION ASIGNADA",IF(C30="VISITAS","DOTACION VISITA",IF(C30="MTTO","DOTACION MTTO",IF(C30="PLANTA EMERGENCIA","DOTACION RES DE EMERGENCIA",IF(C30="EXTERNOS","DOTACION DE EXTERNO","DOTACION DISPONIBLE")))))))</f>
        <v>NO HAY ESE CODIGO</v>
      </c>
      <c r="F30" s="24"/>
    </row>
    <row r="31">
      <c r="A31" s="58">
        <v>3.0</v>
      </c>
      <c r="B31" s="22" t="s">
        <v>14</v>
      </c>
      <c r="C31" s="25" t="s">
        <v>501</v>
      </c>
      <c r="D31" s="33" t="s">
        <v>18</v>
      </c>
      <c r="E31" s="24" t="str">
        <f>IF(B31="","",IF(A31=0,"NO HAY ESE CODIGO",IF(COUNTIF(ASIGNACIONES!$B$3:$B949,B31)=1,"DOTACION ASIGNADA",IF(C31="VISITAS","DOTACION VISITA",IF(C31="MTTO","DOTACION MTTO",IF(C31="PLANTA EMERGENCIA","DOTACION RES DE EMERGENCIA",IF(C31="EXTERNOS","DOTACION DE EXTERNO","DOTACION DISPONIBLE")))))))</f>
        <v>DOTACION ASIGNADA</v>
      </c>
      <c r="F31" s="24"/>
    </row>
    <row r="32">
      <c r="A32" s="58">
        <v>3.0</v>
      </c>
      <c r="B32" s="22" t="s">
        <v>443</v>
      </c>
      <c r="C32" s="25" t="s">
        <v>501</v>
      </c>
      <c r="D32" s="33" t="s">
        <v>18</v>
      </c>
      <c r="E32" s="24" t="str">
        <f>IF(B32="","",IF(A32=0,"NO HAY ESE CODIGO",IF(COUNTIF(ASIGNACIONES!$B$3:$B949,B32)=1,"DOTACION ASIGNADA",IF(C32="VISITAS","DOTACION VISITA",IF(C32="MTTO","DOTACION MTTO",IF(C32="PLANTA EMERGENCIA","DOTACION RES DE EMERGENCIA",IF(C32="EXTERNOS","DOTACION DE EXTERNO","DOTACION DISPONIBLE")))))))</f>
        <v>DOTACION DISPONIBLE</v>
      </c>
      <c r="F32" s="24"/>
    </row>
    <row r="33">
      <c r="A33" s="58">
        <v>3.0</v>
      </c>
      <c r="B33" s="22" t="s">
        <v>447</v>
      </c>
      <c r="C33" s="25" t="s">
        <v>501</v>
      </c>
      <c r="D33" s="33" t="s">
        <v>18</v>
      </c>
      <c r="E33" s="24" t="str">
        <f>IF(B33="","",IF(A33=0,"NO HAY ESE CODIGO",IF(COUNTIF(ASIGNACIONES!$B$3:$B949,B33)=1,"DOTACION ASIGNADA",IF(C33="VISITAS","DOTACION VISITA",IF(C33="MTTO","DOTACION MTTO",IF(C33="PLANTA EMERGENCIA","DOTACION RES DE EMERGENCIA",IF(C33="EXTERNOS","DOTACION DE EXTERNO","DOTACION DISPONIBLE")))))))</f>
        <v>DOTACION DISPONIBLE</v>
      </c>
      <c r="F33" s="24"/>
    </row>
    <row r="34">
      <c r="A34" s="58">
        <v>3.0</v>
      </c>
      <c r="B34" s="22" t="s">
        <v>158</v>
      </c>
      <c r="C34" s="25" t="s">
        <v>501</v>
      </c>
      <c r="D34" s="33" t="s">
        <v>24</v>
      </c>
      <c r="E34" s="24" t="str">
        <f>IF(B34="","",IF(A34=0,"NO HAY ESE CODIGO",IF(COUNTIF(ASIGNACIONES!$B$3:$B949,B34)=1,"DOTACION ASIGNADA",IF(C34="VISITAS","DOTACION VISITA",IF(C34="MTTO","DOTACION MTTO",IF(C34="PLANTA EMERGENCIA","DOTACION RES DE EMERGENCIA",IF(C34="EXTERNOS","DOTACION DE EXTERNO","DOTACION DISPONIBLE")))))))</f>
        <v>DOTACION ASIGNADA</v>
      </c>
      <c r="F34" s="24"/>
    </row>
    <row r="35">
      <c r="A35" s="58">
        <v>3.0</v>
      </c>
      <c r="B35" s="22" t="s">
        <v>451</v>
      </c>
      <c r="C35" s="25" t="s">
        <v>501</v>
      </c>
      <c r="D35" s="33" t="s">
        <v>24</v>
      </c>
      <c r="E35" s="24" t="str">
        <f>IF(B35="","",IF(A35=0,"NO HAY ESE CODIGO",IF(COUNTIF(ASIGNACIONES!$B$3:$B949,B35)=1,"DOTACION ASIGNADA",IF(C35="VISITAS","DOTACION VISITA",IF(C35="MTTO","DOTACION MTTO",IF(C35="PLANTA EMERGENCIA","DOTACION RES DE EMERGENCIA",IF(C35="EXTERNOS","DOTACION DE EXTERNO","DOTACION DISPONIBLE")))))))</f>
        <v>DOTACION DISPONIBLE</v>
      </c>
      <c r="F35" s="24"/>
    </row>
    <row r="36">
      <c r="A36" s="58">
        <v>3.0</v>
      </c>
      <c r="B36" s="22" t="s">
        <v>278</v>
      </c>
      <c r="C36" s="25" t="s">
        <v>501</v>
      </c>
      <c r="D36" s="33" t="s">
        <v>24</v>
      </c>
      <c r="E36" s="24" t="str">
        <f>IF(B36="","",IF(A36=0,"NO HAY ESE CODIGO",IF(COUNTIF(ASIGNACIONES!$B$3:$B949,B36)=1,"DOTACION ASIGNADA",IF(C36="VISITAS","DOTACION VISITA",IF(C36="MTTO","DOTACION MTTO",IF(C36="PLANTA EMERGENCIA","DOTACION RES DE EMERGENCIA",IF(C36="EXTERNOS","DOTACION DE EXTERNO","DOTACION DISPONIBLE")))))))</f>
        <v>DOTACION DISPONIBLE</v>
      </c>
      <c r="F36" s="24"/>
    </row>
    <row r="37">
      <c r="A37" s="58">
        <v>3.0</v>
      </c>
      <c r="B37" s="22" t="s">
        <v>64</v>
      </c>
      <c r="C37" s="25" t="s">
        <v>501</v>
      </c>
      <c r="D37" s="33" t="s">
        <v>67</v>
      </c>
      <c r="E37" s="24" t="str">
        <f>IF(B37="","",IF(A37=0,"NO HAY ESE CODIGO",IF(COUNTIF(ASIGNACIONES!$B$3:$B949,B37)=1,"DOTACION ASIGNADA",IF(C37="VISITAS","DOTACION VISITA",IF(C37="MTTO","DOTACION MTTO",IF(C37="PLANTA EMERGENCIA","DOTACION RES DE EMERGENCIA",IF(C37="EXTERNOS","DOTACION DE EXTERNO","DOTACION DISPONIBLE")))))))</f>
        <v>DOTACION ASIGNADA</v>
      </c>
      <c r="F37" s="24"/>
    </row>
    <row r="38">
      <c r="A38" s="58">
        <v>0.0</v>
      </c>
      <c r="B38" s="22" t="s">
        <v>507</v>
      </c>
      <c r="C38" s="25" t="s">
        <v>501</v>
      </c>
      <c r="D38" s="33" t="s">
        <v>18</v>
      </c>
      <c r="E38" s="24" t="str">
        <f>IF(B38="","",IF(A38=0,"NO HAY ESE CODIGO",IF(COUNTIF(ASIGNACIONES!$B$3:$B949,B38)=1,"DOTACION ASIGNADA",IF(C38="VISITAS","DOTACION VISITA",IF(C38="MTTO","DOTACION MTTO",IF(C38="PLANTA EMERGENCIA","DOTACION RES DE EMERGENCIA",IF(C38="EXTERNOS","DOTACION DE EXTERNO","DOTACION DISPONIBLE")))))))</f>
        <v>NO HAY ESE CODIGO</v>
      </c>
      <c r="F38" s="24"/>
    </row>
    <row r="39">
      <c r="A39" s="58">
        <v>3.0</v>
      </c>
      <c r="B39" s="22" t="s">
        <v>51</v>
      </c>
      <c r="C39" s="25" t="s">
        <v>501</v>
      </c>
      <c r="D39" s="33" t="s">
        <v>24</v>
      </c>
      <c r="E39" s="24" t="str">
        <f>IF(B39="","",IF(A39=0,"NO HAY ESE CODIGO",IF(COUNTIF(ASIGNACIONES!$B$3:$B949,B39)=1,"DOTACION ASIGNADA",IF(C39="VISITAS","DOTACION VISITA",IF(C39="MTTO","DOTACION MTTO",IF(C39="PLANTA EMERGENCIA","DOTACION RES DE EMERGENCIA",IF(C39="EXTERNOS","DOTACION DE EXTERNO","DOTACION DISPONIBLE")))))))</f>
        <v>DOTACION ASIGNADA</v>
      </c>
      <c r="F39" s="24"/>
    </row>
    <row r="40">
      <c r="A40" s="58">
        <v>0.0</v>
      </c>
      <c r="B40" s="22" t="s">
        <v>508</v>
      </c>
      <c r="C40" s="25" t="s">
        <v>501</v>
      </c>
      <c r="D40" s="33" t="s">
        <v>18</v>
      </c>
      <c r="E40" s="24" t="str">
        <f>IF(B40="","",IF(A40=0,"NO HAY ESE CODIGO",IF(COUNTIF(ASIGNACIONES!$B$3:$B949,B40)=1,"DOTACION ASIGNADA",IF(C40="VISITAS","DOTACION VISITA",IF(C40="MTTO","DOTACION MTTO",IF(C40="PLANTA EMERGENCIA","DOTACION RES DE EMERGENCIA",IF(C40="EXTERNOS","DOTACION DE EXTERNO","DOTACION DISPONIBLE")))))))</f>
        <v>NO HAY ESE CODIGO</v>
      </c>
      <c r="F40" s="24"/>
    </row>
    <row r="41">
      <c r="A41" s="58">
        <v>2.0</v>
      </c>
      <c r="B41" s="22" t="s">
        <v>154</v>
      </c>
      <c r="C41" s="25" t="s">
        <v>501</v>
      </c>
      <c r="D41" s="33" t="s">
        <v>24</v>
      </c>
      <c r="E41" s="24" t="str">
        <f>IF(B41="","",IF(A41=0,"NO HAY ESE CODIGO",IF(COUNTIF(ASIGNACIONES!$B$3:$B949,B41)=1,"DOTACION ASIGNADA",IF(C41="VISITAS","DOTACION VISITA",IF(C41="MTTO","DOTACION MTTO",IF(C41="PLANTA EMERGENCIA","DOTACION RES DE EMERGENCIA",IF(C41="EXTERNOS","DOTACION DE EXTERNO","DOTACION DISPONIBLE")))))))</f>
        <v>DOTACION ASIGNADA</v>
      </c>
      <c r="F41" s="24"/>
    </row>
    <row r="42">
      <c r="A42" s="58">
        <v>0.0</v>
      </c>
      <c r="B42" s="22" t="s">
        <v>509</v>
      </c>
      <c r="C42" s="25" t="s">
        <v>501</v>
      </c>
      <c r="D42" s="33" t="s">
        <v>18</v>
      </c>
      <c r="E42" s="24" t="str">
        <f>IF(B42="","",IF(A42=0,"NO HAY ESE CODIGO",IF(COUNTIF(ASIGNACIONES!$B$3:$B949,B42)=1,"DOTACION ASIGNADA",IF(C42="VISITAS","DOTACION VISITA",IF(C42="MTTO","DOTACION MTTO",IF(C42="PLANTA EMERGENCIA","DOTACION RES DE EMERGENCIA",IF(C42="EXTERNOS","DOTACION DE EXTERNO","DOTACION DISPONIBLE")))))))</f>
        <v>NO HAY ESE CODIGO</v>
      </c>
      <c r="F42" s="24"/>
    </row>
    <row r="43">
      <c r="A43" s="58">
        <v>3.0</v>
      </c>
      <c r="B43" s="22" t="s">
        <v>297</v>
      </c>
      <c r="C43" s="25" t="s">
        <v>501</v>
      </c>
      <c r="D43" s="33" t="s">
        <v>67</v>
      </c>
      <c r="E43" s="24" t="str">
        <f>IF(B43="","",IF(A43=0,"NO HAY ESE CODIGO",IF(COUNTIF(ASIGNACIONES!$B$3:$B949,B43)=1,"DOTACION ASIGNADA",IF(C43="VISITAS","DOTACION VISITA",IF(C43="MTTO","DOTACION MTTO",IF(C43="PLANTA EMERGENCIA","DOTACION RES DE EMERGENCIA",IF(C43="EXTERNOS","DOTACION DE EXTERNO","DOTACION DISPONIBLE")))))))</f>
        <v>DOTACION DISPONIBLE</v>
      </c>
      <c r="F43" s="24"/>
    </row>
    <row r="44">
      <c r="A44" s="58">
        <v>3.0</v>
      </c>
      <c r="B44" s="22" t="s">
        <v>98</v>
      </c>
      <c r="C44" s="25" t="s">
        <v>501</v>
      </c>
      <c r="D44" s="33" t="s">
        <v>37</v>
      </c>
      <c r="E44" s="24" t="str">
        <f>IF(B44="","",IF(A44=0,"NO HAY ESE CODIGO",IF(COUNTIF(ASIGNACIONES!$B$3:$B949,B44)=1,"DOTACION ASIGNADA",IF(C44="VISITAS","DOTACION VISITA",IF(C44="MTTO","DOTACION MTTO",IF(C44="PLANTA EMERGENCIA","DOTACION RES DE EMERGENCIA",IF(C44="EXTERNOS","DOTACION DE EXTERNO","DOTACION DISPONIBLE")))))))</f>
        <v>DOTACION ASIGNADA</v>
      </c>
      <c r="F44" s="24"/>
    </row>
    <row r="45">
      <c r="A45" s="58">
        <v>0.0</v>
      </c>
      <c r="B45" s="22" t="s">
        <v>510</v>
      </c>
      <c r="C45" s="25" t="s">
        <v>501</v>
      </c>
      <c r="D45" s="33" t="s">
        <v>18</v>
      </c>
      <c r="E45" s="24" t="str">
        <f>IF(B45="","",IF(A45=0,"NO HAY ESE CODIGO",IF(COUNTIF(ASIGNACIONES!$B$3:$B949,B45)=1,"DOTACION ASIGNADA",IF(C45="VISITAS","DOTACION VISITA",IF(C45="MTTO","DOTACION MTTO",IF(C45="PLANTA EMERGENCIA","DOTACION RES DE EMERGENCIA",IF(C45="EXTERNOS","DOTACION DE EXTERNO","DOTACION DISPONIBLE")))))))</f>
        <v>NO HAY ESE CODIGO</v>
      </c>
      <c r="F45" s="24"/>
    </row>
    <row r="46">
      <c r="A46" s="58">
        <v>1.0</v>
      </c>
      <c r="B46" s="22" t="s">
        <v>310</v>
      </c>
      <c r="C46" s="25" t="s">
        <v>501</v>
      </c>
      <c r="D46" s="33" t="s">
        <v>24</v>
      </c>
      <c r="E46" s="24" t="str">
        <f>IF(B46="","",IF(A46=0,"NO HAY ESE CODIGO",IF(COUNTIF(ASIGNACIONES!$B$3:$B949,B46)=1,"DOTACION ASIGNADA",IF(C46="VISITAS","DOTACION VISITA",IF(C46="MTTO","DOTACION MTTO",IF(C46="PLANTA EMERGENCIA","DOTACION RES DE EMERGENCIA",IF(C46="EXTERNOS","DOTACION DE EXTERNO","DOTACION DISPONIBLE")))))))</f>
        <v>DOTACION DISPONIBLE</v>
      </c>
      <c r="F46" s="24"/>
    </row>
    <row r="47">
      <c r="A47" s="58">
        <v>0.0</v>
      </c>
      <c r="B47" s="22" t="s">
        <v>511</v>
      </c>
      <c r="C47" s="25" t="s">
        <v>501</v>
      </c>
      <c r="D47" s="33" t="s">
        <v>350</v>
      </c>
      <c r="E47" s="24" t="str">
        <f>IF(B47="","",IF(A47=0,"NO HAY ESE CODIGO",IF(COUNTIF(ASIGNACIONES!$B$3:$B949,B47)=1,"DOTACION ASIGNADA",IF(C47="VISITAS","DOTACION VISITA",IF(C47="MTTO","DOTACION MTTO",IF(C47="PLANTA EMERGENCIA","DOTACION RES DE EMERGENCIA",IF(C47="EXTERNOS","DOTACION DE EXTERNO","DOTACION DISPONIBLE")))))))</f>
        <v>NO HAY ESE CODIGO</v>
      </c>
      <c r="F47" s="24"/>
    </row>
    <row r="48">
      <c r="A48" s="58">
        <v>0.0</v>
      </c>
      <c r="B48" s="22" t="s">
        <v>512</v>
      </c>
      <c r="C48" s="25" t="s">
        <v>501</v>
      </c>
      <c r="D48" s="33" t="s">
        <v>18</v>
      </c>
      <c r="E48" s="24" t="str">
        <f>IF(B48="","",IF(A48=0,"NO HAY ESE CODIGO",IF(COUNTIF(ASIGNACIONES!$B$3:$B949,B48)=1,"DOTACION ASIGNADA",IF(C48="VISITAS","DOTACION VISITA",IF(C48="MTTO","DOTACION MTTO",IF(C48="PLANTA EMERGENCIA","DOTACION RES DE EMERGENCIA",IF(C48="EXTERNOS","DOTACION DE EXTERNO","DOTACION DISPONIBLE")))))))</f>
        <v>NO HAY ESE CODIGO</v>
      </c>
      <c r="F48" s="24"/>
    </row>
    <row r="49">
      <c r="A49" s="58">
        <v>0.0</v>
      </c>
      <c r="B49" s="22" t="s">
        <v>513</v>
      </c>
      <c r="C49" s="25" t="s">
        <v>501</v>
      </c>
      <c r="D49" s="33" t="s">
        <v>18</v>
      </c>
      <c r="E49" s="24" t="str">
        <f>IF(B49="","",IF(A49=0,"NO HAY ESE CODIGO",IF(COUNTIF(ASIGNACIONES!$B$3:$B949,B49)=1,"DOTACION ASIGNADA",IF(C49="VISITAS","DOTACION VISITA",IF(C49="MTTO","DOTACION MTTO",IF(C49="PLANTA EMERGENCIA","DOTACION RES DE EMERGENCIA",IF(C49="EXTERNOS","DOTACION DE EXTERNO","DOTACION DISPONIBLE")))))))</f>
        <v>NO HAY ESE CODIGO</v>
      </c>
      <c r="F49" s="24"/>
    </row>
    <row r="50">
      <c r="A50" s="58">
        <v>3.0</v>
      </c>
      <c r="B50" s="22" t="s">
        <v>131</v>
      </c>
      <c r="C50" s="25" t="s">
        <v>501</v>
      </c>
      <c r="D50" s="33" t="s">
        <v>18</v>
      </c>
      <c r="E50" s="24" t="str">
        <f>IF(B50="","",IF(A50=0,"NO HAY ESE CODIGO",IF(COUNTIF(ASIGNACIONES!$B$3:$B949,B50)=1,"DOTACION ASIGNADA",IF(C50="VISITAS","DOTACION VISITA",IF(C50="MTTO","DOTACION MTTO",IF(C50="PLANTA EMERGENCIA","DOTACION RES DE EMERGENCIA",IF(C50="EXTERNOS","DOTACION DE EXTERNO","DOTACION DISPONIBLE")))))))</f>
        <v>DOTACION ASIGNADA</v>
      </c>
      <c r="F50" s="24"/>
    </row>
    <row r="51">
      <c r="A51" s="58">
        <v>0.0</v>
      </c>
      <c r="B51" s="22" t="s">
        <v>514</v>
      </c>
      <c r="C51" s="25" t="s">
        <v>501</v>
      </c>
      <c r="D51" s="33" t="s">
        <v>350</v>
      </c>
      <c r="E51" s="24" t="str">
        <f>IF(B51="","",IF(A51=0,"NO HAY ESE CODIGO",IF(COUNTIF(ASIGNACIONES!$B$3:$B949,B51)=1,"DOTACION ASIGNADA",IF(C51="VISITAS","DOTACION VISITA",IF(C51="MTTO","DOTACION MTTO",IF(C51="PLANTA EMERGENCIA","DOTACION RES DE EMERGENCIA",IF(C51="EXTERNOS","DOTACION DE EXTERNO","DOTACION DISPONIBLE")))))))</f>
        <v>NO HAY ESE CODIGO</v>
      </c>
      <c r="F51" s="24"/>
    </row>
    <row r="52">
      <c r="A52" s="58">
        <v>0.0</v>
      </c>
      <c r="B52" s="22" t="s">
        <v>515</v>
      </c>
      <c r="C52" s="25" t="s">
        <v>501</v>
      </c>
      <c r="D52" s="33" t="s">
        <v>18</v>
      </c>
      <c r="E52" s="24" t="str">
        <f>IF(B52="","",IF(A52=0,"NO HAY ESE CODIGO",IF(COUNTIF(ASIGNACIONES!$B$3:$B949,B52)=1,"DOTACION ASIGNADA",IF(C52="VISITAS","DOTACION VISITA",IF(C52="MTTO","DOTACION MTTO",IF(C52="PLANTA EMERGENCIA","DOTACION RES DE EMERGENCIA",IF(C52="EXTERNOS","DOTACION DE EXTERNO","DOTACION DISPONIBLE")))))))</f>
        <v>NO HAY ESE CODIGO</v>
      </c>
      <c r="F52" s="24"/>
    </row>
    <row r="53">
      <c r="A53" s="58">
        <v>3.0</v>
      </c>
      <c r="B53" s="22" t="s">
        <v>26</v>
      </c>
      <c r="C53" s="25" t="s">
        <v>501</v>
      </c>
      <c r="D53" s="33" t="s">
        <v>24</v>
      </c>
      <c r="E53" s="24" t="str">
        <f>IF(B53="","",IF(A53=0,"NO HAY ESE CODIGO",IF(COUNTIF(ASIGNACIONES!$B$3:$B949,B53)=1,"DOTACION ASIGNADA",IF(C53="VISITAS","DOTACION VISITA",IF(C53="MTTO","DOTACION MTTO",IF(C53="PLANTA EMERGENCIA","DOTACION RES DE EMERGENCIA",IF(C53="EXTERNOS","DOTACION DE EXTERNO","DOTACION DISPONIBLE")))))))</f>
        <v>DOTACION ASIGNADA</v>
      </c>
      <c r="F53" s="24"/>
    </row>
    <row r="54">
      <c r="A54" s="58">
        <v>1.0</v>
      </c>
      <c r="B54" s="22" t="s">
        <v>461</v>
      </c>
      <c r="C54" s="25" t="s">
        <v>501</v>
      </c>
      <c r="D54" s="33" t="s">
        <v>24</v>
      </c>
      <c r="E54" s="24" t="str">
        <f>IF(B54="","",IF(A54=0,"NO HAY ESE CODIGO",IF(COUNTIF(ASIGNACIONES!$B$3:$B949,B54)=1,"DOTACION ASIGNADA",IF(C54="VISITAS","DOTACION VISITA",IF(C54="MTTO","DOTACION MTTO",IF(C54="PLANTA EMERGENCIA","DOTACION RES DE EMERGENCIA",IF(C54="EXTERNOS","DOTACION DE EXTERNO","DOTACION DISPONIBLE")))))))</f>
        <v>DOTACION DISPONIBLE</v>
      </c>
      <c r="F54" s="24"/>
    </row>
    <row r="55">
      <c r="A55" s="58">
        <v>0.0</v>
      </c>
      <c r="B55" s="22" t="s">
        <v>82</v>
      </c>
      <c r="C55" s="25" t="s">
        <v>501</v>
      </c>
      <c r="D55" s="33" t="s">
        <v>67</v>
      </c>
      <c r="E55" s="24" t="str">
        <f>IF(B55="","",IF(A55=0,"NO HAY ESE CODIGO",IF(COUNTIF(ASIGNACIONES!$B$3:$B949,B55)=1,"DOTACION ASIGNADA",IF(C55="VISITAS","DOTACION VISITA",IF(C55="MTTO","DOTACION MTTO",IF(C55="PLANTA EMERGENCIA","DOTACION RES DE EMERGENCIA",IF(C55="EXTERNOS","DOTACION DE EXTERNO","DOTACION DISPONIBLE")))))))</f>
        <v>NO HAY ESE CODIGO</v>
      </c>
      <c r="F55" s="24"/>
    </row>
    <row r="56">
      <c r="A56" s="58">
        <v>0.0</v>
      </c>
      <c r="B56" s="22" t="s">
        <v>516</v>
      </c>
      <c r="C56" s="25" t="s">
        <v>501</v>
      </c>
      <c r="D56" s="33" t="s">
        <v>24</v>
      </c>
      <c r="E56" s="24" t="str">
        <f>IF(B56="","",IF(A56=0,"NO HAY ESE CODIGO",IF(COUNTIF(ASIGNACIONES!$B$3:$B949,B56)=1,"DOTACION ASIGNADA",IF(C56="VISITAS","DOTACION VISITA",IF(C56="MTTO","DOTACION MTTO",IF(C56="PLANTA EMERGENCIA","DOTACION RES DE EMERGENCIA",IF(C56="EXTERNOS","DOTACION DE EXTERNO","DOTACION DISPONIBLE")))))))</f>
        <v>NO HAY ESE CODIGO</v>
      </c>
      <c r="F56" s="24"/>
    </row>
    <row r="57">
      <c r="A57" s="58">
        <v>3.0</v>
      </c>
      <c r="B57" s="22" t="s">
        <v>332</v>
      </c>
      <c r="C57" s="25" t="s">
        <v>501</v>
      </c>
      <c r="D57" s="33" t="s">
        <v>67</v>
      </c>
      <c r="E57" s="24" t="str">
        <f>IF(B57="","",IF(A57=0,"NO HAY ESE CODIGO",IF(COUNTIF(ASIGNACIONES!$B$3:$B949,B57)=1,"DOTACION ASIGNADA",IF(C57="VISITAS","DOTACION VISITA",IF(C57="MTTO","DOTACION MTTO",IF(C57="PLANTA EMERGENCIA","DOTACION RES DE EMERGENCIA",IF(C57="EXTERNOS","DOTACION DE EXTERNO","DOTACION DISPONIBLE")))))))</f>
        <v>DOTACION DISPONIBLE</v>
      </c>
      <c r="F57" s="24"/>
    </row>
    <row r="58">
      <c r="A58" s="58">
        <v>0.0</v>
      </c>
      <c r="B58" s="22" t="s">
        <v>517</v>
      </c>
      <c r="C58" s="25" t="s">
        <v>501</v>
      </c>
      <c r="D58" s="33" t="s">
        <v>18</v>
      </c>
      <c r="E58" s="24" t="str">
        <f>IF(B58="","",IF(A58=0,"NO HAY ESE CODIGO",IF(COUNTIF(ASIGNACIONES!$B$3:$B949,B58)=1,"DOTACION ASIGNADA",IF(C58="VISITAS","DOTACION VISITA",IF(C58="MTTO","DOTACION MTTO",IF(C58="PLANTA EMERGENCIA","DOTACION RES DE EMERGENCIA",IF(C58="EXTERNOS","DOTACION DE EXTERNO","DOTACION DISPONIBLE")))))))</f>
        <v>NO HAY ESE CODIGO</v>
      </c>
      <c r="F58" s="24"/>
    </row>
    <row r="59">
      <c r="A59" s="58">
        <v>0.0</v>
      </c>
      <c r="B59" s="22" t="s">
        <v>518</v>
      </c>
      <c r="C59" s="25" t="s">
        <v>501</v>
      </c>
      <c r="D59" s="33" t="s">
        <v>18</v>
      </c>
      <c r="E59" s="24" t="str">
        <f>IF(B59="","",IF(A59=0,"NO HAY ESE CODIGO",IF(COUNTIF(ASIGNACIONES!$B$3:$B949,B59)=1,"DOTACION ASIGNADA",IF(C59="VISITAS","DOTACION VISITA",IF(C59="MTTO","DOTACION MTTO",IF(C59="PLANTA EMERGENCIA","DOTACION RES DE EMERGENCIA",IF(C59="EXTERNOS","DOTACION DE EXTERNO","DOTACION DISPONIBLE")))))))</f>
        <v>NO HAY ESE CODIGO</v>
      </c>
      <c r="F59" s="24"/>
    </row>
    <row r="60">
      <c r="A60" s="58">
        <v>0.0</v>
      </c>
      <c r="B60" s="22" t="s">
        <v>519</v>
      </c>
      <c r="C60" s="25" t="s">
        <v>501</v>
      </c>
      <c r="D60" s="33" t="s">
        <v>18</v>
      </c>
      <c r="E60" s="24" t="str">
        <f>IF(B60="","",IF(A60=0,"NO HAY ESE CODIGO",IF(COUNTIF(ASIGNACIONES!$B$3:$B949,B60)=1,"DOTACION ASIGNADA",IF(C60="VISITAS","DOTACION VISITA",IF(C60="MTTO","DOTACION MTTO",IF(C60="PLANTA EMERGENCIA","DOTACION RES DE EMERGENCIA",IF(C60="EXTERNOS","DOTACION DE EXTERNO","DOTACION DISPONIBLE")))))))</f>
        <v>NO HAY ESE CODIGO</v>
      </c>
      <c r="F60" s="24"/>
    </row>
    <row r="61">
      <c r="A61" s="58">
        <v>2.0</v>
      </c>
      <c r="B61" s="22" t="s">
        <v>146</v>
      </c>
      <c r="C61" s="25" t="s">
        <v>501</v>
      </c>
      <c r="D61" s="33" t="s">
        <v>24</v>
      </c>
      <c r="E61" s="24" t="str">
        <f>IF(B61="","",IF(A61=0,"NO HAY ESE CODIGO",IF(COUNTIF(ASIGNACIONES!$B$3:$B949,B61)=1,"DOTACION ASIGNADA",IF(C61="VISITAS","DOTACION VISITA",IF(C61="MTTO","DOTACION MTTO",IF(C61="PLANTA EMERGENCIA","DOTACION RES DE EMERGENCIA",IF(C61="EXTERNOS","DOTACION DE EXTERNO","DOTACION DISPONIBLE")))))))</f>
        <v>DOTACION ASIGNADA</v>
      </c>
      <c r="F61" s="24"/>
    </row>
    <row r="62">
      <c r="A62" s="58">
        <v>0.0</v>
      </c>
      <c r="B62" s="22" t="s">
        <v>520</v>
      </c>
      <c r="C62" s="25" t="s">
        <v>501</v>
      </c>
      <c r="D62" s="33"/>
      <c r="E62" s="24" t="str">
        <f>IF(B62="","",IF(A62=0,"NO HAY ESE CODIGO",IF(COUNTIF(ASIGNACIONES!$B$3:$B949,B62)=1,"DOTACION ASIGNADA",IF(C62="VISITAS","DOTACION VISITA",IF(C62="MTTO","DOTACION MTTO",IF(C62="PLANTA EMERGENCIA","DOTACION RES DE EMERGENCIA",IF(C62="EXTERNOS","DOTACION DE EXTERNO","DOTACION DISPONIBLE")))))))</f>
        <v>NO HAY ESE CODIGO</v>
      </c>
      <c r="F62" s="24"/>
    </row>
    <row r="63">
      <c r="A63" s="58">
        <v>0.0</v>
      </c>
      <c r="B63" s="22" t="s">
        <v>521</v>
      </c>
      <c r="C63" s="25" t="s">
        <v>501</v>
      </c>
      <c r="D63" s="33" t="s">
        <v>164</v>
      </c>
      <c r="E63" s="24" t="str">
        <f>IF(B63="","",IF(A63=0,"NO HAY ESE CODIGO",IF(COUNTIF(ASIGNACIONES!$B$3:$B949,B63)=1,"DOTACION ASIGNADA",IF(C63="VISITAS","DOTACION VISITA",IF(C63="MTTO","DOTACION MTTO",IF(C63="PLANTA EMERGENCIA","DOTACION RES DE EMERGENCIA",IF(C63="EXTERNOS","DOTACION DE EXTERNO","DOTACION DISPONIBLE")))))))</f>
        <v>NO HAY ESE CODIGO</v>
      </c>
      <c r="F63" s="24"/>
    </row>
    <row r="64">
      <c r="A64" s="58">
        <v>0.0</v>
      </c>
      <c r="B64" s="60" t="s">
        <v>522</v>
      </c>
      <c r="C64" s="25" t="s">
        <v>501</v>
      </c>
      <c r="D64" s="33" t="s">
        <v>18</v>
      </c>
      <c r="E64" s="24" t="str">
        <f>IF(B64="","",IF(A64=0,"NO HAY ESE CODIGO",IF(COUNTIF(ASIGNACIONES!$B$3:$B949,B64)=1,"DOTACION ASIGNADA",IF(C64="VISITAS","DOTACION VISITA",IF(C64="MTTO","DOTACION MTTO",IF(C64="PLANTA EMERGENCIA","DOTACION RES DE EMERGENCIA",IF(C64="EXTERNOS","DOTACION DE EXTERNO","DOTACION DISPONIBLE")))))))</f>
        <v>NO HAY ESE CODIGO</v>
      </c>
      <c r="F64" s="24"/>
    </row>
    <row r="65">
      <c r="A65" s="58">
        <v>1.0</v>
      </c>
      <c r="B65" s="22" t="s">
        <v>150</v>
      </c>
      <c r="C65" s="25" t="s">
        <v>501</v>
      </c>
      <c r="D65" s="33" t="s">
        <v>67</v>
      </c>
      <c r="E65" s="24" t="str">
        <f>IF(B65="","",IF(A65=0,"NO HAY ESE CODIGO",IF(COUNTIF(ASIGNACIONES!$B$3:$B949,B65)=1,"DOTACION ASIGNADA",IF(C65="VISITAS","DOTACION VISITA",IF(C65="MTTO","DOTACION MTTO",IF(C65="PLANTA EMERGENCIA","DOTACION RES DE EMERGENCIA",IF(C65="EXTERNOS","DOTACION DE EXTERNO","DOTACION DISPONIBLE")))))))</f>
        <v>DOTACION ASIGNADA</v>
      </c>
      <c r="F65" s="24"/>
    </row>
    <row r="66">
      <c r="A66" s="58">
        <v>0.0</v>
      </c>
      <c r="B66" s="22" t="s">
        <v>523</v>
      </c>
      <c r="C66" s="25" t="s">
        <v>501</v>
      </c>
      <c r="D66" s="33" t="s">
        <v>24</v>
      </c>
      <c r="E66" s="24" t="str">
        <f>IF(B66="","",IF(A66=0,"NO HAY ESE CODIGO",IF(COUNTIF(ASIGNACIONES!$B$3:$B949,B66)=1,"DOTACION ASIGNADA",IF(C66="VISITAS","DOTACION VISITA",IF(C66="MTTO","DOTACION MTTO",IF(C66="PLANTA EMERGENCIA","DOTACION RES DE EMERGENCIA",IF(C66="EXTERNOS","DOTACION DE EXTERNO","DOTACION DISPONIBLE")))))))</f>
        <v>NO HAY ESE CODIGO</v>
      </c>
      <c r="F66" s="24"/>
    </row>
    <row r="67">
      <c r="A67" s="58">
        <v>0.0</v>
      </c>
      <c r="B67" s="22" t="s">
        <v>524</v>
      </c>
      <c r="C67" s="25" t="s">
        <v>501</v>
      </c>
      <c r="D67" s="33" t="s">
        <v>24</v>
      </c>
      <c r="E67" s="24" t="str">
        <f>IF(B67="","",IF(A67=0,"NO HAY ESE CODIGO",IF(COUNTIF(ASIGNACIONES!$B$3:$B949,B67)=1,"DOTACION ASIGNADA",IF(C67="VISITAS","DOTACION VISITA",IF(C67="MTTO","DOTACION MTTO",IF(C67="PLANTA EMERGENCIA","DOTACION RES DE EMERGENCIA",IF(C67="EXTERNOS","DOTACION DE EXTERNO","DOTACION DISPONIBLE")))))))</f>
        <v>NO HAY ESE CODIGO</v>
      </c>
      <c r="F67" s="24"/>
    </row>
    <row r="68">
      <c r="A68" s="58">
        <v>0.0</v>
      </c>
      <c r="B68" s="22" t="s">
        <v>260</v>
      </c>
      <c r="C68" s="25" t="s">
        <v>501</v>
      </c>
      <c r="D68" s="33" t="s">
        <v>18</v>
      </c>
      <c r="E68" s="24" t="str">
        <f>IF(B68="","",IF(A68=0,"NO HAY ESE CODIGO",IF(COUNTIF(ASIGNACIONES!$B$3:$B949,B68)=1,"DOTACION ASIGNADA",IF(C68="VISITAS","DOTACION VISITA",IF(C68="MTTO","DOTACION MTTO",IF(C68="PLANTA EMERGENCIA","DOTACION RES DE EMERGENCIA",IF(C68="EXTERNOS","DOTACION DE EXTERNO","DOTACION DISPONIBLE")))))))</f>
        <v>NO HAY ESE CODIGO</v>
      </c>
      <c r="F68" s="24"/>
    </row>
    <row r="69">
      <c r="A69" s="58">
        <v>3.0</v>
      </c>
      <c r="B69" s="22" t="s">
        <v>286</v>
      </c>
      <c r="C69" s="25" t="s">
        <v>501</v>
      </c>
      <c r="D69" s="33" t="s">
        <v>24</v>
      </c>
      <c r="E69" s="24" t="str">
        <f>IF(B69="","",IF(A69=0,"NO HAY ESE CODIGO",IF(COUNTIF(ASIGNACIONES!$B$3:$B949,B69)=1,"DOTACION ASIGNADA",IF(C69="VISITAS","DOTACION VISITA",IF(C69="MTTO","DOTACION MTTO",IF(C69="PLANTA EMERGENCIA","DOTACION RES DE EMERGENCIA",IF(C69="EXTERNOS","DOTACION DE EXTERNO","DOTACION DISPONIBLE")))))))</f>
        <v>DOTACION DISPONIBLE</v>
      </c>
      <c r="F69" s="24"/>
    </row>
    <row r="70">
      <c r="A70" s="58">
        <v>3.0</v>
      </c>
      <c r="B70" s="22" t="s">
        <v>78</v>
      </c>
      <c r="C70" s="25" t="s">
        <v>501</v>
      </c>
      <c r="D70" s="33" t="s">
        <v>24</v>
      </c>
      <c r="E70" s="24" t="str">
        <f>IF(B70="","",IF(A70=0,"NO HAY ESE CODIGO",IF(COUNTIF(ASIGNACIONES!$B$3:$B949,B70)=1,"DOTACION ASIGNADA",IF(C70="VISITAS","DOTACION VISITA",IF(C70="MTTO","DOTACION MTTO",IF(C70="PLANTA EMERGENCIA","DOTACION RES DE EMERGENCIA",IF(C70="EXTERNOS","DOTACION DE EXTERNO","DOTACION DISPONIBLE")))))))</f>
        <v>DOTACION ASIGNADA</v>
      </c>
      <c r="F70" s="24"/>
    </row>
    <row r="71">
      <c r="A71" s="58">
        <v>0.0</v>
      </c>
      <c r="B71" s="22" t="s">
        <v>525</v>
      </c>
      <c r="C71" s="25" t="s">
        <v>501</v>
      </c>
      <c r="D71" s="33" t="s">
        <v>24</v>
      </c>
      <c r="E71" s="24" t="str">
        <f>IF(B71="","",IF(A71=0,"NO HAY ESE CODIGO",IF(COUNTIF(ASIGNACIONES!$B$3:$B949,B71)=1,"DOTACION ASIGNADA",IF(C71="VISITAS","DOTACION VISITA",IF(C71="MTTO","DOTACION MTTO",IF(C71="PLANTA EMERGENCIA","DOTACION RES DE EMERGENCIA",IF(C71="EXTERNOS","DOTACION DE EXTERNO","DOTACION DISPONIBLE")))))))</f>
        <v>NO HAY ESE CODIGO</v>
      </c>
      <c r="F71" s="24"/>
    </row>
    <row r="72">
      <c r="A72" s="58">
        <v>0.0</v>
      </c>
      <c r="B72" s="22" t="s">
        <v>526</v>
      </c>
      <c r="C72" s="25" t="s">
        <v>501</v>
      </c>
      <c r="D72" s="33" t="s">
        <v>24</v>
      </c>
      <c r="E72" s="24" t="str">
        <f>IF(B72="","",IF(A72=0,"NO HAY ESE CODIGO",IF(COUNTIF(ASIGNACIONES!$B$3:$B949,B72)=1,"DOTACION ASIGNADA",IF(C72="VISITAS","DOTACION VISITA",IF(C72="MTTO","DOTACION MTTO",IF(C72="PLANTA EMERGENCIA","DOTACION RES DE EMERGENCIA",IF(C72="EXTERNOS","DOTACION DE EXTERNO","DOTACION DISPONIBLE")))))))</f>
        <v>NO HAY ESE CODIGO</v>
      </c>
      <c r="F72" s="24"/>
    </row>
    <row r="73">
      <c r="A73" s="58">
        <v>2.0</v>
      </c>
      <c r="B73" s="22" t="s">
        <v>135</v>
      </c>
      <c r="C73" s="25" t="s">
        <v>501</v>
      </c>
      <c r="D73" s="33" t="s">
        <v>24</v>
      </c>
      <c r="E73" s="24" t="str">
        <f>IF(B73="","",IF(A73=0,"NO HAY ESE CODIGO",IF(COUNTIF(ASIGNACIONES!$B$3:$B949,B73)=1,"DOTACION ASIGNADA",IF(C73="VISITAS","DOTACION VISITA",IF(C73="MTTO","DOTACION MTTO",IF(C73="PLANTA EMERGENCIA","DOTACION RES DE EMERGENCIA",IF(C73="EXTERNOS","DOTACION DE EXTERNO","DOTACION DISPONIBLE")))))))</f>
        <v>DOTACION ASIGNADA</v>
      </c>
      <c r="F73" s="24"/>
    </row>
    <row r="74">
      <c r="A74" s="58">
        <v>0.0</v>
      </c>
      <c r="B74" s="22" t="s">
        <v>527</v>
      </c>
      <c r="C74" s="25" t="s">
        <v>501</v>
      </c>
      <c r="D74" s="33" t="s">
        <v>24</v>
      </c>
      <c r="E74" s="24" t="str">
        <f>IF(B74="","",IF(A74=0,"NO HAY ESE CODIGO",IF(COUNTIF(ASIGNACIONES!$B$3:$B949,B74)=1,"DOTACION ASIGNADA",IF(C74="VISITAS","DOTACION VISITA",IF(C74="MTTO","DOTACION MTTO",IF(C74="PLANTA EMERGENCIA","DOTACION RES DE EMERGENCIA",IF(C74="EXTERNOS","DOTACION DE EXTERNO","DOTACION DISPONIBLE")))))))</f>
        <v>NO HAY ESE CODIGO</v>
      </c>
      <c r="F74" s="24"/>
    </row>
    <row r="75">
      <c r="A75" s="58">
        <v>0.0</v>
      </c>
      <c r="B75" s="22" t="s">
        <v>528</v>
      </c>
      <c r="C75" s="25" t="s">
        <v>501</v>
      </c>
      <c r="D75" s="33" t="s">
        <v>18</v>
      </c>
      <c r="E75" s="24" t="str">
        <f>IF(B75="","",IF(A75=0,"NO HAY ESE CODIGO",IF(COUNTIF(ASIGNACIONES!$B$3:$B949,B75)=1,"DOTACION ASIGNADA",IF(C75="VISITAS","DOTACION VISITA",IF(C75="MTTO","DOTACION MTTO",IF(C75="PLANTA EMERGENCIA","DOTACION RES DE EMERGENCIA",IF(C75="EXTERNOS","DOTACION DE EXTERNO","DOTACION DISPONIBLE")))))))</f>
        <v>NO HAY ESE CODIGO</v>
      </c>
      <c r="F75" s="24"/>
    </row>
    <row r="76">
      <c r="A76" s="58">
        <v>0.0</v>
      </c>
      <c r="B76" s="22" t="s">
        <v>529</v>
      </c>
      <c r="C76" s="25" t="s">
        <v>501</v>
      </c>
      <c r="D76" s="33" t="s">
        <v>18</v>
      </c>
      <c r="E76" s="24" t="str">
        <f>IF(B76="","",IF(A76=0,"NO HAY ESE CODIGO",IF(COUNTIF(ASIGNACIONES!$B$3:$B949,B76)=1,"DOTACION ASIGNADA",IF(C76="VISITAS","DOTACION VISITA",IF(C76="MTTO","DOTACION MTTO",IF(C76="PLANTA EMERGENCIA","DOTACION RES DE EMERGENCIA",IF(C76="EXTERNOS","DOTACION DE EXTERNO","DOTACION DISPONIBLE")))))))</f>
        <v>NO HAY ESE CODIGO</v>
      </c>
      <c r="F76" s="24"/>
    </row>
    <row r="77">
      <c r="A77" s="58">
        <v>0.0</v>
      </c>
      <c r="B77" s="22" t="s">
        <v>530</v>
      </c>
      <c r="C77" s="25" t="s">
        <v>501</v>
      </c>
      <c r="D77" s="33" t="s">
        <v>18</v>
      </c>
      <c r="E77" s="24" t="str">
        <f>IF(B77="","",IF(A77=0,"NO HAY ESE CODIGO",IF(COUNTIF(ASIGNACIONES!$B$3:$B949,B77)=1,"DOTACION ASIGNADA",IF(C77="VISITAS","DOTACION VISITA",IF(C77="MTTO","DOTACION MTTO",IF(C77="PLANTA EMERGENCIA","DOTACION RES DE EMERGENCIA",IF(C77="EXTERNOS","DOTACION DE EXTERNO","DOTACION DISPONIBLE")))))))</f>
        <v>NO HAY ESE CODIGO</v>
      </c>
      <c r="F77" s="24"/>
    </row>
    <row r="78">
      <c r="A78" s="58">
        <v>0.0</v>
      </c>
      <c r="B78" s="22" t="s">
        <v>531</v>
      </c>
      <c r="C78" s="25" t="s">
        <v>501</v>
      </c>
      <c r="D78" s="33" t="s">
        <v>18</v>
      </c>
      <c r="E78" s="24" t="str">
        <f>IF(B78="","",IF(A78=0,"NO HAY ESE CODIGO",IF(COUNTIF(ASIGNACIONES!$B$3:$B949,B78)=1,"DOTACION ASIGNADA",IF(C78="VISITAS","DOTACION VISITA",IF(C78="MTTO","DOTACION MTTO",IF(C78="PLANTA EMERGENCIA","DOTACION RES DE EMERGENCIA",IF(C78="EXTERNOS","DOTACION DE EXTERNO","DOTACION DISPONIBLE")))))))</f>
        <v>NO HAY ESE CODIGO</v>
      </c>
      <c r="F78" s="24"/>
    </row>
    <row r="79">
      <c r="A79" s="58">
        <v>0.0</v>
      </c>
      <c r="B79" s="22" t="s">
        <v>532</v>
      </c>
      <c r="C79" s="25" t="s">
        <v>501</v>
      </c>
      <c r="D79" s="33" t="s">
        <v>18</v>
      </c>
      <c r="E79" s="24" t="str">
        <f>IF(B79="","",IF(A79=0,"NO HAY ESE CODIGO",IF(COUNTIF(ASIGNACIONES!$B$3:$B949,B79)=1,"DOTACION ASIGNADA",IF(C79="VISITAS","DOTACION VISITA",IF(C79="MTTO","DOTACION MTTO",IF(C79="PLANTA EMERGENCIA","DOTACION RES DE EMERGENCIA",IF(C79="EXTERNOS","DOTACION DE EXTERNO","DOTACION DISPONIBLE")))))))</f>
        <v>NO HAY ESE CODIGO</v>
      </c>
      <c r="F79" s="24"/>
    </row>
    <row r="80">
      <c r="A80" s="58">
        <v>0.0</v>
      </c>
      <c r="B80" s="22" t="s">
        <v>533</v>
      </c>
      <c r="C80" s="25" t="s">
        <v>501</v>
      </c>
      <c r="D80" s="33" t="s">
        <v>18</v>
      </c>
      <c r="E80" s="24" t="str">
        <f>IF(B80="","",IF(A80=0,"NO HAY ESE CODIGO",IF(COUNTIF(ASIGNACIONES!$B$3:$B949,B80)=1,"DOTACION ASIGNADA",IF(C80="VISITAS","DOTACION VISITA",IF(C80="MTTO","DOTACION MTTO",IF(C80="PLANTA EMERGENCIA","DOTACION RES DE EMERGENCIA",IF(C80="EXTERNOS","DOTACION DE EXTERNO","DOTACION DISPONIBLE")))))))</f>
        <v>NO HAY ESE CODIGO</v>
      </c>
      <c r="F80" s="24"/>
    </row>
    <row r="81">
      <c r="A81" s="58">
        <v>3.0</v>
      </c>
      <c r="B81" s="22" t="s">
        <v>343</v>
      </c>
      <c r="C81" s="25" t="s">
        <v>501</v>
      </c>
      <c r="D81" s="33" t="s">
        <v>67</v>
      </c>
      <c r="E81" s="24" t="str">
        <f>IF(B81="","",IF(A81=0,"NO HAY ESE CODIGO",IF(COUNTIF(ASIGNACIONES!$B$3:$B949,B81)=1,"DOTACION ASIGNADA",IF(C81="VISITAS","DOTACION VISITA",IF(C81="MTTO","DOTACION MTTO",IF(C81="PLANTA EMERGENCIA","DOTACION RES DE EMERGENCIA",IF(C81="EXTERNOS","DOTACION DE EXTERNO","DOTACION DISPONIBLE")))))))</f>
        <v>DOTACION DISPONIBLE</v>
      </c>
      <c r="F81" s="24"/>
    </row>
    <row r="82">
      <c r="A82" s="58">
        <v>0.0</v>
      </c>
      <c r="B82" s="22" t="s">
        <v>534</v>
      </c>
      <c r="C82" s="25" t="s">
        <v>501</v>
      </c>
      <c r="D82" s="33" t="s">
        <v>18</v>
      </c>
      <c r="E82" s="24" t="str">
        <f>IF(B82="","",IF(A82=0,"NO HAY ESE CODIGO",IF(COUNTIF(ASIGNACIONES!$B$3:$B949,B82)=1,"DOTACION ASIGNADA",IF(C82="VISITAS","DOTACION VISITA",IF(C82="MTTO","DOTACION MTTO",IF(C82="PLANTA EMERGENCIA","DOTACION RES DE EMERGENCIA",IF(C82="EXTERNOS","DOTACION DE EXTERNO","DOTACION DISPONIBLE")))))))</f>
        <v>NO HAY ESE CODIGO</v>
      </c>
      <c r="F82" s="24"/>
    </row>
    <row r="83">
      <c r="A83" s="58">
        <v>0.0</v>
      </c>
      <c r="B83" s="22" t="s">
        <v>535</v>
      </c>
      <c r="C83" s="25" t="s">
        <v>501</v>
      </c>
      <c r="D83" s="33" t="s">
        <v>18</v>
      </c>
      <c r="E83" s="24" t="str">
        <f>IF(B83="","",IF(A83=0,"NO HAY ESE CODIGO",IF(COUNTIF(ASIGNACIONES!$B$3:$B949,B83)=1,"DOTACION ASIGNADA",IF(C83="VISITAS","DOTACION VISITA",IF(C83="MTTO","DOTACION MTTO",IF(C83="PLANTA EMERGENCIA","DOTACION RES DE EMERGENCIA",IF(C83="EXTERNOS","DOTACION DE EXTERNO","DOTACION DISPONIBLE")))))))</f>
        <v>NO HAY ESE CODIGO</v>
      </c>
      <c r="F83" s="24"/>
    </row>
    <row r="84">
      <c r="A84" s="58">
        <v>0.0</v>
      </c>
      <c r="B84" s="22" t="s">
        <v>536</v>
      </c>
      <c r="C84" s="25" t="s">
        <v>501</v>
      </c>
      <c r="D84" s="33" t="s">
        <v>18</v>
      </c>
      <c r="E84" s="24" t="str">
        <f>IF(B84="","",IF(A84=0,"NO HAY ESE CODIGO",IF(COUNTIF(ASIGNACIONES!$B$3:$B949,B84)=1,"DOTACION ASIGNADA",IF(C84="VISITAS","DOTACION VISITA",IF(C84="MTTO","DOTACION MTTO",IF(C84="PLANTA EMERGENCIA","DOTACION RES DE EMERGENCIA",IF(C84="EXTERNOS","DOTACION DE EXTERNO","DOTACION DISPONIBLE")))))))</f>
        <v>NO HAY ESE CODIGO</v>
      </c>
      <c r="F84" s="24"/>
    </row>
    <row r="85">
      <c r="A85" s="58">
        <v>0.0</v>
      </c>
      <c r="B85" s="22" t="s">
        <v>537</v>
      </c>
      <c r="C85" s="25" t="s">
        <v>501</v>
      </c>
      <c r="D85" s="33" t="s">
        <v>24</v>
      </c>
      <c r="E85" s="24" t="str">
        <f>IF(B85="","",IF(A85=0,"NO HAY ESE CODIGO",IF(COUNTIF(ASIGNACIONES!$B$3:$B949,B85)=1,"DOTACION ASIGNADA",IF(C85="VISITAS","DOTACION VISITA",IF(C85="MTTO","DOTACION MTTO",IF(C85="PLANTA EMERGENCIA","DOTACION RES DE EMERGENCIA",IF(C85="EXTERNOS","DOTACION DE EXTERNO","DOTACION DISPONIBLE")))))))</f>
        <v>NO HAY ESE CODIGO</v>
      </c>
      <c r="F85" s="24"/>
    </row>
    <row r="86">
      <c r="A86" s="58">
        <v>0.0</v>
      </c>
      <c r="B86" s="22" t="s">
        <v>538</v>
      </c>
      <c r="C86" s="25" t="s">
        <v>501</v>
      </c>
      <c r="D86" s="33" t="s">
        <v>24</v>
      </c>
      <c r="E86" s="24" t="str">
        <f>IF(B86="","",IF(A86=0,"NO HAY ESE CODIGO",IF(COUNTIF(ASIGNACIONES!$B$3:$B949,B86)=1,"DOTACION ASIGNADA",IF(C86="VISITAS","DOTACION VISITA",IF(C86="MTTO","DOTACION MTTO",IF(C86="PLANTA EMERGENCIA","DOTACION RES DE EMERGENCIA",IF(C86="EXTERNOS","DOTACION DE EXTERNO","DOTACION DISPONIBLE")))))))</f>
        <v>NO HAY ESE CODIGO</v>
      </c>
      <c r="F86" s="24"/>
    </row>
    <row r="87">
      <c r="A87" s="58">
        <v>0.0</v>
      </c>
      <c r="B87" s="22" t="s">
        <v>539</v>
      </c>
      <c r="C87" s="25" t="s">
        <v>501</v>
      </c>
      <c r="D87" s="33" t="s">
        <v>18</v>
      </c>
      <c r="E87" s="24" t="str">
        <f>IF(B87="","",IF(A87=0,"NO HAY ESE CODIGO",IF(COUNTIF(ASIGNACIONES!$B$3:$B949,B87)=1,"DOTACION ASIGNADA",IF(C87="VISITAS","DOTACION VISITA",IF(C87="MTTO","DOTACION MTTO",IF(C87="PLANTA EMERGENCIA","DOTACION RES DE EMERGENCIA",IF(C87="EXTERNOS","DOTACION DE EXTERNO","DOTACION DISPONIBLE")))))))</f>
        <v>NO HAY ESE CODIGO</v>
      </c>
      <c r="F87" s="24"/>
    </row>
    <row r="88">
      <c r="A88" s="58">
        <v>0.0</v>
      </c>
      <c r="B88" s="22" t="s">
        <v>540</v>
      </c>
      <c r="C88" s="25" t="s">
        <v>501</v>
      </c>
      <c r="D88" s="33" t="s">
        <v>24</v>
      </c>
      <c r="E88" s="24" t="str">
        <f>IF(B88="","",IF(A88=0,"NO HAY ESE CODIGO",IF(COUNTIF(ASIGNACIONES!$B$3:$B949,B88)=1,"DOTACION ASIGNADA",IF(C88="VISITAS","DOTACION VISITA",IF(C88="MTTO","DOTACION MTTO",IF(C88="PLANTA EMERGENCIA","DOTACION RES DE EMERGENCIA",IF(C88="EXTERNOS","DOTACION DE EXTERNO","DOTACION DISPONIBLE")))))))</f>
        <v>NO HAY ESE CODIGO</v>
      </c>
      <c r="F88" s="24"/>
    </row>
    <row r="89">
      <c r="A89" s="58">
        <v>0.0</v>
      </c>
      <c r="B89" s="22" t="s">
        <v>541</v>
      </c>
      <c r="C89" s="25" t="s">
        <v>501</v>
      </c>
      <c r="D89" s="33" t="s">
        <v>24</v>
      </c>
      <c r="E89" s="24" t="str">
        <f>IF(B89="","",IF(A89=0,"NO HAY ESE CODIGO",IF(COUNTIF(ASIGNACIONES!$B$3:$B949,B89)=1,"DOTACION ASIGNADA",IF(C89="VISITAS","DOTACION VISITA",IF(C89="MTTO","DOTACION MTTO",IF(C89="PLANTA EMERGENCIA","DOTACION RES DE EMERGENCIA",IF(C89="EXTERNOS","DOTACION DE EXTERNO","DOTACION DISPONIBLE")))))))</f>
        <v>NO HAY ESE CODIGO</v>
      </c>
      <c r="F89" s="24"/>
    </row>
    <row r="90">
      <c r="A90" s="58">
        <v>0.0</v>
      </c>
      <c r="B90" s="22" t="s">
        <v>542</v>
      </c>
      <c r="C90" s="25" t="s">
        <v>501</v>
      </c>
      <c r="D90" s="33" t="s">
        <v>18</v>
      </c>
      <c r="E90" s="24" t="str">
        <f>IF(B90="","",IF(A90=0,"NO HAY ESE CODIGO",IF(COUNTIF(ASIGNACIONES!$B$3:$B949,B90)=1,"DOTACION ASIGNADA",IF(C90="VISITAS","DOTACION VISITA",IF(C90="MTTO","DOTACION MTTO",IF(C90="PLANTA EMERGENCIA","DOTACION RES DE EMERGENCIA",IF(C90="EXTERNOS","DOTACION DE EXTERNO","DOTACION DISPONIBLE")))))))</f>
        <v>NO HAY ESE CODIGO</v>
      </c>
      <c r="F90" s="24"/>
    </row>
    <row r="91">
      <c r="A91" s="58">
        <v>0.0</v>
      </c>
      <c r="B91" s="22" t="s">
        <v>543</v>
      </c>
      <c r="C91" s="25" t="s">
        <v>501</v>
      </c>
      <c r="D91" s="33" t="s">
        <v>67</v>
      </c>
      <c r="E91" s="24" t="str">
        <f>IF(B91="","",IF(A91=0,"NO HAY ESE CODIGO",IF(COUNTIF(ASIGNACIONES!$B$3:$B949,B91)=1,"DOTACION ASIGNADA",IF(C91="VISITAS","DOTACION VISITA",IF(C91="MTTO","DOTACION MTTO",IF(C91="PLANTA EMERGENCIA","DOTACION RES DE EMERGENCIA",IF(C91="EXTERNOS","DOTACION DE EXTERNO","DOTACION DISPONIBLE")))))))</f>
        <v>NO HAY ESE CODIGO</v>
      </c>
      <c r="F91" s="24"/>
    </row>
    <row r="92">
      <c r="A92" s="58">
        <v>0.0</v>
      </c>
      <c r="B92" s="22" t="s">
        <v>544</v>
      </c>
      <c r="C92" s="25" t="s">
        <v>501</v>
      </c>
      <c r="D92" s="33" t="s">
        <v>24</v>
      </c>
      <c r="E92" s="24" t="str">
        <f>IF(B92="","",IF(A92=0,"NO HAY ESE CODIGO",IF(COUNTIF(ASIGNACIONES!$B$3:$B949,B92)=1,"DOTACION ASIGNADA",IF(C92="VISITAS","DOTACION VISITA",IF(C92="MTTO","DOTACION MTTO",IF(C92="PLANTA EMERGENCIA","DOTACION RES DE EMERGENCIA",IF(C92="EXTERNOS","DOTACION DE EXTERNO","DOTACION DISPONIBLE")))))))</f>
        <v>NO HAY ESE CODIGO</v>
      </c>
      <c r="F92" s="24"/>
    </row>
    <row r="93">
      <c r="A93" s="58">
        <v>0.0</v>
      </c>
      <c r="B93" s="22" t="s">
        <v>545</v>
      </c>
      <c r="C93" s="25" t="s">
        <v>501</v>
      </c>
      <c r="D93" s="33" t="s">
        <v>24</v>
      </c>
      <c r="E93" s="24" t="str">
        <f>IF(B93="","",IF(A93=0,"NO HAY ESE CODIGO",IF(COUNTIF(ASIGNACIONES!$B$3:$B949,B93)=1,"DOTACION ASIGNADA",IF(C93="VISITAS","DOTACION VISITA",IF(C93="MTTO","DOTACION MTTO",IF(C93="PLANTA EMERGENCIA","DOTACION RES DE EMERGENCIA",IF(C93="EXTERNOS","DOTACION DE EXTERNO","DOTACION DISPONIBLE")))))))</f>
        <v>NO HAY ESE CODIGO</v>
      </c>
      <c r="F93" s="24"/>
    </row>
    <row r="94">
      <c r="A94" s="58">
        <v>0.0</v>
      </c>
      <c r="B94" s="22" t="s">
        <v>546</v>
      </c>
      <c r="C94" s="25" t="s">
        <v>501</v>
      </c>
      <c r="D94" s="33" t="s">
        <v>24</v>
      </c>
      <c r="E94" s="24" t="str">
        <f>IF(B94="","",IF(A94=0,"NO HAY ESE CODIGO",IF(COUNTIF(ASIGNACIONES!$B$3:$B949,B94)=1,"DOTACION ASIGNADA",IF(C94="VISITAS","DOTACION VISITA",IF(C94="MTTO","DOTACION MTTO",IF(C94="PLANTA EMERGENCIA","DOTACION RES DE EMERGENCIA",IF(C94="EXTERNOS","DOTACION DE EXTERNO","DOTACION DISPONIBLE")))))))</f>
        <v>NO HAY ESE CODIGO</v>
      </c>
      <c r="F94" s="24"/>
    </row>
    <row r="95">
      <c r="A95" s="58">
        <v>0.0</v>
      </c>
      <c r="B95" s="22" t="s">
        <v>547</v>
      </c>
      <c r="C95" s="25" t="s">
        <v>501</v>
      </c>
      <c r="D95" s="33" t="s">
        <v>67</v>
      </c>
      <c r="E95" s="24" t="str">
        <f>IF(B95="","",IF(A95=0,"NO HAY ESE CODIGO",IF(COUNTIF(ASIGNACIONES!$B$3:$B949,B95)=1,"DOTACION ASIGNADA",IF(C95="VISITAS","DOTACION VISITA",IF(C95="MTTO","DOTACION MTTO",IF(C95="PLANTA EMERGENCIA","DOTACION RES DE EMERGENCIA",IF(C95="EXTERNOS","DOTACION DE EXTERNO","DOTACION DISPONIBLE")))))))</f>
        <v>NO HAY ESE CODIGO</v>
      </c>
      <c r="F95" s="24"/>
    </row>
    <row r="96">
      <c r="A96" s="58">
        <v>0.0</v>
      </c>
      <c r="B96" s="22" t="s">
        <v>548</v>
      </c>
      <c r="C96" s="25" t="s">
        <v>501</v>
      </c>
      <c r="D96" s="33" t="s">
        <v>24</v>
      </c>
      <c r="E96" s="24" t="str">
        <f>IF(B96="","",IF(A96=0,"NO HAY ESE CODIGO",IF(COUNTIF(ASIGNACIONES!$B$3:$B949,B96)=1,"DOTACION ASIGNADA",IF(C96="VISITAS","DOTACION VISITA",IF(C96="MTTO","DOTACION MTTO",IF(C96="PLANTA EMERGENCIA","DOTACION RES DE EMERGENCIA",IF(C96="EXTERNOS","DOTACION DE EXTERNO","DOTACION DISPONIBLE")))))))</f>
        <v>NO HAY ESE CODIGO</v>
      </c>
      <c r="F96" s="24"/>
    </row>
    <row r="97">
      <c r="A97" s="58">
        <v>0.0</v>
      </c>
      <c r="B97" s="22" t="s">
        <v>549</v>
      </c>
      <c r="C97" s="25" t="s">
        <v>501</v>
      </c>
      <c r="D97" s="33" t="s">
        <v>24</v>
      </c>
      <c r="E97" s="24" t="str">
        <f>IF(B97="","",IF(A97=0,"NO HAY ESE CODIGO",IF(COUNTIF(ASIGNACIONES!$B$3:$B949,B97)=1,"DOTACION ASIGNADA",IF(C97="VISITAS","DOTACION VISITA",IF(C97="MTTO","DOTACION MTTO",IF(C97="PLANTA EMERGENCIA","DOTACION RES DE EMERGENCIA",IF(C97="EXTERNOS","DOTACION DE EXTERNO","DOTACION DISPONIBLE")))))))</f>
        <v>NO HAY ESE CODIGO</v>
      </c>
      <c r="F97" s="24"/>
    </row>
    <row r="98">
      <c r="A98" s="58">
        <v>0.0</v>
      </c>
      <c r="B98" s="22" t="s">
        <v>550</v>
      </c>
      <c r="C98" s="25" t="s">
        <v>501</v>
      </c>
      <c r="D98" s="33" t="s">
        <v>24</v>
      </c>
      <c r="E98" s="24" t="str">
        <f>IF(B98="","",IF(A98=0,"NO HAY ESE CODIGO",IF(COUNTIF(ASIGNACIONES!$B$3:$B949,B98)=1,"DOTACION ASIGNADA",IF(C98="VISITAS","DOTACION VISITA",IF(C98="MTTO","DOTACION MTTO",IF(C98="PLANTA EMERGENCIA","DOTACION RES DE EMERGENCIA",IF(C98="EXTERNOS","DOTACION DE EXTERNO","DOTACION DISPONIBLE")))))))</f>
        <v>NO HAY ESE CODIGO</v>
      </c>
      <c r="F98" s="24"/>
    </row>
    <row r="99">
      <c r="A99" s="58">
        <v>0.0</v>
      </c>
      <c r="B99" s="22" t="s">
        <v>551</v>
      </c>
      <c r="C99" s="25" t="s">
        <v>501</v>
      </c>
      <c r="D99" s="33" t="s">
        <v>37</v>
      </c>
      <c r="E99" s="24" t="str">
        <f>IF(B99="","",IF(A99=0,"NO HAY ESE CODIGO",IF(COUNTIF(ASIGNACIONES!$B$3:$B949,B99)=1,"DOTACION ASIGNADA",IF(C99="VISITAS","DOTACION VISITA",IF(C99="MTTO","DOTACION MTTO",IF(C99="PLANTA EMERGENCIA","DOTACION RES DE EMERGENCIA",IF(C99="EXTERNOS","DOTACION DE EXTERNO","DOTACION DISPONIBLE")))))))</f>
        <v>NO HAY ESE CODIGO</v>
      </c>
      <c r="F99" s="24"/>
    </row>
    <row r="100">
      <c r="A100" s="58">
        <v>0.0</v>
      </c>
      <c r="B100" s="22" t="s">
        <v>552</v>
      </c>
      <c r="C100" s="25" t="s">
        <v>501</v>
      </c>
      <c r="D100" s="33" t="s">
        <v>67</v>
      </c>
      <c r="E100" s="24" t="str">
        <f>IF(B100="","",IF(A100=0,"NO HAY ESE CODIGO",IF(COUNTIF(ASIGNACIONES!$B$3:$B949,B100)=1,"DOTACION ASIGNADA",IF(C100="VISITAS","DOTACION VISITA",IF(C100="MTTO","DOTACION MTTO",IF(C100="PLANTA EMERGENCIA","DOTACION RES DE EMERGENCIA",IF(C100="EXTERNOS","DOTACION DE EXTERNO","DOTACION DISPONIBLE")))))))</f>
        <v>NO HAY ESE CODIGO</v>
      </c>
      <c r="F100" s="24"/>
    </row>
    <row r="101">
      <c r="A101" s="58">
        <v>2.0</v>
      </c>
      <c r="B101" s="22" t="s">
        <v>395</v>
      </c>
      <c r="C101" s="25" t="s">
        <v>501</v>
      </c>
      <c r="D101" s="33" t="s">
        <v>18</v>
      </c>
      <c r="E101" s="24" t="str">
        <f>IF(B101="","",IF(A101=0,"NO HAY ESE CODIGO",IF(COUNTIF(ASIGNACIONES!$B$3:$B949,B101)=1,"DOTACION ASIGNADA",IF(C101="VISITAS","DOTACION VISITA",IF(C101="MTTO","DOTACION MTTO",IF(C101="PLANTA EMERGENCIA","DOTACION RES DE EMERGENCIA",IF(C101="EXTERNOS","DOTACION DE EXTERNO","DOTACION DISPONIBLE")))))))</f>
        <v>DOTACION DISPONIBLE</v>
      </c>
      <c r="F101" s="24"/>
    </row>
    <row r="102">
      <c r="A102" s="58">
        <v>0.0</v>
      </c>
      <c r="B102" s="22" t="s">
        <v>553</v>
      </c>
      <c r="C102" s="25" t="s">
        <v>501</v>
      </c>
      <c r="D102" s="33" t="s">
        <v>24</v>
      </c>
      <c r="E102" s="24" t="str">
        <f>IF(B102="","",IF(A102=0,"NO HAY ESE CODIGO",IF(COUNTIF(ASIGNACIONES!$B$3:$B949,B102)=1,"DOTACION ASIGNADA",IF(C102="VISITAS","DOTACION VISITA",IF(C102="MTTO","DOTACION MTTO",IF(C102="PLANTA EMERGENCIA","DOTACION RES DE EMERGENCIA",IF(C102="EXTERNOS","DOTACION DE EXTERNO","DOTACION DISPONIBLE")))))))</f>
        <v>NO HAY ESE CODIGO</v>
      </c>
      <c r="F102" s="24"/>
    </row>
    <row r="103">
      <c r="A103" s="58">
        <v>3.0</v>
      </c>
      <c r="B103" s="22" t="s">
        <v>290</v>
      </c>
      <c r="C103" s="61" t="s">
        <v>501</v>
      </c>
      <c r="D103" s="33" t="s">
        <v>72</v>
      </c>
      <c r="E103" s="24" t="str">
        <f>IF(B103="","",IF(A103=0,"NO HAY ESE CODIGO",IF(COUNTIF(ASIGNACIONES!$B$3:$B949,B103)=1,"DOTACION ASIGNADA",IF(C103="VISITAS","DOTACION VISITA",IF(C103="MTTO","DOTACION MTTO",IF(C103="PLANTA EMERGENCIA","DOTACION RES DE EMERGENCIA",IF(C103="EXTERNOS","DOTACION DE EXTERNO","DOTACION DISPONIBLE")))))))</f>
        <v>DOTACION DISPONIBLE</v>
      </c>
      <c r="F103" s="24"/>
    </row>
    <row r="104">
      <c r="A104" s="58">
        <v>3.0</v>
      </c>
      <c r="B104" s="22" t="s">
        <v>317</v>
      </c>
      <c r="C104" s="25" t="s">
        <v>501</v>
      </c>
      <c r="D104" s="33" t="s">
        <v>18</v>
      </c>
      <c r="E104" s="24" t="str">
        <f>IF(B104="","",IF(A104=0,"NO HAY ESE CODIGO",IF(COUNTIF(ASIGNACIONES!$B$3:$B949,B104)=1,"DOTACION ASIGNADA",IF(C104="VISITAS","DOTACION VISITA",IF(C104="MTTO","DOTACION MTTO",IF(C104="PLANTA EMERGENCIA","DOTACION RES DE EMERGENCIA",IF(C104="EXTERNOS","DOTACION DE EXTERNO","DOTACION DISPONIBLE")))))))</f>
        <v>DOTACION DISPONIBLE</v>
      </c>
      <c r="F104" s="24"/>
    </row>
    <row r="105">
      <c r="A105" s="58">
        <v>0.0</v>
      </c>
      <c r="B105" s="22" t="s">
        <v>554</v>
      </c>
      <c r="C105" s="25" t="s">
        <v>501</v>
      </c>
      <c r="D105" s="33" t="s">
        <v>24</v>
      </c>
      <c r="E105" s="24" t="str">
        <f>IF(B105="","",IF(A105=0,"NO HAY ESE CODIGO",IF(COUNTIF(ASIGNACIONES!$B$3:$B949,B105)=1,"DOTACION ASIGNADA",IF(C105="VISITAS","DOTACION VISITA",IF(C105="MTTO","DOTACION MTTO",IF(C105="PLANTA EMERGENCIA","DOTACION RES DE EMERGENCIA",IF(C105="EXTERNOS","DOTACION DE EXTERNO","DOTACION DISPONIBLE")))))))</f>
        <v>NO HAY ESE CODIGO</v>
      </c>
      <c r="F105" s="24"/>
    </row>
    <row r="106">
      <c r="A106" s="58">
        <v>0.0</v>
      </c>
      <c r="B106" s="22" t="s">
        <v>555</v>
      </c>
      <c r="C106" s="25" t="s">
        <v>501</v>
      </c>
      <c r="D106" s="33" t="s">
        <v>18</v>
      </c>
      <c r="E106" s="24" t="str">
        <f>IF(B106="","",IF(A106=0,"NO HAY ESE CODIGO",IF(COUNTIF(ASIGNACIONES!$B$3:$B949,B106)=1,"DOTACION ASIGNADA",IF(C106="VISITAS","DOTACION VISITA",IF(C106="MTTO","DOTACION MTTO",IF(C106="PLANTA EMERGENCIA","DOTACION RES DE EMERGENCIA",IF(C106="EXTERNOS","DOTACION DE EXTERNO","DOTACION DISPONIBLE")))))))</f>
        <v>NO HAY ESE CODIGO</v>
      </c>
      <c r="F106" s="24"/>
    </row>
    <row r="107">
      <c r="A107" s="58">
        <v>3.0</v>
      </c>
      <c r="B107" s="22" t="s">
        <v>55</v>
      </c>
      <c r="C107" s="25" t="s">
        <v>58</v>
      </c>
      <c r="D107" s="33" t="s">
        <v>18</v>
      </c>
      <c r="E107" s="24" t="str">
        <f>IF(B107="","",IF(A107=0,"NO HAY ESE CODIGO",IF(COUNTIF(ASIGNACIONES!$B$3:$B949,B107)=1,"DOTACION ASIGNADA",IF(C107="VISITAS","DOTACION VISITA",IF(C107="MTTO","DOTACION MTTO",IF(C107="PLANTA EMERGENCIA","DOTACION RES DE EMERGENCIA",IF(C107="EXTERNOS","DOTACION DE EXTERNO","DOTACION DISPONIBLE")))))))</f>
        <v>DOTACION ASIGNADA</v>
      </c>
      <c r="F107" s="24"/>
    </row>
    <row r="108">
      <c r="A108" s="58">
        <v>3.0</v>
      </c>
      <c r="B108" s="22" t="s">
        <v>60</v>
      </c>
      <c r="C108" s="25" t="s">
        <v>58</v>
      </c>
      <c r="D108" s="33" t="s">
        <v>24</v>
      </c>
      <c r="E108" s="24" t="str">
        <f>IF(B108="","",IF(A108=0,"NO HAY ESE CODIGO",IF(COUNTIF(ASIGNACIONES!$B$3:$B949,B108)=1,"DOTACION ASIGNADA",IF(C108="VISITAS","DOTACION VISITA",IF(C108="MTTO","DOTACION MTTO",IF(C108="PLANTA EMERGENCIA","DOTACION RES DE EMERGENCIA",IF(C108="EXTERNOS","DOTACION DE EXTERNO","DOTACION DISPONIBLE")))))))</f>
        <v>DOTACION ASIGNADA</v>
      </c>
      <c r="F108" s="24"/>
    </row>
    <row r="109">
      <c r="A109" s="58">
        <v>0.0</v>
      </c>
      <c r="B109" s="22" t="s">
        <v>556</v>
      </c>
      <c r="C109" s="25" t="s">
        <v>501</v>
      </c>
      <c r="D109" s="33" t="s">
        <v>18</v>
      </c>
      <c r="E109" s="24" t="str">
        <f>IF(B109="","",IF(A109=0,"NO HAY ESE CODIGO",IF(COUNTIF(ASIGNACIONES!$B$3:$B949,B109)=1,"DOTACION ASIGNADA",IF(C109="VISITAS","DOTACION VISITA",IF(C109="MTTO","DOTACION MTTO",IF(C109="PLANTA EMERGENCIA","DOTACION RES DE EMERGENCIA",IF(C109="EXTERNOS","DOTACION DE EXTERNO","DOTACION DISPONIBLE")))))))</f>
        <v>NO HAY ESE CODIGO</v>
      </c>
      <c r="F109" s="24"/>
    </row>
    <row r="110">
      <c r="A110" s="58">
        <v>2.0</v>
      </c>
      <c r="B110" s="22" t="s">
        <v>282</v>
      </c>
      <c r="C110" s="25" t="s">
        <v>501</v>
      </c>
      <c r="D110" s="33" t="s">
        <v>18</v>
      </c>
      <c r="E110" s="24" t="str">
        <f>IF(B110="","",IF(A110=0,"NO HAY ESE CODIGO",IF(COUNTIF(ASIGNACIONES!$B$3:$B949,B110)=1,"DOTACION ASIGNADA",IF(C110="VISITAS","DOTACION VISITA",IF(C110="MTTO","DOTACION MTTO",IF(C110="PLANTA EMERGENCIA","DOTACION RES DE EMERGENCIA",IF(C110="EXTERNOS","DOTACION DE EXTERNO","DOTACION DISPONIBLE")))))))</f>
        <v>DOTACION DISPONIBLE</v>
      </c>
      <c r="F110" s="24"/>
    </row>
    <row r="111">
      <c r="A111" s="58">
        <v>3.0</v>
      </c>
      <c r="B111" s="22" t="s">
        <v>557</v>
      </c>
      <c r="C111" s="25" t="s">
        <v>501</v>
      </c>
      <c r="D111" s="33" t="s">
        <v>18</v>
      </c>
      <c r="E111" s="24" t="str">
        <f>IF(B111="","",IF(A111=0,"NO HAY ESE CODIGO",IF(COUNTIF(ASIGNACIONES!$B$3:$B949,B111)=1,"DOTACION ASIGNADA",IF(C111="VISITAS","DOTACION VISITA",IF(C111="MTTO","DOTACION MTTO",IF(C111="PLANTA EMERGENCIA","DOTACION RES DE EMERGENCIA",IF(C111="EXTERNOS","DOTACION DE EXTERNO","DOTACION DISPONIBLE")))))))</f>
        <v>DOTACION DISPONIBLE</v>
      </c>
      <c r="F111" s="24"/>
    </row>
    <row r="112">
      <c r="A112" s="58">
        <v>1.0</v>
      </c>
      <c r="B112" s="22" t="s">
        <v>348</v>
      </c>
      <c r="C112" s="25" t="s">
        <v>501</v>
      </c>
      <c r="D112" s="33" t="s">
        <v>350</v>
      </c>
      <c r="E112" s="24" t="str">
        <f>IF(B112="","",IF(A112=0,"NO HAY ESE CODIGO",IF(COUNTIF(ASIGNACIONES!$B$3:$B949,B112)=1,"DOTACION ASIGNADA",IF(C112="VISITAS","DOTACION VISITA",IF(C112="MTTO","DOTACION MTTO",IF(C112="PLANTA EMERGENCIA","DOTACION RES DE EMERGENCIA",IF(C112="EXTERNOS","DOTACION DE EXTERNO","DOTACION DISPONIBLE")))))))</f>
        <v>DOTACION DISPONIBLE</v>
      </c>
      <c r="F112" s="24"/>
    </row>
    <row r="113">
      <c r="A113" s="58">
        <v>2.0</v>
      </c>
      <c r="B113" s="22" t="s">
        <v>558</v>
      </c>
      <c r="C113" s="25" t="s">
        <v>559</v>
      </c>
      <c r="D113" s="33" t="s">
        <v>18</v>
      </c>
      <c r="E113" s="24" t="str">
        <f>IF(B113="","",IF(A113=0,"NO HAY ESE CODIGO",IF(COUNTIF(ASIGNACIONES!$B$3:$B949,B113)=1,"DOTACION ASIGNADA",IF(C113="VISITAS","DOTACION VISITA",IF(C113="MTTO","DOTACION MTTO",IF(C113="PLANTA EMERGENCIA","DOTACION RES DE EMERGENCIA",IF(C113="EXTERNOS","DOTACION DE EXTERNO","DOTACION DISPONIBLE")))))))</f>
        <v>DOTACION VISITA</v>
      </c>
      <c r="F113" s="24"/>
    </row>
    <row r="114">
      <c r="A114" s="58">
        <v>1.0</v>
      </c>
      <c r="B114" s="22" t="s">
        <v>560</v>
      </c>
      <c r="C114" s="25" t="s">
        <v>559</v>
      </c>
      <c r="D114" s="33" t="s">
        <v>24</v>
      </c>
      <c r="E114" s="24" t="str">
        <f>IF(B114="","",IF(A114=0,"NO HAY ESE CODIGO",IF(COUNTIF(ASIGNACIONES!$B$3:$B949,B114)=1,"DOTACION ASIGNADA",IF(C114="VISITAS","DOTACION VISITA",IF(C114="MTTO","DOTACION MTTO",IF(C114="PLANTA EMERGENCIA","DOTACION RES DE EMERGENCIA",IF(C114="EXTERNOS","DOTACION DE EXTERNO","DOTACION DISPONIBLE")))))))</f>
        <v>DOTACION VISITA</v>
      </c>
      <c r="F114" s="24"/>
    </row>
    <row r="115">
      <c r="A115" s="58">
        <v>4.0</v>
      </c>
      <c r="B115" s="22" t="s">
        <v>103</v>
      </c>
      <c r="C115" s="25" t="s">
        <v>501</v>
      </c>
      <c r="D115" s="33" t="s">
        <v>67</v>
      </c>
      <c r="E115" s="24" t="str">
        <f>IF(B115="","",IF(A115=0,"NO HAY ESE CODIGO",IF(COUNTIF(ASIGNACIONES!$B$3:$B949,B115)=1,"DOTACION ASIGNADA",IF(C115="VISITAS","DOTACION VISITA",IF(C115="MTTO","DOTACION MTTO",IF(C115="PLANTA EMERGENCIA","DOTACION RES DE EMERGENCIA",IF(C115="EXTERNOS","DOTACION DE EXTERNO","DOTACION DISPONIBLE")))))))</f>
        <v>DOTACION ASIGNADA</v>
      </c>
      <c r="F115" s="24"/>
    </row>
    <row r="116">
      <c r="A116" s="58">
        <v>1.0</v>
      </c>
      <c r="B116" s="22" t="s">
        <v>561</v>
      </c>
      <c r="C116" s="25" t="s">
        <v>559</v>
      </c>
      <c r="D116" s="33" t="s">
        <v>37</v>
      </c>
      <c r="E116" s="24" t="str">
        <f>IF(B116="","",IF(A116=0,"NO HAY ESE CODIGO",IF(COUNTIF(ASIGNACIONES!$B$3:$B949,B116)=1,"DOTACION ASIGNADA",IF(C116="VISITAS","DOTACION VISITA",IF(C116="MTTO","DOTACION MTTO",IF(C116="PLANTA EMERGENCIA","DOTACION RES DE EMERGENCIA",IF(C116="EXTERNOS","DOTACION DE EXTERNO","DOTACION DISPONIBLE")))))))</f>
        <v>DOTACION VISITA</v>
      </c>
      <c r="F116" s="24"/>
    </row>
    <row r="117">
      <c r="A117" s="58">
        <v>0.0</v>
      </c>
      <c r="B117" s="22" t="s">
        <v>562</v>
      </c>
      <c r="C117" s="25" t="s">
        <v>501</v>
      </c>
      <c r="D117" s="33" t="s">
        <v>24</v>
      </c>
      <c r="E117" s="24" t="str">
        <f>IF(B117="","",IF(A117=0,"NO HAY ESE CODIGO",IF(COUNTIF(ASIGNACIONES!$B$3:$B949,B117)=1,"DOTACION ASIGNADA",IF(C117="VISITAS","DOTACION VISITA",IF(C117="MTTO","DOTACION MTTO",IF(C117="PLANTA EMERGENCIA","DOTACION RES DE EMERGENCIA",IF(C117="EXTERNOS","DOTACION DE EXTERNO","DOTACION DISPONIBLE")))))))</f>
        <v>NO HAY ESE CODIGO</v>
      </c>
      <c r="F117" s="24"/>
    </row>
    <row r="118">
      <c r="A118" s="58">
        <v>3.0</v>
      </c>
      <c r="B118" s="22" t="s">
        <v>353</v>
      </c>
      <c r="C118" s="25" t="s">
        <v>501</v>
      </c>
      <c r="D118" s="33" t="s">
        <v>18</v>
      </c>
      <c r="E118" s="24" t="str">
        <f>IF(B118="","",IF(A118=0,"NO HAY ESE CODIGO",IF(COUNTIF(ASIGNACIONES!$B$3:$B949,B118)=1,"DOTACION ASIGNADA",IF(C118="VISITAS","DOTACION VISITA",IF(C118="MTTO","DOTACION MTTO",IF(C118="PLANTA EMERGENCIA","DOTACION RES DE EMERGENCIA",IF(C118="EXTERNOS","DOTACION DE EXTERNO","DOTACION DISPONIBLE")))))))</f>
        <v>DOTACION DISPONIBLE</v>
      </c>
      <c r="F118" s="24"/>
    </row>
    <row r="119">
      <c r="A119" s="58">
        <v>3.0</v>
      </c>
      <c r="B119" s="22" t="s">
        <v>563</v>
      </c>
      <c r="C119" s="25" t="s">
        <v>501</v>
      </c>
      <c r="D119" s="33" t="s">
        <v>24</v>
      </c>
      <c r="E119" s="24" t="str">
        <f>IF(B119="","",IF(A119=0,"NO HAY ESE CODIGO",IF(COUNTIF(ASIGNACIONES!$B$3:$B949,B119)=1,"DOTACION ASIGNADA",IF(C119="VISITAS","DOTACION VISITA",IF(C119="MTTO","DOTACION MTTO",IF(C119="PLANTA EMERGENCIA","DOTACION RES DE EMERGENCIA",IF(C119="EXTERNOS","DOTACION DE EXTERNO","DOTACION DISPONIBLE")))))))</f>
        <v>DOTACION DISPONIBLE</v>
      </c>
      <c r="F119" s="24"/>
    </row>
    <row r="120">
      <c r="A120" s="58">
        <v>0.0</v>
      </c>
      <c r="B120" s="22" t="s">
        <v>564</v>
      </c>
      <c r="C120" s="25" t="s">
        <v>501</v>
      </c>
      <c r="D120" s="33" t="s">
        <v>24</v>
      </c>
      <c r="E120" s="24" t="str">
        <f>IF(B120="","",IF(A120=0,"NO HAY ESE CODIGO",IF(COUNTIF(ASIGNACIONES!$B$3:$B949,B120)=1,"DOTACION ASIGNADA",IF(C120="VISITAS","DOTACION VISITA",IF(C120="MTTO","DOTACION MTTO",IF(C120="PLANTA EMERGENCIA","DOTACION RES DE EMERGENCIA",IF(C120="EXTERNOS","DOTACION DE EXTERNO","DOTACION DISPONIBLE")))))))</f>
        <v>NO HAY ESE CODIGO</v>
      </c>
      <c r="F120" s="24"/>
    </row>
    <row r="121">
      <c r="A121" s="58">
        <v>0.0</v>
      </c>
      <c r="B121" s="22" t="s">
        <v>565</v>
      </c>
      <c r="C121" s="25" t="s">
        <v>501</v>
      </c>
      <c r="D121" s="33" t="s">
        <v>18</v>
      </c>
      <c r="E121" s="24" t="str">
        <f>IF(B121="","",IF(A121=0,"NO HAY ESE CODIGO",IF(COUNTIF(ASIGNACIONES!$B$3:$B949,B121)=1,"DOTACION ASIGNADA",IF(C121="VISITAS","DOTACION VISITA",IF(C121="MTTO","DOTACION MTTO",IF(C121="PLANTA EMERGENCIA","DOTACION RES DE EMERGENCIA",IF(C121="EXTERNOS","DOTACION DE EXTERNO","DOTACION DISPONIBLE")))))))</f>
        <v>NO HAY ESE CODIGO</v>
      </c>
      <c r="F121" s="24"/>
    </row>
    <row r="122">
      <c r="A122" s="58">
        <v>0.0</v>
      </c>
      <c r="B122" s="22" t="s">
        <v>566</v>
      </c>
      <c r="C122" s="25" t="s">
        <v>501</v>
      </c>
      <c r="D122" s="33" t="s">
        <v>24</v>
      </c>
      <c r="E122" s="24" t="str">
        <f>IF(B122="","",IF(A122=0,"NO HAY ESE CODIGO",IF(COUNTIF(ASIGNACIONES!$B$3:$B949,B122)=1,"DOTACION ASIGNADA",IF(C122="VISITAS","DOTACION VISITA",IF(C122="MTTO","DOTACION MTTO",IF(C122="PLANTA EMERGENCIA","DOTACION RES DE EMERGENCIA",IF(C122="EXTERNOS","DOTACION DE EXTERNO","DOTACION DISPONIBLE")))))))</f>
        <v>NO HAY ESE CODIGO</v>
      </c>
      <c r="F122" s="24"/>
    </row>
    <row r="123">
      <c r="A123" s="58">
        <v>2.0</v>
      </c>
      <c r="B123" s="22" t="s">
        <v>336</v>
      </c>
      <c r="C123" s="25" t="s">
        <v>501</v>
      </c>
      <c r="D123" s="33" t="s">
        <v>18</v>
      </c>
      <c r="E123" s="24" t="str">
        <f>IF(B123="","",IF(A123=0,"NO HAY ESE CODIGO",IF(COUNTIF(ASIGNACIONES!$B$3:$B949,B123)=1,"DOTACION ASIGNADA",IF(C123="VISITAS","DOTACION VISITA",IF(C123="MTTO","DOTACION MTTO",IF(C123="PLANTA EMERGENCIA","DOTACION RES DE EMERGENCIA",IF(C123="EXTERNOS","DOTACION DE EXTERNO","DOTACION DISPONIBLE")))))))</f>
        <v>DOTACION DISPONIBLE</v>
      </c>
      <c r="F123" s="24"/>
    </row>
    <row r="124">
      <c r="A124" s="58">
        <v>3.0</v>
      </c>
      <c r="B124" s="22" t="s">
        <v>74</v>
      </c>
      <c r="C124" s="25" t="s">
        <v>501</v>
      </c>
      <c r="D124" s="33" t="s">
        <v>24</v>
      </c>
      <c r="E124" s="24" t="str">
        <f>IF(B124="","",IF(A124=0,"NO HAY ESE CODIGO",IF(COUNTIF(ASIGNACIONES!$B$3:$B949,B124)=1,"DOTACION ASIGNADA",IF(C124="VISITAS","DOTACION VISITA",IF(C124="MTTO","DOTACION MTTO",IF(C124="PLANTA EMERGENCIA","DOTACION RES DE EMERGENCIA",IF(C124="EXTERNOS","DOTACION DE EXTERNO","DOTACION DISPONIBLE")))))))</f>
        <v>DOTACION ASIGNADA</v>
      </c>
      <c r="F124" s="24"/>
    </row>
    <row r="125">
      <c r="A125" s="58">
        <v>2.0</v>
      </c>
      <c r="B125" s="22" t="s">
        <v>162</v>
      </c>
      <c r="C125" s="25" t="s">
        <v>501</v>
      </c>
      <c r="D125" s="33" t="s">
        <v>164</v>
      </c>
      <c r="E125" s="24" t="str">
        <f>IF(B125="","",IF(A125=0,"NO HAY ESE CODIGO",IF(COUNTIF(ASIGNACIONES!$B$3:$B949,B125)=1,"DOTACION ASIGNADA",IF(C125="VISITAS","DOTACION VISITA",IF(C125="MTTO","DOTACION MTTO",IF(C125="PLANTA EMERGENCIA","DOTACION RES DE EMERGENCIA",IF(C125="EXTERNOS","DOTACION DE EXTERNO","DOTACION DISPONIBLE")))))))</f>
        <v>DOTACION ASIGNADA</v>
      </c>
      <c r="F125" s="24"/>
    </row>
    <row r="126">
      <c r="A126" s="58">
        <v>3.0</v>
      </c>
      <c r="B126" s="22" t="s">
        <v>567</v>
      </c>
      <c r="C126" s="25" t="s">
        <v>559</v>
      </c>
      <c r="D126" s="33" t="s">
        <v>350</v>
      </c>
      <c r="E126" s="24" t="str">
        <f>IF(B126="","",IF(A126=0,"NO HAY ESE CODIGO",IF(COUNTIF(ASIGNACIONES!$B$3:$B949,B126)=1,"DOTACION ASIGNADA",IF(C126="VISITAS","DOTACION VISITA",IF(C126="MTTO","DOTACION MTTO",IF(C126="PLANTA EMERGENCIA","DOTACION RES DE EMERGENCIA",IF(C126="EXTERNOS","DOTACION DE EXTERNO","DOTACION DISPONIBLE")))))))</f>
        <v>DOTACION VISITA</v>
      </c>
      <c r="F126" s="24"/>
    </row>
    <row r="127">
      <c r="A127" s="58">
        <v>1.0</v>
      </c>
      <c r="B127" s="22" t="s">
        <v>109</v>
      </c>
      <c r="C127" s="25" t="s">
        <v>501</v>
      </c>
      <c r="D127" s="33" t="s">
        <v>67</v>
      </c>
      <c r="E127" s="24" t="str">
        <f>IF(B127="","",IF(A127=0,"NO HAY ESE CODIGO",IF(COUNTIF(ASIGNACIONES!$B$3:$B949,B127)=1,"DOTACION ASIGNADA",IF(C127="VISITAS","DOTACION VISITA",IF(C127="MTTO","DOTACION MTTO",IF(C127="PLANTA EMERGENCIA","DOTACION RES DE EMERGENCIA",IF(C127="EXTERNOS","DOTACION DE EXTERNO","DOTACION DISPONIBLE")))))))</f>
        <v>DOTACION ASIGNADA</v>
      </c>
      <c r="F127" s="24"/>
    </row>
    <row r="128">
      <c r="A128" s="58">
        <v>0.0</v>
      </c>
      <c r="B128" s="22" t="s">
        <v>433</v>
      </c>
      <c r="C128" s="25" t="s">
        <v>501</v>
      </c>
      <c r="D128" s="33" t="s">
        <v>24</v>
      </c>
      <c r="E128" s="24" t="str">
        <f>IF(B128="","",IF(A128=0,"NO HAY ESE CODIGO",IF(COUNTIF(ASIGNACIONES!$B$3:$B949,B128)=1,"DOTACION ASIGNADA",IF(C128="VISITAS","DOTACION VISITA",IF(C128="MTTO","DOTACION MTTO",IF(C128="PLANTA EMERGENCIA","DOTACION RES DE EMERGENCIA",IF(C128="EXTERNOS","DOTACION DE EXTERNO","DOTACION DISPONIBLE")))))))</f>
        <v>NO HAY ESE CODIGO</v>
      </c>
      <c r="F128" s="24"/>
    </row>
    <row r="129">
      <c r="A129" s="58">
        <v>1.0</v>
      </c>
      <c r="B129" s="22" t="s">
        <v>379</v>
      </c>
      <c r="C129" s="25" t="s">
        <v>501</v>
      </c>
      <c r="D129" s="33" t="s">
        <v>18</v>
      </c>
      <c r="E129" s="24" t="str">
        <f>IF(B129="","",IF(A129=0,"NO HAY ESE CODIGO",IF(COUNTIF(ASIGNACIONES!$B$3:$B949,B129)=1,"DOTACION ASIGNADA",IF(C129="VISITAS","DOTACION VISITA",IF(C129="MTTO","DOTACION MTTO",IF(C129="PLANTA EMERGENCIA","DOTACION RES DE EMERGENCIA",IF(C129="EXTERNOS","DOTACION DE EXTERNO","DOTACION DISPONIBLE")))))))</f>
        <v>DOTACION DISPONIBLE</v>
      </c>
      <c r="F129" s="24"/>
    </row>
    <row r="130">
      <c r="A130" s="58">
        <v>3.0</v>
      </c>
      <c r="B130" s="22" t="s">
        <v>568</v>
      </c>
      <c r="C130" s="25" t="s">
        <v>501</v>
      </c>
      <c r="D130" s="33" t="s">
        <v>350</v>
      </c>
      <c r="E130" s="24" t="str">
        <f>IF(B130="","",IF(A130=0,"NO HAY ESE CODIGO",IF(COUNTIF(ASIGNACIONES!$B$3:$B949,B130)=1,"DOTACION ASIGNADA",IF(C130="VISITAS","DOTACION VISITA",IF(C130="MTTO","DOTACION MTTO",IF(C130="PLANTA EMERGENCIA","DOTACION RES DE EMERGENCIA",IF(C130="EXTERNOS","DOTACION DE EXTERNO","DOTACION DISPONIBLE")))))))</f>
        <v>DOTACION DISPONIBLE</v>
      </c>
      <c r="F130" s="24"/>
    </row>
    <row r="131">
      <c r="A131" s="58">
        <v>2.0</v>
      </c>
      <c r="B131" s="22" t="s">
        <v>569</v>
      </c>
      <c r="C131" s="25" t="s">
        <v>501</v>
      </c>
      <c r="D131" s="33" t="s">
        <v>350</v>
      </c>
      <c r="E131" s="24" t="str">
        <f>IF(B131="","",IF(A131=0,"NO HAY ESE CODIGO",IF(COUNTIF(ASIGNACIONES!$B$3:$B949,B131)=1,"DOTACION ASIGNADA",IF(C131="VISITAS","DOTACION VISITA",IF(C131="MTTO","DOTACION MTTO",IF(C131="PLANTA EMERGENCIA","DOTACION RES DE EMERGENCIA",IF(C131="EXTERNOS","DOTACION DE EXTERNO","DOTACION DISPONIBLE")))))))</f>
        <v>DOTACION DISPONIBLE</v>
      </c>
      <c r="F131" s="24"/>
    </row>
    <row r="132">
      <c r="A132" s="58">
        <v>2.0</v>
      </c>
      <c r="B132" s="22" t="s">
        <v>570</v>
      </c>
      <c r="C132" s="25" t="s">
        <v>559</v>
      </c>
      <c r="D132" s="33" t="s">
        <v>67</v>
      </c>
      <c r="E132" s="24" t="str">
        <f>IF(B132="","",IF(A132=0,"NO HAY ESE CODIGO",IF(COUNTIF(ASIGNACIONES!$B$3:$B949,B132)=1,"DOTACION ASIGNADA",IF(C132="VISITAS","DOTACION VISITA",IF(C132="MTTO","DOTACION MTTO",IF(C132="PLANTA EMERGENCIA","DOTACION RES DE EMERGENCIA",IF(C132="EXTERNOS","DOTACION DE EXTERNO","DOTACION DISPONIBLE")))))))</f>
        <v>DOTACION VISITA</v>
      </c>
      <c r="F132" s="24"/>
    </row>
    <row r="133">
      <c r="A133" s="58">
        <v>3.0</v>
      </c>
      <c r="B133" s="22" t="s">
        <v>571</v>
      </c>
      <c r="C133" s="25" t="s">
        <v>501</v>
      </c>
      <c r="D133" s="33" t="s">
        <v>18</v>
      </c>
      <c r="E133" s="24" t="str">
        <f>IF(B133="","",IF(A133=0,"NO HAY ESE CODIGO",IF(COUNTIF(ASIGNACIONES!$B$3:$B949,B133)=1,"DOTACION ASIGNADA",IF(C133="VISITAS","DOTACION VISITA",IF(C133="MTTO","DOTACION MTTO",IF(C133="PLANTA EMERGENCIA","DOTACION RES DE EMERGENCIA",IF(C133="EXTERNOS","DOTACION DE EXTERNO","DOTACION DISPONIBLE")))))))</f>
        <v>DOTACION DISPONIBLE</v>
      </c>
      <c r="F133" s="24"/>
    </row>
    <row r="134">
      <c r="A134" s="58">
        <v>0.0</v>
      </c>
      <c r="B134" s="22" t="s">
        <v>572</v>
      </c>
      <c r="C134" s="25" t="s">
        <v>58</v>
      </c>
      <c r="D134" s="33"/>
      <c r="E134" s="24" t="str">
        <f>IF(B134="","",IF(A134=0,"NO HAY ESE CODIGO",IF(COUNTIF(ASIGNACIONES!$B$3:$B949,B134)=1,"DOTACION ASIGNADA",IF(C134="VISITAS","DOTACION VISITA",IF(C134="MTTO","DOTACION MTTO",IF(C134="PLANTA EMERGENCIA","DOTACION RES DE EMERGENCIA",IF(C134="EXTERNOS","DOTACION DE EXTERNO","DOTACION DISPONIBLE")))))))</f>
        <v>NO HAY ESE CODIGO</v>
      </c>
      <c r="F134" s="24"/>
    </row>
    <row r="135">
      <c r="A135" s="58">
        <v>0.0</v>
      </c>
      <c r="B135" s="22" t="s">
        <v>573</v>
      </c>
      <c r="C135" s="25" t="s">
        <v>58</v>
      </c>
      <c r="D135" s="33"/>
      <c r="E135" s="24" t="str">
        <f>IF(B135="","",IF(A135=0,"NO HAY ESE CODIGO",IF(COUNTIF(ASIGNACIONES!$B$3:$B949,B135)=1,"DOTACION ASIGNADA",IF(C135="VISITAS","DOTACION VISITA",IF(C135="MTTO","DOTACION MTTO",IF(C135="PLANTA EMERGENCIA","DOTACION RES DE EMERGENCIA",IF(C135="EXTERNOS","DOTACION DE EXTERNO","DOTACION DISPONIBLE")))))))</f>
        <v>NO HAY ESE CODIGO</v>
      </c>
      <c r="F135" s="24"/>
    </row>
    <row r="136">
      <c r="A136" s="58">
        <v>0.0</v>
      </c>
      <c r="B136" s="22" t="s">
        <v>574</v>
      </c>
      <c r="C136" s="25" t="s">
        <v>58</v>
      </c>
      <c r="D136" s="33"/>
      <c r="E136" s="24" t="str">
        <f>IF(B136="","",IF(A136=0,"NO HAY ESE CODIGO",IF(COUNTIF(ASIGNACIONES!$B$3:$B949,B136)=1,"DOTACION ASIGNADA",IF(C136="VISITAS","DOTACION VISITA",IF(C136="MTTO","DOTACION MTTO",IF(C136="PLANTA EMERGENCIA","DOTACION RES DE EMERGENCIA",IF(C136="EXTERNOS","DOTACION DE EXTERNO","DOTACION DISPONIBLE")))))))</f>
        <v>NO HAY ESE CODIGO</v>
      </c>
      <c r="F136" s="24"/>
    </row>
    <row r="137">
      <c r="A137" s="58">
        <v>0.0</v>
      </c>
      <c r="B137" s="22" t="s">
        <v>575</v>
      </c>
      <c r="C137" s="25" t="s">
        <v>559</v>
      </c>
      <c r="D137" s="33"/>
      <c r="E137" s="24" t="str">
        <f>IF(B137="","",IF(A137=0,"NO HAY ESE CODIGO",IF(COUNTIF(ASIGNACIONES!$B$3:$B949,B137)=1,"DOTACION ASIGNADA",IF(C137="VISITAS","DOTACION VISITA",IF(C137="MTTO","DOTACION MTTO",IF(C137="PLANTA EMERGENCIA","DOTACION RES DE EMERGENCIA",IF(C137="EXTERNOS","DOTACION DE EXTERNO","DOTACION DISPONIBLE")))))))</f>
        <v>NO HAY ESE CODIGO</v>
      </c>
      <c r="F137" s="24"/>
    </row>
    <row r="138">
      <c r="A138" s="58">
        <v>0.0</v>
      </c>
      <c r="B138" s="22" t="s">
        <v>576</v>
      </c>
      <c r="C138" s="25" t="s">
        <v>559</v>
      </c>
      <c r="D138" s="33"/>
      <c r="E138" s="24" t="str">
        <f>IF(B138="","",IF(A138=0,"NO HAY ESE CODIGO",IF(COUNTIF(ASIGNACIONES!$B$3:$B949,B138)=1,"DOTACION ASIGNADA",IF(C138="VISITAS","DOTACION VISITA",IF(C138="MTTO","DOTACION MTTO",IF(C138="PLANTA EMERGENCIA","DOTACION RES DE EMERGENCIA",IF(C138="EXTERNOS","DOTACION DE EXTERNO","DOTACION DISPONIBLE")))))))</f>
        <v>NO HAY ESE CODIGO</v>
      </c>
      <c r="F138" s="24"/>
    </row>
    <row r="139">
      <c r="A139" s="58">
        <v>0.0</v>
      </c>
      <c r="B139" s="22" t="s">
        <v>577</v>
      </c>
      <c r="C139" s="25" t="s">
        <v>559</v>
      </c>
      <c r="D139" s="33"/>
      <c r="E139" s="24" t="str">
        <f>IF(B139="","",IF(A139=0,"NO HAY ESE CODIGO",IF(COUNTIF(ASIGNACIONES!$B$3:$B949,B139)=1,"DOTACION ASIGNADA",IF(C139="VISITAS","DOTACION VISITA",IF(C139="MTTO","DOTACION MTTO",IF(C139="PLANTA EMERGENCIA","DOTACION RES DE EMERGENCIA",IF(C139="EXTERNOS","DOTACION DE EXTERNO","DOTACION DISPONIBLE")))))))</f>
        <v>NO HAY ESE CODIGO</v>
      </c>
      <c r="F139" s="24"/>
    </row>
    <row r="140">
      <c r="A140" s="58">
        <v>0.0</v>
      </c>
      <c r="B140" s="22" t="s">
        <v>578</v>
      </c>
      <c r="C140" s="25" t="s">
        <v>559</v>
      </c>
      <c r="D140" s="33"/>
      <c r="E140" s="24" t="str">
        <f>IF(B140="","",IF(A140=0,"NO HAY ESE CODIGO",IF(COUNTIF(ASIGNACIONES!$B$3:$B949,B140)=1,"DOTACION ASIGNADA",IF(C140="VISITAS","DOTACION VISITA",IF(C140="MTTO","DOTACION MTTO",IF(C140="PLANTA EMERGENCIA","DOTACION RES DE EMERGENCIA",IF(C140="EXTERNOS","DOTACION DE EXTERNO","DOTACION DISPONIBLE")))))))</f>
        <v>NO HAY ESE CODIGO</v>
      </c>
      <c r="F140" s="24"/>
    </row>
    <row r="141">
      <c r="A141" s="58">
        <v>0.0</v>
      </c>
      <c r="B141" s="22" t="s">
        <v>579</v>
      </c>
      <c r="C141" s="25" t="s">
        <v>559</v>
      </c>
      <c r="D141" s="33"/>
      <c r="E141" s="24" t="str">
        <f>IF(B141="","",IF(A141=0,"NO HAY ESE CODIGO",IF(COUNTIF(ASIGNACIONES!$B$3:$B949,B141)=1,"DOTACION ASIGNADA",IF(C141="VISITAS","DOTACION VISITA",IF(C141="MTTO","DOTACION MTTO",IF(C141="PLANTA EMERGENCIA","DOTACION RES DE EMERGENCIA",IF(C141="EXTERNOS","DOTACION DE EXTERNO","DOTACION DISPONIBLE")))))))</f>
        <v>NO HAY ESE CODIGO</v>
      </c>
      <c r="F141" s="24"/>
    </row>
    <row r="142">
      <c r="A142" s="58">
        <v>0.0</v>
      </c>
      <c r="B142" s="22" t="s">
        <v>580</v>
      </c>
      <c r="C142" s="25" t="s">
        <v>559</v>
      </c>
      <c r="D142" s="33"/>
      <c r="E142" s="24" t="str">
        <f>IF(B142="","",IF(A142=0,"NO HAY ESE CODIGO",IF(COUNTIF(ASIGNACIONES!$B$3:$B949,B142)=1,"DOTACION ASIGNADA",IF(C142="VISITAS","DOTACION VISITA",IF(C142="MTTO","DOTACION MTTO",IF(C142="PLANTA EMERGENCIA","DOTACION RES DE EMERGENCIA",IF(C142="EXTERNOS","DOTACION DE EXTERNO","DOTACION DISPONIBLE")))))))</f>
        <v>NO HAY ESE CODIGO</v>
      </c>
      <c r="F142" s="24"/>
    </row>
    <row r="143">
      <c r="A143" s="58"/>
      <c r="B143" s="22"/>
      <c r="C143" s="25"/>
      <c r="D143" s="33"/>
      <c r="E143" s="24" t="str">
        <f>IF(B143="","",IF(A143=0,"NO HAY ESE CODIGO",IF(COUNTIF(ASIGNACIONES!$B$3:$B949,B143)=1,"DOTACION ASIGNADA",IF(C143="VISITAS","DOTACION VISITA",IF(C143="MTTO","DOTACION MTTO",IF(C143="PLANTA EMERGENCIA","DOTACION RES DE EMERGENCIA",IF(C143="EXTERNOS","DOTACION DE EXTERNO","DOTACION DISPONIBLE")))))))</f>
        <v/>
      </c>
      <c r="F143" s="24"/>
    </row>
    <row r="144">
      <c r="A144" s="58"/>
      <c r="B144" s="22"/>
      <c r="C144" s="25"/>
      <c r="D144" s="33"/>
      <c r="E144" s="24" t="str">
        <f>IF(B144="","",IF(A144=0,"NO HAY ESE CODIGO",IF(COUNTIF(ASIGNACIONES!$B$3:$B949,B144)=1,"DOTACION ASIGNADA",IF(C144="VISITAS","DOTACION VISITA",IF(C144="MTTO","DOTACION MTTO",IF(C144="PLANTA EMERGENCIA","DOTACION RES DE EMERGENCIA",IF(C144="EXTERNOS","DOTACION DE EXTERNO","DOTACION DISPONIBLE")))))))</f>
        <v/>
      </c>
      <c r="F144" s="24"/>
    </row>
    <row r="145">
      <c r="A145" s="58"/>
      <c r="B145" s="22"/>
      <c r="C145" s="25"/>
      <c r="D145" s="33"/>
      <c r="E145" s="24" t="str">
        <f>IF(B145="","",IF(A145=0,"NO HAY ESE CODIGO",IF(COUNTIF(ASIGNACIONES!$B$3:$B949,B145)=1,"DOTACION ASIGNADA",IF(C145="VISITAS","DOTACION VISITA",IF(C145="MTTO","DOTACION MTTO",IF(C145="PLANTA EMERGENCIA","DOTACION RES DE EMERGENCIA",IF(C145="EXTERNOS","DOTACION DE EXTERNO","DOTACION DISPONIBLE")))))))</f>
        <v/>
      </c>
      <c r="F145" s="24"/>
    </row>
    <row r="146">
      <c r="A146" s="58"/>
      <c r="B146" s="22"/>
      <c r="C146" s="25"/>
      <c r="D146" s="33"/>
      <c r="E146" s="24" t="str">
        <f>IF(B146="","",IF(A146=0,"NO HAY ESE CODIGO",IF(COUNTIF(ASIGNACIONES!$B$3:$B949,B146)=1,"DOTACION ASIGNADA",IF(C146="VISITAS","DOTACION VISITA",IF(C146="MTTO","DOTACION MTTO",IF(C146="PLANTA EMERGENCIA","DOTACION RES DE EMERGENCIA",IF(C146="EXTERNOS","DOTACION DE EXTERNO","DOTACION DISPONIBLE")))))))</f>
        <v/>
      </c>
      <c r="F146" s="24"/>
    </row>
    <row r="147">
      <c r="A147" s="58"/>
      <c r="B147" s="22"/>
      <c r="C147" s="25"/>
      <c r="D147" s="33"/>
      <c r="E147" s="24" t="str">
        <f>IF(B147="","",IF(A147=0,"NO HAY ESE CODIGO",IF(COUNTIF(ASIGNACIONES!$B$3:$B949,B147)=1,"DOTACION ASIGNADA",IF(C147="VISITAS","DOTACION VISITA",IF(C147="MTTO","DOTACION MTTO",IF(C147="PLANTA EMERGENCIA","DOTACION RES DE EMERGENCIA",IF(C147="EXTERNOS","DOTACION DE EXTERNO","DOTACION DISPONIBLE")))))))</f>
        <v/>
      </c>
      <c r="F147" s="24"/>
    </row>
    <row r="148">
      <c r="A148" s="58"/>
      <c r="B148" s="22"/>
      <c r="C148" s="25"/>
      <c r="D148" s="33"/>
      <c r="E148" s="24" t="str">
        <f>IF(B148="","",IF(A148=0,"NO HAY ESE CODIGO",IF(COUNTIF(ASIGNACIONES!$B$3:$B949,B148)=1,"DOTACION ASIGNADA",IF(C148="VISITAS","DOTACION VISITA",IF(C148="MTTO","DOTACION MTTO",IF(C148="PLANTA EMERGENCIA","DOTACION RES DE EMERGENCIA",IF(C148="EXTERNOS","DOTACION DE EXTERNO","DOTACION DISPONIBLE")))))))</f>
        <v/>
      </c>
      <c r="F148" s="24"/>
    </row>
    <row r="149">
      <c r="A149" s="58"/>
      <c r="B149" s="22"/>
      <c r="C149" s="25"/>
      <c r="D149" s="33"/>
      <c r="E149" s="24" t="str">
        <f>IF(B149="","",IF(A149=0,"NO HAY ESE CODIGO",IF(COUNTIF(ASIGNACIONES!$B$3:$B949,B149)=1,"DOTACION ASIGNADA",IF(C149="VISITAS","DOTACION VISITA",IF(C149="MTTO","DOTACION MTTO",IF(C149="PLANTA EMERGENCIA","DOTACION RES DE EMERGENCIA",IF(C149="EXTERNOS","DOTACION DE EXTERNO","DOTACION DISPONIBLE")))))))</f>
        <v/>
      </c>
      <c r="F149" s="24"/>
    </row>
    <row r="150">
      <c r="A150" s="58"/>
      <c r="B150" s="22"/>
      <c r="C150" s="25"/>
      <c r="D150" s="33"/>
      <c r="E150" s="24" t="str">
        <f>IF(B150="","",IF(A150=0,"NO HAY ESE CODIGO",IF(COUNTIF(ASIGNACIONES!$B$3:$B949,B150)=1,"DOTACION ASIGNADA",IF(C150="VISITAS","DOTACION VISITA",IF(C150="MTTO","DOTACION MTTO",IF(C150="PLANTA EMERGENCIA","DOTACION RES DE EMERGENCIA",IF(C150="EXTERNOS","DOTACION DE EXTERNO","DOTACION DISPONIBLE")))))))</f>
        <v/>
      </c>
      <c r="F150" s="24"/>
    </row>
    <row r="151">
      <c r="A151" s="58"/>
      <c r="B151" s="22"/>
      <c r="C151" s="25"/>
      <c r="D151" s="33"/>
      <c r="E151" s="24" t="str">
        <f>IF(B151="","",IF(A151=0,"NO HAY ESE CODIGO",IF(COUNTIF(ASIGNACIONES!$B$3:$B949,B151)=1,"DOTACION ASIGNADA",IF(C151="VISITAS","DOTACION VISITA",IF(C151="MTTO","DOTACION MTTO",IF(C151="PLANTA EMERGENCIA","DOTACION RES DE EMERGENCIA",IF(C151="EXTERNOS","DOTACION DE EXTERNO","DOTACION DISPONIBLE")))))))</f>
        <v/>
      </c>
      <c r="F151" s="24"/>
    </row>
    <row r="152">
      <c r="A152" s="58"/>
      <c r="B152" s="22"/>
      <c r="C152" s="25"/>
      <c r="D152" s="33"/>
      <c r="E152" s="24" t="str">
        <f>IF(B152="","",IF(A152=0,"NO HAY ESE CODIGO",IF(COUNTIF(ASIGNACIONES!$B$3:$B949,B152)=1,"DOTACION ASIGNADA",IF(C152="VISITAS","DOTACION VISITA",IF(C152="MTTO","DOTACION MTTO",IF(C152="PLANTA EMERGENCIA","DOTACION RES DE EMERGENCIA",IF(C152="EXTERNOS","DOTACION DE EXTERNO","DOTACION DISPONIBLE")))))))</f>
        <v/>
      </c>
      <c r="F152" s="24"/>
    </row>
    <row r="153">
      <c r="A153" s="58"/>
      <c r="B153" s="22"/>
      <c r="C153" s="25"/>
      <c r="D153" s="33"/>
      <c r="E153" s="24" t="str">
        <f>IF(B153="","",IF(A153=0,"NO HAY ESE CODIGO",IF(COUNTIF(ASIGNACIONES!$B$3:$B949,B153)=1,"DOTACION ASIGNADA",IF(C153="VISITAS","DOTACION VISITA",IF(C153="MTTO","DOTACION MTTO",IF(C153="PLANTA EMERGENCIA","DOTACION RES DE EMERGENCIA",IF(C153="EXTERNOS","DOTACION DE EXTERNO","DOTACION DISPONIBLE")))))))</f>
        <v/>
      </c>
      <c r="F153" s="24"/>
    </row>
    <row r="154">
      <c r="A154" s="58"/>
      <c r="B154" s="22"/>
      <c r="C154" s="25"/>
      <c r="D154" s="33"/>
      <c r="E154" s="24" t="str">
        <f>IF(B154="","",IF(A154=0,"NO HAY ESE CODIGO",IF(COUNTIF(ASIGNACIONES!$B$3:$B949,B154)=1,"DOTACION ASIGNADA",IF(C154="VISITAS","DOTACION VISITA",IF(C154="MTTO","DOTACION MTTO",IF(C154="PLANTA EMERGENCIA","DOTACION RES DE EMERGENCIA",IF(C154="EXTERNOS","DOTACION DE EXTERNO","DOTACION DISPONIBLE")))))))</f>
        <v/>
      </c>
      <c r="F154" s="24"/>
    </row>
    <row r="155">
      <c r="A155" s="58"/>
      <c r="B155" s="22"/>
      <c r="C155" s="25"/>
      <c r="D155" s="33"/>
      <c r="E155" s="24" t="str">
        <f>IF(B155="","",IF(A155=0,"NO HAY ESE CODIGO",IF(COUNTIF(ASIGNACIONES!$B$3:$B949,B155)=1,"DOTACION ASIGNADA",IF(C155="VISITAS","DOTACION VISITA",IF(C155="MTTO","DOTACION MTTO",IF(C155="PLANTA EMERGENCIA","DOTACION RES DE EMERGENCIA",IF(C155="EXTERNOS","DOTACION DE EXTERNO","DOTACION DISPONIBLE")))))))</f>
        <v/>
      </c>
      <c r="F155" s="24"/>
    </row>
    <row r="156">
      <c r="A156" s="58"/>
      <c r="B156" s="22"/>
      <c r="C156" s="25"/>
      <c r="D156" s="33"/>
      <c r="E156" s="24" t="str">
        <f>IF(B156="","",IF(A156=0,"NO HAY ESE CODIGO",IF(COUNTIF(ASIGNACIONES!$B$3:$B949,B156)=1,"DOTACION ASIGNADA",IF(C156="VISITAS","DOTACION VISITA",IF(C156="MTTO","DOTACION MTTO",IF(C156="PLANTA EMERGENCIA","DOTACION RES DE EMERGENCIA",IF(C156="EXTERNOS","DOTACION DE EXTERNO","DOTACION DISPONIBLE")))))))</f>
        <v/>
      </c>
      <c r="F156" s="24"/>
    </row>
    <row r="157">
      <c r="A157" s="58"/>
      <c r="B157" s="22"/>
      <c r="C157" s="25"/>
      <c r="D157" s="33"/>
      <c r="E157" s="24" t="str">
        <f>IF(B157="","",IF(A157=0,"NO HAY ESE CODIGO",IF(COUNTIF(ASIGNACIONES!$B$3:$B949,B157)=1,"DOTACION ASIGNADA",IF(C157="VISITAS","DOTACION VISITA",IF(C157="MTTO","DOTACION MTTO",IF(C157="PLANTA EMERGENCIA","DOTACION RES DE EMERGENCIA",IF(C157="EXTERNOS","DOTACION DE EXTERNO","DOTACION DISPONIBLE")))))))</f>
        <v/>
      </c>
      <c r="F157" s="24"/>
    </row>
    <row r="158">
      <c r="A158" s="58"/>
      <c r="B158" s="22"/>
      <c r="C158" s="25"/>
      <c r="D158" s="33"/>
      <c r="E158" s="24" t="str">
        <f>IF(B158="","",IF(A158=0,"NO HAY ESE CODIGO",IF(COUNTIF(ASIGNACIONES!$B$3:$B949,B158)=1,"DOTACION ASIGNADA",IF(C158="VISITAS","DOTACION VISITA",IF(C158="MTTO","DOTACION MTTO",IF(C158="PLANTA EMERGENCIA","DOTACION RES DE EMERGENCIA",IF(C158="EXTERNOS","DOTACION DE EXTERNO","DOTACION DISPONIBLE")))))))</f>
        <v/>
      </c>
      <c r="F158" s="24"/>
    </row>
    <row r="159">
      <c r="A159" s="58"/>
      <c r="B159" s="22"/>
      <c r="C159" s="25"/>
      <c r="D159" s="33"/>
      <c r="E159" s="24" t="str">
        <f>IF(B159="","",IF(A159=0,"NO HAY ESE CODIGO",IF(COUNTIF(ASIGNACIONES!$B$3:$B949,B159)=1,"DOTACION ASIGNADA",IF(C159="VISITAS","DOTACION VISITA",IF(C159="MTTO","DOTACION MTTO",IF(C159="PLANTA EMERGENCIA","DOTACION RES DE EMERGENCIA",IF(C159="EXTERNOS","DOTACION DE EXTERNO","DOTACION DISPONIBLE")))))))</f>
        <v/>
      </c>
      <c r="F159" s="24"/>
    </row>
    <row r="160">
      <c r="A160" s="58"/>
      <c r="B160" s="22"/>
      <c r="C160" s="25"/>
      <c r="D160" s="33"/>
      <c r="E160" s="24" t="str">
        <f>IF(B160="","",IF(A160=0,"NO HAY ESE CODIGO",IF(COUNTIF(ASIGNACIONES!$B$3:$B949,B160)=1,"DOTACION ASIGNADA",IF(C160="VISITAS","DOTACION VISITA",IF(C160="MTTO","DOTACION MTTO",IF(C160="PLANTA EMERGENCIA","DOTACION RES DE EMERGENCIA",IF(C160="EXTERNOS","DOTACION DE EXTERNO","DOTACION DISPONIBLE")))))))</f>
        <v/>
      </c>
      <c r="F160" s="24"/>
    </row>
    <row r="161">
      <c r="A161" s="58"/>
      <c r="B161" s="22"/>
      <c r="C161" s="25"/>
      <c r="D161" s="33"/>
      <c r="E161" s="24" t="str">
        <f>IF(B161="","",IF(A161=0,"NO HAY ESE CODIGO",IF(COUNTIF(ASIGNACIONES!$B$3:$B949,B161)=1,"DOTACION ASIGNADA",IF(C161="VISITAS","DOTACION VISITA",IF(C161="MTTO","DOTACION MTTO",IF(C161="PLANTA EMERGENCIA","DOTACION RES DE EMERGENCIA",IF(C161="EXTERNOS","DOTACION DE EXTERNO","DOTACION DISPONIBLE")))))))</f>
        <v/>
      </c>
      <c r="F161" s="24"/>
    </row>
    <row r="162">
      <c r="A162" s="58"/>
      <c r="B162" s="22"/>
      <c r="C162" s="25"/>
      <c r="D162" s="33"/>
      <c r="E162" s="24" t="str">
        <f>IF(B162="","",IF(A162=0,"NO HAY ESE CODIGO",IF(COUNTIF(ASIGNACIONES!$B$3:$B949,B162)=1,"DOTACION ASIGNADA",IF(C162="VISITAS","DOTACION VISITA",IF(C162="MTTO","DOTACION MTTO",IF(C162="PLANTA EMERGENCIA","DOTACION RES DE EMERGENCIA",IF(C162="EXTERNOS","DOTACION DE EXTERNO","DOTACION DISPONIBLE")))))))</f>
        <v/>
      </c>
      <c r="F162" s="24"/>
    </row>
    <row r="163">
      <c r="A163" s="58"/>
      <c r="B163" s="22"/>
      <c r="C163" s="25"/>
      <c r="D163" s="33"/>
      <c r="E163" s="24" t="str">
        <f>IF(B163="","",IF(A163=0,"NO HAY ESE CODIGO",IF(COUNTIF(ASIGNACIONES!$B$3:$B949,B163)=1,"DOTACION ASIGNADA",IF(C163="VISITAS","DOTACION VISITA",IF(C163="MTTO","DOTACION MTTO",IF(C163="PLANTA EMERGENCIA","DOTACION RES DE EMERGENCIA",IF(C163="EXTERNOS","DOTACION DE EXTERNO","DOTACION DISPONIBLE")))))))</f>
        <v/>
      </c>
      <c r="F163" s="24"/>
    </row>
    <row r="164">
      <c r="A164" s="58"/>
      <c r="B164" s="22"/>
      <c r="C164" s="25"/>
      <c r="D164" s="33"/>
      <c r="E164" s="24" t="str">
        <f>IF(B164="","",IF(A164=0,"NO HAY ESE CODIGO",IF(COUNTIF(ASIGNACIONES!$B$3:$B949,B164)=1,"DOTACION ASIGNADA",IF(C164="VISITAS","DOTACION VISITA",IF(C164="MTTO","DOTACION MTTO",IF(C164="PLANTA EMERGENCIA","DOTACION RES DE EMERGENCIA",IF(C164="EXTERNOS","DOTACION DE EXTERNO","DOTACION DISPONIBLE")))))))</f>
        <v/>
      </c>
      <c r="F164" s="24"/>
    </row>
    <row r="165">
      <c r="A165" s="58"/>
      <c r="B165" s="22"/>
      <c r="C165" s="25"/>
      <c r="D165" s="33"/>
      <c r="E165" s="24" t="str">
        <f>IF(B165="","",IF(A165=0,"NO HAY ESE CODIGO",IF(COUNTIF(ASIGNACIONES!$B$3:$B949,B165)=1,"DOTACION ASIGNADA",IF(C165="VISITAS","DOTACION VISITA",IF(C165="MTTO","DOTACION MTTO",IF(C165="PLANTA EMERGENCIA","DOTACION RES DE EMERGENCIA",IF(C165="EXTERNOS","DOTACION DE EXTERNO","DOTACION DISPONIBLE")))))))</f>
        <v/>
      </c>
      <c r="F165" s="24"/>
    </row>
    <row r="166">
      <c r="A166" s="58"/>
      <c r="B166" s="22"/>
      <c r="C166" s="25"/>
      <c r="D166" s="33"/>
      <c r="E166" s="24" t="str">
        <f>IF(B166="","",IF(A166=0,"NO HAY ESE CODIGO",IF(COUNTIF(ASIGNACIONES!$B$3:$B949,B166)=1,"DOTACION ASIGNADA",IF(C166="VISITAS","DOTACION VISITA",IF(C166="MTTO","DOTACION MTTO",IF(C166="PLANTA EMERGENCIA","DOTACION RES DE EMERGENCIA",IF(C166="EXTERNOS","DOTACION DE EXTERNO","DOTACION DISPONIBLE")))))))</f>
        <v/>
      </c>
      <c r="F166" s="24"/>
    </row>
    <row r="167">
      <c r="A167" s="58"/>
      <c r="B167" s="22"/>
      <c r="C167" s="25"/>
      <c r="D167" s="33"/>
      <c r="E167" s="24" t="str">
        <f>IF(B167="","",IF(A167=0,"NO HAY ESE CODIGO",IF(COUNTIF(ASIGNACIONES!$B$3:$B949,B167)=1,"DOTACION ASIGNADA",IF(C167="VISITAS","DOTACION VISITA",IF(C167="MTTO","DOTACION MTTO",IF(C167="PLANTA EMERGENCIA","DOTACION RES DE EMERGENCIA",IF(C167="EXTERNOS","DOTACION DE EXTERNO","DOTACION DISPONIBLE")))))))</f>
        <v/>
      </c>
      <c r="F167" s="24"/>
    </row>
    <row r="168">
      <c r="A168" s="58"/>
      <c r="B168" s="22"/>
      <c r="C168" s="25"/>
      <c r="D168" s="33"/>
      <c r="E168" s="24" t="str">
        <f>IF(B168="","",IF(A168=0,"NO HAY ESE CODIGO",IF(COUNTIF(ASIGNACIONES!$B$3:$B949,B168)=1,"DOTACION ASIGNADA",IF(C168="VISITAS","DOTACION VISITA",IF(C168="MTTO","DOTACION MTTO",IF(C168="PLANTA EMERGENCIA","DOTACION RES DE EMERGENCIA",IF(C168="EXTERNOS","DOTACION DE EXTERNO","DOTACION DISPONIBLE")))))))</f>
        <v/>
      </c>
      <c r="F168" s="24"/>
    </row>
    <row r="169">
      <c r="A169" s="58"/>
      <c r="B169" s="22"/>
      <c r="C169" s="25"/>
      <c r="D169" s="33"/>
      <c r="E169" s="24" t="str">
        <f>IF(B169="","",IF(A169=0,"NO HAY ESE CODIGO",IF(COUNTIF(ASIGNACIONES!$B$3:$B949,B169)=1,"DOTACION ASIGNADA",IF(C169="VISITAS","DOTACION VISITA",IF(C169="MTTO","DOTACION MTTO",IF(C169="PLANTA EMERGENCIA","DOTACION RES DE EMERGENCIA",IF(C169="EXTERNOS","DOTACION DE EXTERNO","DOTACION DISPONIBLE")))))))</f>
        <v/>
      </c>
      <c r="F169" s="24"/>
    </row>
    <row r="170">
      <c r="A170" s="58"/>
      <c r="B170" s="22"/>
      <c r="C170" s="25"/>
      <c r="D170" s="33"/>
      <c r="E170" s="24" t="str">
        <f>IF(B170="","",IF(A170=0,"NO HAY ESE CODIGO",IF(COUNTIF(ASIGNACIONES!$B$3:$B949,B170)=1,"DOTACION ASIGNADA",IF(C170="VISITAS","DOTACION VISITA",IF(C170="MTTO","DOTACION MTTO",IF(C170="PLANTA EMERGENCIA","DOTACION RES DE EMERGENCIA",IF(C170="EXTERNOS","DOTACION DE EXTERNO","DOTACION DISPONIBLE")))))))</f>
        <v/>
      </c>
      <c r="F170" s="24"/>
    </row>
    <row r="171">
      <c r="A171" s="58"/>
      <c r="B171" s="22"/>
      <c r="C171" s="61"/>
      <c r="D171" s="33"/>
      <c r="E171" s="24" t="str">
        <f>IF(B171="","",IF(A171=0,"NO HAY ESE CODIGO",IF(COUNTIF(ASIGNACIONES!$B$3:$B949,B171)=1,"DOTACION ASIGNADA",IF(C171="VISITAS","DOTACION VISITA",IF(C171="MTTO","DOTACION MTTO",IF(C171="PLANTA EMERGENCIA","DOTACION RES DE EMERGENCIA",IF(C171="EXTERNOS","DOTACION DE EXTERNO","DOTACION DISPONIBLE")))))))</f>
        <v/>
      </c>
      <c r="F171" s="24"/>
    </row>
    <row r="172">
      <c r="A172" s="58"/>
      <c r="B172" s="22"/>
      <c r="C172" s="61"/>
      <c r="D172" s="33"/>
      <c r="E172" s="24" t="str">
        <f>IF(B172="","",IF(A172=0,"NO HAY ESE CODIGO",IF(COUNTIF(ASIGNACIONES!$B$3:$B949,B172)=1,"DOTACION ASIGNADA",IF(C172="VISITAS","DOTACION VISITA",IF(C172="MTTO","DOTACION MTTO",IF(C172="PLANTA EMERGENCIA","DOTACION RES DE EMERGENCIA",IF(C172="EXTERNOS","DOTACION DE EXTERNO","DOTACION DISPONIBLE")))))))</f>
        <v/>
      </c>
      <c r="F172" s="24"/>
    </row>
    <row r="173">
      <c r="A173" s="58"/>
      <c r="B173" s="22"/>
      <c r="C173" s="25"/>
      <c r="D173" s="33"/>
      <c r="E173" s="24" t="str">
        <f>IF(B173="","",IF(A173=0,"NO HAY ESE CODIGO",IF(COUNTIF(ASIGNACIONES!$B$3:$B949,B173)=1,"DOTACION ASIGNADA",IF(C173="VISITAS","DOTACION VISITA",IF(C173="MTTO","DOTACION MTTO",IF(C173="PLANTA EMERGENCIA","DOTACION RES DE EMERGENCIA",IF(C173="EXTERNOS","DOTACION DE EXTERNO","DOTACION DISPONIBLE")))))))</f>
        <v/>
      </c>
      <c r="F173" s="24"/>
    </row>
    <row r="174">
      <c r="A174" s="58"/>
      <c r="B174" s="22"/>
      <c r="C174" s="61"/>
      <c r="D174" s="33"/>
      <c r="E174" s="24" t="str">
        <f>IF(B174="","",IF(A174=0,"NO HAY ESE CODIGO",IF(COUNTIF(ASIGNACIONES!$B$3:$B949,B174)=1,"DOTACION ASIGNADA",IF(C174="VISITAS","DOTACION VISITA",IF(C174="MTTO","DOTACION MTTO",IF(C174="PLANTA EMERGENCIA","DOTACION RES DE EMERGENCIA",IF(C174="EXTERNOS","DOTACION DE EXTERNO","DOTACION DISPONIBLE")))))))</f>
        <v/>
      </c>
      <c r="F174" s="24"/>
    </row>
    <row r="175">
      <c r="A175" s="58"/>
      <c r="B175" s="22"/>
      <c r="C175" s="25"/>
      <c r="D175" s="33"/>
      <c r="E175" s="24" t="str">
        <f>IF(B175="","",IF(A175=0,"NO HAY ESE CODIGO",IF(COUNTIF(ASIGNACIONES!$B$3:$B949,B175)=1,"DOTACION ASIGNADA",IF(C175="VISITAS","DOTACION VISITA",IF(C175="MTTO","DOTACION MTTO",IF(C175="PLANTA EMERGENCIA","DOTACION RES DE EMERGENCIA",IF(C175="EXTERNOS","DOTACION DE EXTERNO","DOTACION DISPONIBLE")))))))</f>
        <v/>
      </c>
      <c r="F175" s="24"/>
    </row>
    <row r="176">
      <c r="A176" s="58"/>
      <c r="B176" s="22"/>
      <c r="C176" s="25"/>
      <c r="D176" s="33"/>
      <c r="E176" s="24" t="str">
        <f>IF(B176="","",IF(A176=0,"NO HAY ESE CODIGO",IF(COUNTIF(ASIGNACIONES!$B$3:$B949,B176)=1,"DOTACION ASIGNADA",IF(C176="VISITAS","DOTACION VISITA",IF(C176="MTTO","DOTACION MTTO",IF(C176="PLANTA EMERGENCIA","DOTACION RES DE EMERGENCIA",IF(C176="EXTERNOS","DOTACION DE EXTERNO","DOTACION DISPONIBLE")))))))</f>
        <v/>
      </c>
      <c r="F176" s="24"/>
    </row>
    <row r="177">
      <c r="A177" s="58"/>
      <c r="B177" s="22"/>
      <c r="C177" s="61"/>
      <c r="D177" s="33"/>
      <c r="E177" s="24" t="str">
        <f>IF(B177="","",IF(A177=0,"NO HAY ESE CODIGO",IF(COUNTIF(ASIGNACIONES!$B$3:$B949,B177)=1,"DOTACION ASIGNADA",IF(C177="VISITAS","DOTACION VISITA",IF(C177="MTTO","DOTACION MTTO",IF(C177="PLANTA EMERGENCIA","DOTACION RES DE EMERGENCIA",IF(C177="EXTERNOS","DOTACION DE EXTERNO","DOTACION DISPONIBLE")))))))</f>
        <v/>
      </c>
      <c r="F177" s="24"/>
    </row>
    <row r="178">
      <c r="A178" s="58"/>
      <c r="B178" s="22"/>
      <c r="C178" s="61"/>
      <c r="D178" s="33"/>
      <c r="E178" s="24" t="str">
        <f>IF(B178="","",IF(A178=0,"NO HAY ESE CODIGO",IF(COUNTIF(ASIGNACIONES!$B$3:$B949,B178)=1,"DOTACION ASIGNADA",IF(C178="VISITAS","DOTACION VISITA",IF(C178="MTTO","DOTACION MTTO",IF(C178="PLANTA EMERGENCIA","DOTACION RES DE EMERGENCIA",IF(C178="EXTERNOS","DOTACION DE EXTERNO","DOTACION DISPONIBLE")))))))</f>
        <v/>
      </c>
      <c r="F178" s="24"/>
    </row>
    <row r="179">
      <c r="A179" s="58"/>
      <c r="B179" s="22"/>
      <c r="C179" s="61"/>
      <c r="D179" s="33"/>
      <c r="E179" s="24" t="str">
        <f>IF(B179="","",IF(A179=0,"NO HAY ESE CODIGO",IF(COUNTIF(ASIGNACIONES!$B$3:$B949,B179)=1,"DOTACION ASIGNADA",IF(C179="VISITAS","DOTACION VISITA",IF(C179="MTTO","DOTACION MTTO",IF(C179="PLANTA EMERGENCIA","DOTACION RES DE EMERGENCIA",IF(C179="EXTERNOS","DOTACION DE EXTERNO","DOTACION DISPONIBLE")))))))</f>
        <v/>
      </c>
      <c r="F179" s="24"/>
    </row>
    <row r="180">
      <c r="A180" s="58"/>
      <c r="B180" s="22"/>
      <c r="C180" s="25"/>
      <c r="D180" s="33"/>
      <c r="E180" s="24" t="str">
        <f>IF(B180="","",IF(A180=0,"NO HAY ESE CODIGO",IF(COUNTIF(ASIGNACIONES!$B$3:$B949,B180)=1,"DOTACION ASIGNADA",IF(C180="VISITAS","DOTACION VISITA",IF(C180="MTTO","DOTACION MTTO",IF(C180="PLANTA EMERGENCIA","DOTACION RES DE EMERGENCIA",IF(C180="EXTERNOS","DOTACION DE EXTERNO","DOTACION DISPONIBLE")))))))</f>
        <v/>
      </c>
      <c r="F180" s="24"/>
    </row>
    <row r="181">
      <c r="A181" s="58"/>
      <c r="B181" s="22"/>
      <c r="C181" s="61"/>
      <c r="D181" s="33"/>
      <c r="E181" s="24" t="str">
        <f>IF(B181="","",IF(A181=0,"NO HAY ESE CODIGO",IF(COUNTIF(ASIGNACIONES!$B$3:$B949,B181)=1,"DOTACION ASIGNADA",IF(C181="VISITAS","DOTACION VISITA",IF(C181="MTTO","DOTACION MTTO",IF(C181="PLANTA EMERGENCIA","DOTACION RES DE EMERGENCIA",IF(C181="EXTERNOS","DOTACION DE EXTERNO","DOTACION DISPONIBLE")))))))</f>
        <v/>
      </c>
      <c r="F181" s="24"/>
    </row>
    <row r="182">
      <c r="A182" s="58"/>
      <c r="B182" s="22"/>
      <c r="C182" s="25"/>
      <c r="D182" s="33"/>
      <c r="E182" s="24" t="str">
        <f>IF(B182="","",IF(A182=0,"NO HAY ESE CODIGO",IF(COUNTIF(ASIGNACIONES!$B$3:$B949,B182)=1,"DOTACION ASIGNADA",IF(C182="VISITAS","DOTACION VISITA",IF(C182="MTTO","DOTACION MTTO",IF(C182="PLANTA EMERGENCIA","DOTACION RES DE EMERGENCIA",IF(C182="EXTERNOS","DOTACION DE EXTERNO","DOTACION DISPONIBLE")))))))</f>
        <v/>
      </c>
      <c r="F182" s="24"/>
    </row>
    <row r="183">
      <c r="A183" s="58"/>
      <c r="B183" s="22"/>
      <c r="C183" s="61"/>
      <c r="D183" s="33"/>
      <c r="E183" s="24" t="str">
        <f>IF(B183="","",IF(A183=0,"NO HAY ESE CODIGO",IF(COUNTIF(ASIGNACIONES!$B$3:$B949,B183)=1,"DOTACION ASIGNADA",IF(C183="VISITAS","DOTACION VISITA",IF(C183="MTTO","DOTACION MTTO",IF(C183="PLANTA EMERGENCIA","DOTACION RES DE EMERGENCIA",IF(C183="EXTERNOS","DOTACION DE EXTERNO","DOTACION DISPONIBLE")))))))</f>
        <v/>
      </c>
      <c r="F183" s="24"/>
    </row>
    <row r="184">
      <c r="A184" s="58"/>
      <c r="B184" s="22"/>
      <c r="C184" s="25"/>
      <c r="D184" s="33"/>
      <c r="E184" s="24" t="str">
        <f>IF(B184="","",IF(A184=0,"NO HAY ESE CODIGO",IF(COUNTIF(ASIGNACIONES!$B$3:$B949,B184)=1,"DOTACION ASIGNADA",IF(C184="VISITAS","DOTACION VISITA",IF(C184="MTTO","DOTACION MTTO",IF(C184="PLANTA EMERGENCIA","DOTACION RES DE EMERGENCIA",IF(C184="EXTERNOS","DOTACION DE EXTERNO","DOTACION DISPONIBLE")))))))</f>
        <v/>
      </c>
      <c r="F184" s="24"/>
    </row>
    <row r="185">
      <c r="A185" s="58"/>
      <c r="B185" s="22"/>
      <c r="C185" s="25"/>
      <c r="D185" s="33"/>
      <c r="E185" s="24" t="str">
        <f>IF(B185="","",IF(A185=0,"NO HAY ESE CODIGO",IF(COUNTIF(ASIGNACIONES!$B$3:$B949,B185)=1,"DOTACION ASIGNADA",IF(C185="VISITAS","DOTACION VISITA",IF(C185="MTTO","DOTACION MTTO",IF(C185="PLANTA EMERGENCIA","DOTACION RES DE EMERGENCIA",IF(C185="EXTERNOS","DOTACION DE EXTERNO","DOTACION DISPONIBLE")))))))</f>
        <v/>
      </c>
      <c r="F185" s="24"/>
    </row>
    <row r="186">
      <c r="A186" s="58"/>
      <c r="B186" s="22"/>
      <c r="C186" s="25"/>
      <c r="D186" s="33"/>
      <c r="E186" s="24" t="str">
        <f>IF(B186="","",IF(A186=0,"NO HAY ESE CODIGO",IF(COUNTIF(ASIGNACIONES!$B$3:$B949,B186)=1,"DOTACION ASIGNADA",IF(C186="VISITAS","DOTACION VISITA",IF(C186="MTTO","DOTACION MTTO",IF(C186="PLANTA EMERGENCIA","DOTACION RES DE EMERGENCIA",IF(C186="EXTERNOS","DOTACION DE EXTERNO","DOTACION DISPONIBLE")))))))</f>
        <v/>
      </c>
      <c r="F186" s="24"/>
    </row>
    <row r="187">
      <c r="A187" s="58"/>
      <c r="B187" s="22"/>
      <c r="C187" s="25"/>
      <c r="D187" s="33"/>
      <c r="E187" s="24" t="str">
        <f>IF(B187="","",IF(A187=0,"NO HAY ESE CODIGO",IF(COUNTIF(ASIGNACIONES!$B$3:$B949,B187)=1,"DOTACION ASIGNADA",IF(C187="VISITAS","DOTACION VISITA",IF(C187="MTTO","DOTACION MTTO",IF(C187="PLANTA EMERGENCIA","DOTACION RES DE EMERGENCIA",IF(C187="EXTERNOS","DOTACION DE EXTERNO","DOTACION DISPONIBLE")))))))</f>
        <v/>
      </c>
      <c r="F187" s="24"/>
    </row>
    <row r="188">
      <c r="A188" s="58"/>
      <c r="B188" s="22"/>
      <c r="C188" s="25"/>
      <c r="D188" s="33"/>
      <c r="E188" s="24" t="str">
        <f>IF(B188="","",IF(A188=0,"NO HAY ESE CODIGO",IF(COUNTIF(ASIGNACIONES!$B$3:$B949,B188)=1,"DOTACION ASIGNADA",IF(C188="VISITAS","DOTACION VISITA",IF(C188="MTTO","DOTACION MTTO",IF(C188="PLANTA EMERGENCIA","DOTACION RES DE EMERGENCIA",IF(C188="EXTERNOS","DOTACION DE EXTERNO","DOTACION DISPONIBLE")))))))</f>
        <v/>
      </c>
      <c r="F188" s="24"/>
    </row>
    <row r="189">
      <c r="A189" s="58"/>
      <c r="B189" s="22"/>
      <c r="C189" s="25"/>
      <c r="D189" s="33"/>
      <c r="E189" s="24" t="str">
        <f>IF(B189="","",IF(A189=0,"NO HAY ESE CODIGO",IF(COUNTIF(ASIGNACIONES!$B$3:$B949,B189)=1,"DOTACION ASIGNADA",IF(C189="VISITAS","DOTACION VISITA",IF(C189="MTTO","DOTACION MTTO",IF(C189="PLANTA EMERGENCIA","DOTACION RES DE EMERGENCIA",IF(C189="EXTERNOS","DOTACION DE EXTERNO","DOTACION DISPONIBLE")))))))</f>
        <v/>
      </c>
      <c r="F189" s="24"/>
    </row>
    <row r="190">
      <c r="A190" s="58"/>
      <c r="B190" s="22"/>
      <c r="C190" s="25"/>
      <c r="D190" s="33"/>
      <c r="E190" s="24" t="str">
        <f>IF(B190="","",IF(A190=0,"NO HAY ESE CODIGO",IF(COUNTIF(ASIGNACIONES!$B$3:$B949,B190)=1,"DOTACION ASIGNADA",IF(C190="VISITAS","DOTACION VISITA",IF(C190="MTTO","DOTACION MTTO",IF(C190="PLANTA EMERGENCIA","DOTACION RES DE EMERGENCIA",IF(C190="EXTERNOS","DOTACION DE EXTERNO","DOTACION DISPONIBLE")))))))</f>
        <v/>
      </c>
      <c r="F190" s="24"/>
    </row>
    <row r="191">
      <c r="A191" s="58"/>
      <c r="B191" s="22"/>
      <c r="C191" s="25"/>
      <c r="D191" s="33"/>
      <c r="E191" s="24" t="str">
        <f>IF(B191="","",IF(A191=0,"NO HAY ESE CODIGO",IF(COUNTIF(ASIGNACIONES!$B$3:$B949,B191)=1,"DOTACION ASIGNADA",IF(C191="VISITAS","DOTACION VISITA",IF(C191="MTTO","DOTACION MTTO",IF(C191="PLANTA EMERGENCIA","DOTACION RES DE EMERGENCIA",IF(C191="EXTERNOS","DOTACION DE EXTERNO","DOTACION DISPONIBLE")))))))</f>
        <v/>
      </c>
      <c r="F191" s="24"/>
    </row>
    <row r="192">
      <c r="A192" s="58"/>
      <c r="B192" s="22"/>
      <c r="C192" s="25"/>
      <c r="D192" s="33"/>
      <c r="E192" s="24" t="str">
        <f>IF(B192="","",IF(A192=0,"NO HAY ESE CODIGO",IF(COUNTIF(ASIGNACIONES!$B$3:$B949,B192)=1,"DOTACION ASIGNADA",IF(C192="VISITAS","DOTACION VISITA",IF(C192="MTTO","DOTACION MTTO",IF(C192="PLANTA EMERGENCIA","DOTACION RES DE EMERGENCIA",IF(C192="EXTERNOS","DOTACION DE EXTERNO","DOTACION DISPONIBLE")))))))</f>
        <v/>
      </c>
      <c r="F192" s="24"/>
    </row>
    <row r="193">
      <c r="A193" s="58"/>
      <c r="B193" s="22"/>
      <c r="C193" s="25"/>
      <c r="D193" s="33"/>
      <c r="E193" s="24" t="str">
        <f>IF(B193="","",IF(A193=0,"NO HAY ESE CODIGO",IF(COUNTIF(ASIGNACIONES!$B$3:$B949,B193)=1,"DOTACION ASIGNADA",IF(C193="VISITAS","DOTACION VISITA",IF(C193="MTTO","DOTACION MTTO",IF(C193="PLANTA EMERGENCIA","DOTACION RES DE EMERGENCIA",IF(C193="EXTERNOS","DOTACION DE EXTERNO","DOTACION DISPONIBLE")))))))</f>
        <v/>
      </c>
      <c r="F193" s="24"/>
    </row>
    <row r="194">
      <c r="A194" s="58"/>
      <c r="B194" s="22"/>
      <c r="C194" s="25"/>
      <c r="D194" s="33"/>
      <c r="E194" s="24" t="str">
        <f>IF(B194="","",IF(A194=0,"NO HAY ESE CODIGO",IF(COUNTIF(ASIGNACIONES!$B$3:$B949,B194)=1,"DOTACION ASIGNADA",IF(C194="VISITAS","DOTACION VISITA",IF(C194="MTTO","DOTACION MTTO",IF(C194="PLANTA EMERGENCIA","DOTACION RES DE EMERGENCIA",IF(C194="EXTERNOS","DOTACION DE EXTERNO","DOTACION DISPONIBLE")))))))</f>
        <v/>
      </c>
      <c r="F194" s="24"/>
    </row>
    <row r="195">
      <c r="A195" s="58"/>
      <c r="B195" s="22"/>
      <c r="C195" s="25"/>
      <c r="D195" s="33"/>
      <c r="E195" s="24" t="str">
        <f>IF(B195="","",IF(A195=0,"NO HAY ESE CODIGO",IF(COUNTIF(ASIGNACIONES!$B$3:$B949,B195)=1,"DOTACION ASIGNADA",IF(C195="VISITAS","DOTACION VISITA",IF(C195="MTTO","DOTACION MTTO",IF(C195="PLANTA EMERGENCIA","DOTACION RES DE EMERGENCIA",IF(C195="EXTERNOS","DOTACION DE EXTERNO","DOTACION DISPONIBLE")))))))</f>
        <v/>
      </c>
      <c r="F195" s="24"/>
    </row>
    <row r="196">
      <c r="A196" s="58"/>
      <c r="B196" s="22"/>
      <c r="C196" s="25"/>
      <c r="D196" s="33"/>
      <c r="E196" s="24" t="str">
        <f>IF(B196="","",IF(A196=0,"NO HAY ESE CODIGO",IF(COUNTIF(ASIGNACIONES!$B$3:$B949,B196)=1,"DOTACION ASIGNADA",IF(C196="VISITAS","DOTACION VISITA",IF(C196="MTTO","DOTACION MTTO",IF(C196="PLANTA EMERGENCIA","DOTACION RES DE EMERGENCIA",IF(C196="EXTERNOS","DOTACION DE EXTERNO","DOTACION DISPONIBLE")))))))</f>
        <v/>
      </c>
      <c r="F196" s="24"/>
    </row>
    <row r="197">
      <c r="A197" s="58"/>
      <c r="B197" s="22"/>
      <c r="C197" s="25"/>
      <c r="D197" s="33"/>
      <c r="E197" s="24" t="str">
        <f>IF(B197="","",IF(A197=0,"NO HAY ESE CODIGO",IF(COUNTIF(ASIGNACIONES!$B$3:$B949,B197)=1,"DOTACION ASIGNADA",IF(C197="VISITAS","DOTACION VISITA",IF(C197="MTTO","DOTACION MTTO",IF(C197="PLANTA EMERGENCIA","DOTACION RES DE EMERGENCIA",IF(C197="EXTERNOS","DOTACION DE EXTERNO","DOTACION DISPONIBLE")))))))</f>
        <v/>
      </c>
      <c r="F197" s="24"/>
    </row>
    <row r="198">
      <c r="A198" s="58"/>
      <c r="B198" s="22"/>
      <c r="C198" s="25"/>
      <c r="D198" s="33"/>
      <c r="E198" s="24" t="str">
        <f>IF(B198="","",IF(A198=0,"NO HAY ESE CODIGO",IF(COUNTIF(ASIGNACIONES!$B$3:$B949,B198)=1,"DOTACION ASIGNADA",IF(C198="VISITAS","DOTACION VISITA",IF(C198="MTTO","DOTACION MTTO",IF(C198="PLANTA EMERGENCIA","DOTACION RES DE EMERGENCIA",IF(C198="EXTERNOS","DOTACION DE EXTERNO","DOTACION DISPONIBLE")))))))</f>
        <v/>
      </c>
      <c r="F198" s="24"/>
    </row>
    <row r="199">
      <c r="A199" s="58"/>
      <c r="B199" s="22"/>
      <c r="C199" s="25"/>
      <c r="D199" s="33"/>
      <c r="E199" s="24" t="str">
        <f>IF(B199="","",IF(A199=0,"NO HAY ESE CODIGO",IF(COUNTIF(ASIGNACIONES!$B$3:$B949,B199)=1,"DOTACION ASIGNADA",IF(C199="VISITAS","DOTACION VISITA",IF(C199="MTTO","DOTACION MTTO",IF(C199="PLANTA EMERGENCIA","DOTACION RES DE EMERGENCIA",IF(C199="EXTERNOS","DOTACION DE EXTERNO","DOTACION DISPONIBLE")))))))</f>
        <v/>
      </c>
      <c r="F199" s="24"/>
    </row>
    <row r="200">
      <c r="A200" s="58"/>
      <c r="B200" s="22"/>
      <c r="C200" s="25"/>
      <c r="D200" s="33"/>
      <c r="E200" s="24" t="str">
        <f>IF(B200="","",IF(A200=0,"NO HAY ESE CODIGO",IF(COUNTIF(ASIGNACIONES!$B$3:$B949,B200)=1,"DOTACION ASIGNADA",IF(C200="VISITAS","DOTACION VISITA",IF(C200="MTTO","DOTACION MTTO",IF(C200="PLANTA EMERGENCIA","DOTACION RES DE EMERGENCIA",IF(C200="EXTERNOS","DOTACION DE EXTERNO","DOTACION DISPONIBLE")))))))</f>
        <v/>
      </c>
      <c r="F200" s="24"/>
    </row>
    <row r="201">
      <c r="A201" s="58"/>
      <c r="B201" s="22"/>
      <c r="C201" s="25"/>
      <c r="D201" s="33"/>
      <c r="E201" s="24" t="str">
        <f>IF(B201="","",IF(A201=0,"NO HAY ESE CODIGO",IF(COUNTIF(ASIGNACIONES!$B$3:$B949,B201)=1,"DOTACION ASIGNADA",IF(C201="VISITAS","DOTACION VISITA",IF(C201="MTTO","DOTACION MTTO",IF(C201="PLANTA EMERGENCIA","DOTACION RES DE EMERGENCIA",IF(C201="EXTERNOS","DOTACION DE EXTERNO","DOTACION DISPONIBLE")))))))</f>
        <v/>
      </c>
      <c r="F201" s="24"/>
    </row>
    <row r="202">
      <c r="A202" s="58"/>
      <c r="B202" s="22"/>
      <c r="C202" s="25"/>
      <c r="D202" s="33"/>
      <c r="E202" s="24" t="str">
        <f>IF(B202="","",IF(A202=0,"NO HAY ESE CODIGO",IF(COUNTIF(ASIGNACIONES!$B$3:$B949,B202)=1,"DOTACION ASIGNADA",IF(C202="VISITAS","DOTACION VISITA",IF(C202="MTTO","DOTACION MTTO",IF(C202="PLANTA EMERGENCIA","DOTACION RES DE EMERGENCIA",IF(C202="EXTERNOS","DOTACION DE EXTERNO","DOTACION DISPONIBLE")))))))</f>
        <v/>
      </c>
      <c r="F202" s="24"/>
    </row>
    <row r="203">
      <c r="A203" s="58"/>
      <c r="B203" s="22"/>
      <c r="C203" s="25"/>
      <c r="D203" s="33"/>
      <c r="E203" s="24" t="str">
        <f>IF(B203="","",IF(A203=0,"NO HAY ESE CODIGO",IF(COUNTIF(ASIGNACIONES!$B$3:$B949,B203)=1,"DOTACION ASIGNADA",IF(C203="VISITAS","DOTACION VISITA",IF(C203="MTTO","DOTACION MTTO",IF(C203="PLANTA EMERGENCIA","DOTACION RES DE EMERGENCIA",IF(C203="EXTERNOS","DOTACION DE EXTERNO","DOTACION DISPONIBLE")))))))</f>
        <v/>
      </c>
      <c r="F203" s="24"/>
    </row>
    <row r="204">
      <c r="A204" s="58"/>
      <c r="B204" s="22"/>
      <c r="C204" s="25"/>
      <c r="D204" s="33"/>
      <c r="E204" s="24" t="str">
        <f>IF(B204="","",IF(A204=0,"NO HAY ESE CODIGO",IF(COUNTIF(ASIGNACIONES!$B$3:$B949,B204)=1,"DOTACION ASIGNADA",IF(C204="VISITAS","DOTACION VISITA",IF(C204="MTTO","DOTACION MTTO",IF(C204="PLANTA EMERGENCIA","DOTACION RES DE EMERGENCIA",IF(C204="EXTERNOS","DOTACION DE EXTERNO","DOTACION DISPONIBLE")))))))</f>
        <v/>
      </c>
      <c r="F204" s="24"/>
    </row>
    <row r="205">
      <c r="A205" s="58"/>
      <c r="B205" s="22"/>
      <c r="C205" s="25"/>
      <c r="D205" s="33"/>
      <c r="E205" s="24" t="str">
        <f>IF(B205="","",IF(A205=0,"NO HAY ESE CODIGO",IF(COUNTIF(ASIGNACIONES!$B$3:$B949,B205)=1,"DOTACION ASIGNADA",IF(C205="VISITAS","DOTACION VISITA",IF(C205="MTTO","DOTACION MTTO",IF(C205="PLANTA EMERGENCIA","DOTACION RES DE EMERGENCIA",IF(C205="EXTERNOS","DOTACION DE EXTERNO","DOTACION DISPONIBLE")))))))</f>
        <v/>
      </c>
      <c r="F205" s="24"/>
    </row>
    <row r="206">
      <c r="A206" s="58"/>
      <c r="B206" s="22"/>
      <c r="C206" s="25"/>
      <c r="D206" s="33"/>
      <c r="E206" s="24" t="str">
        <f>IF(B206="","",IF(A206=0,"NO HAY ESE CODIGO",IF(COUNTIF(ASIGNACIONES!$B$3:$B949,B206)=1,"DOTACION ASIGNADA",IF(C206="VISITAS","DOTACION VISITA",IF(C206="MTTO","DOTACION MTTO",IF(C206="PLANTA EMERGENCIA","DOTACION RES DE EMERGENCIA",IF(C206="EXTERNOS","DOTACION DE EXTERNO","DOTACION DISPONIBLE")))))))</f>
        <v/>
      </c>
      <c r="F206" s="24"/>
    </row>
    <row r="207">
      <c r="A207" s="58"/>
      <c r="B207" s="22"/>
      <c r="C207" s="61"/>
      <c r="D207" s="33"/>
      <c r="E207" s="24" t="str">
        <f>IF(B207="","",IF(A207=0,"NO HAY ESE CODIGO",IF(COUNTIF(ASIGNACIONES!$B$3:$B949,B207)=1,"DOTACION ASIGNADA",IF(C207="VISITAS","DOTACION VISITA",IF(C207="MTTO","DOTACION MTTO",IF(C207="PLANTA EMERGENCIA","DOTACION RES DE EMERGENCIA",IF(C207="EXTERNOS","DOTACION DE EXTERNO","DOTACION DISPONIBLE")))))))</f>
        <v/>
      </c>
      <c r="F207" s="24"/>
    </row>
    <row r="208">
      <c r="A208" s="58"/>
      <c r="B208" s="22"/>
      <c r="C208" s="61"/>
      <c r="D208" s="33"/>
      <c r="E208" s="24" t="str">
        <f>IF(B208="","",IF(A208=0,"NO HAY ESE CODIGO",IF(COUNTIF(ASIGNACIONES!$B$3:$B949,B208)=1,"DOTACION ASIGNADA",IF(C208="VISITAS","DOTACION VISITA",IF(C208="MTTO","DOTACION MTTO",IF(C208="PLANTA EMERGENCIA","DOTACION RES DE EMERGENCIA",IF(C208="EXTERNOS","DOTACION DE EXTERNO","DOTACION DISPONIBLE")))))))</f>
        <v/>
      </c>
      <c r="F208" s="24"/>
    </row>
    <row r="209">
      <c r="A209" s="58"/>
      <c r="B209" s="22"/>
      <c r="C209" s="61"/>
      <c r="D209" s="33"/>
      <c r="E209" s="24" t="str">
        <f>IF(B209="","",IF(A209=0,"NO HAY ESE CODIGO",IF(COUNTIF(ASIGNACIONES!$B$3:$B949,B209)=1,"DOTACION ASIGNADA",IF(C209="VISITAS","DOTACION VISITA",IF(C209="MTTO","DOTACION MTTO",IF(C209="PLANTA EMERGENCIA","DOTACION RES DE EMERGENCIA",IF(C209="EXTERNOS","DOTACION DE EXTERNO","DOTACION DISPONIBLE")))))))</f>
        <v/>
      </c>
      <c r="F209" s="24"/>
    </row>
    <row r="210">
      <c r="A210" s="58"/>
      <c r="B210" s="22"/>
      <c r="C210" s="25"/>
      <c r="D210" s="33"/>
      <c r="E210" s="24" t="str">
        <f>IF(B210="","",IF(A210=0,"NO HAY ESE CODIGO",IF(COUNTIF(ASIGNACIONES!$B$3:$B949,B210)=1,"DOTACION ASIGNADA",IF(C210="VISITAS","DOTACION VISITA",IF(C210="MTTO","DOTACION MTTO",IF(C210="PLANTA EMERGENCIA","DOTACION RES DE EMERGENCIA",IF(C210="EXTERNOS","DOTACION DE EXTERNO","DOTACION DISPONIBLE")))))))</f>
        <v/>
      </c>
      <c r="F210" s="24"/>
    </row>
    <row r="211">
      <c r="A211" s="58"/>
      <c r="B211" s="22"/>
      <c r="C211" s="25"/>
      <c r="D211" s="33"/>
      <c r="E211" s="24" t="str">
        <f>IF(B211="","",IF(A211=0,"NO HAY ESE CODIGO",IF(COUNTIF(ASIGNACIONES!$B$3:$B949,B211)=1,"DOTACION ASIGNADA",IF(C211="VISITAS","DOTACION VISITA",IF(C211="MTTO","DOTACION MTTO",IF(C211="PLANTA EMERGENCIA","DOTACION RES DE EMERGENCIA",IF(C211="EXTERNOS","DOTACION DE EXTERNO","DOTACION DISPONIBLE")))))))</f>
        <v/>
      </c>
      <c r="F211" s="24"/>
    </row>
    <row r="212">
      <c r="A212" s="58"/>
      <c r="B212" s="22"/>
      <c r="C212" s="25"/>
      <c r="D212" s="33"/>
      <c r="E212" s="24" t="str">
        <f>IF(B212="","",IF(A212=0,"NO HAY ESE CODIGO",IF(COUNTIF(ASIGNACIONES!$B$3:$B949,B212)=1,"DOTACION ASIGNADA",IF(C212="VISITAS","DOTACION VISITA",IF(C212="MTTO","DOTACION MTTO",IF(C212="PLANTA EMERGENCIA","DOTACION RES DE EMERGENCIA",IF(C212="EXTERNOS","DOTACION DE EXTERNO","DOTACION DISPONIBLE")))))))</f>
        <v/>
      </c>
      <c r="F212" s="24"/>
    </row>
    <row r="213">
      <c r="A213" s="58"/>
      <c r="B213" s="22"/>
      <c r="C213" s="25"/>
      <c r="D213" s="33"/>
      <c r="E213" s="24" t="str">
        <f>IF(B213="","",IF(A213=0,"NO HAY ESE CODIGO",IF(COUNTIF(ASIGNACIONES!$B$3:$B949,B213)=1,"DOTACION ASIGNADA",IF(C213="VISITAS","DOTACION VISITA",IF(C213="MTTO","DOTACION MTTO",IF(C213="PLANTA EMERGENCIA","DOTACION RES DE EMERGENCIA",IF(C213="EXTERNOS","DOTACION DE EXTERNO","DOTACION DISPONIBLE")))))))</f>
        <v/>
      </c>
      <c r="F213" s="24"/>
    </row>
    <row r="214">
      <c r="A214" s="58"/>
      <c r="B214" s="22"/>
      <c r="C214" s="25"/>
      <c r="D214" s="33"/>
      <c r="E214" s="24" t="str">
        <f>IF(B214="","",IF(A214=0,"NO HAY ESE CODIGO",IF(COUNTIF(ASIGNACIONES!$B$3:$B949,B214)=1,"DOTACION ASIGNADA",IF(C214="VISITAS","DOTACION VISITA",IF(C214="MTTO","DOTACION MTTO",IF(C214="PLANTA EMERGENCIA","DOTACION RES DE EMERGENCIA",IF(C214="EXTERNOS","DOTACION DE EXTERNO","DOTACION DISPONIBLE")))))))</f>
        <v/>
      </c>
      <c r="F214" s="24"/>
    </row>
    <row r="215">
      <c r="A215" s="58"/>
      <c r="B215" s="22"/>
      <c r="C215" s="25"/>
      <c r="D215" s="33"/>
      <c r="E215" s="24" t="str">
        <f>IF(B215="","",IF(A215=0,"NO HAY ESE CODIGO",IF(COUNTIF(ASIGNACIONES!$B$3:$B949,B215)=1,"DOTACION ASIGNADA",IF(C215="VISITAS","DOTACION VISITA",IF(C215="MTTO","DOTACION MTTO",IF(C215="PLANTA EMERGENCIA","DOTACION RES DE EMERGENCIA",IF(C215="EXTERNOS","DOTACION DE EXTERNO","DOTACION DISPONIBLE")))))))</f>
        <v/>
      </c>
      <c r="F215" s="24"/>
    </row>
    <row r="216">
      <c r="A216" s="58"/>
      <c r="B216" s="22"/>
      <c r="C216" s="25"/>
      <c r="D216" s="33"/>
      <c r="E216" s="24" t="str">
        <f>IF(B216="","",IF(A216=0,"NO HAY ESE CODIGO",IF(COUNTIF(ASIGNACIONES!$B$3:$B949,B216)=1,"DOTACION ASIGNADA",IF(C216="VISITAS","DOTACION VISITA",IF(C216="MTTO","DOTACION MTTO",IF(C216="PLANTA EMERGENCIA","DOTACION RES DE EMERGENCIA",IF(C216="EXTERNOS","DOTACION DE EXTERNO","DOTACION DISPONIBLE")))))))</f>
        <v/>
      </c>
      <c r="F216" s="24"/>
    </row>
    <row r="217">
      <c r="A217" s="58"/>
      <c r="B217" s="22"/>
      <c r="C217" s="25"/>
      <c r="D217" s="33"/>
      <c r="E217" s="24" t="str">
        <f>IF(B217="","",IF(A217=0,"NO HAY ESE CODIGO",IF(COUNTIF(ASIGNACIONES!$B$3:$B949,B217)=1,"DOTACION ASIGNADA",IF(C217="VISITAS","DOTACION VISITA",IF(C217="MTTO","DOTACION MTTO",IF(C217="PLANTA EMERGENCIA","DOTACION RES DE EMERGENCIA",IF(C217="EXTERNOS","DOTACION DE EXTERNO","DOTACION DISPONIBLE")))))))</f>
        <v/>
      </c>
      <c r="F217" s="24"/>
    </row>
    <row r="218">
      <c r="A218" s="58"/>
      <c r="B218" s="22"/>
      <c r="C218" s="25"/>
      <c r="D218" s="33"/>
      <c r="E218" s="24" t="str">
        <f>IF(B218="","",IF(A218=0,"NO HAY ESE CODIGO",IF(COUNTIF(ASIGNACIONES!$B$3:$B949,B218)=1,"DOTACION ASIGNADA",IF(C218="VISITAS","DOTACION VISITA",IF(C218="MTTO","DOTACION MTTO",IF(C218="PLANTA EMERGENCIA","DOTACION RES DE EMERGENCIA",IF(C218="EXTERNOS","DOTACION DE EXTERNO","DOTACION DISPONIBLE")))))))</f>
        <v/>
      </c>
      <c r="F218" s="24"/>
    </row>
    <row r="219">
      <c r="A219" s="58"/>
      <c r="B219" s="22"/>
      <c r="C219" s="25"/>
      <c r="D219" s="33"/>
      <c r="E219" s="24" t="str">
        <f>IF(B219="","",IF(A219=0,"NO HAY ESE CODIGO",IF(COUNTIF(ASIGNACIONES!$B$3:$B949,B219)=1,"DOTACION ASIGNADA",IF(C219="VISITAS","DOTACION VISITA",IF(C219="MTTO","DOTACION MTTO",IF(C219="PLANTA EMERGENCIA","DOTACION RES DE EMERGENCIA",IF(C219="EXTERNOS","DOTACION DE EXTERNO","DOTACION DISPONIBLE")))))))</f>
        <v/>
      </c>
      <c r="F219" s="24"/>
    </row>
    <row r="220">
      <c r="A220" s="58"/>
      <c r="B220" s="22"/>
      <c r="C220" s="25"/>
      <c r="D220" s="33"/>
      <c r="E220" s="24" t="str">
        <f>IF(B220="","",IF(A220=0,"NO HAY ESE CODIGO",IF(COUNTIF(ASIGNACIONES!$B$3:$B949,B220)=1,"DOTACION ASIGNADA",IF(C220="VISITAS","DOTACION VISITA",IF(C220="MTTO","DOTACION MTTO",IF(C220="PLANTA EMERGENCIA","DOTACION RES DE EMERGENCIA",IF(C220="EXTERNOS","DOTACION DE EXTERNO","DOTACION DISPONIBLE")))))))</f>
        <v/>
      </c>
      <c r="F220" s="24"/>
    </row>
    <row r="221">
      <c r="A221" s="58"/>
      <c r="B221" s="22"/>
      <c r="C221" s="25"/>
      <c r="D221" s="33"/>
      <c r="E221" s="24" t="str">
        <f>IF(B221="","",IF(A221=0,"NO HAY ESE CODIGO",IF(COUNTIF(ASIGNACIONES!$B$3:$B949,B221)=1,"DOTACION ASIGNADA",IF(C221="VISITAS","DOTACION VISITA",IF(C221="MTTO","DOTACION MTTO",IF(C221="PLANTA EMERGENCIA","DOTACION RES DE EMERGENCIA",IF(C221="EXTERNOS","DOTACION DE EXTERNO","DOTACION DISPONIBLE")))))))</f>
        <v/>
      </c>
      <c r="F221" s="24"/>
    </row>
    <row r="222">
      <c r="A222" s="58"/>
      <c r="B222" s="22"/>
      <c r="C222" s="25"/>
      <c r="D222" s="33"/>
      <c r="E222" s="24" t="str">
        <f>IF(B222="","",IF(A222=0,"NO HAY ESE CODIGO",IF(COUNTIF(ASIGNACIONES!$B$3:$B949,B222)=1,"DOTACION ASIGNADA",IF(C222="VISITAS","DOTACION VISITA",IF(C222="MTTO","DOTACION MTTO",IF(C222="PLANTA EMERGENCIA","DOTACION RES DE EMERGENCIA",IF(C222="EXTERNOS","DOTACION DE EXTERNO","DOTACION DISPONIBLE")))))))</f>
        <v/>
      </c>
      <c r="F222" s="24"/>
    </row>
    <row r="223">
      <c r="A223" s="58"/>
      <c r="B223" s="22"/>
      <c r="C223" s="25"/>
      <c r="D223" s="33"/>
      <c r="E223" s="24" t="str">
        <f>IF(B223="","",IF(A223=0,"NO HAY ESE CODIGO",IF(COUNTIF(ASIGNACIONES!$B$3:$B949,B223)=1,"DOTACION ASIGNADA",IF(C223="VISITAS","DOTACION VISITA",IF(C223="MTTO","DOTACION MTTO",IF(C223="PLANTA EMERGENCIA","DOTACION RES DE EMERGENCIA",IF(C223="EXTERNOS","DOTACION DE EXTERNO","DOTACION DISPONIBLE")))))))</f>
        <v/>
      </c>
      <c r="F223" s="24"/>
    </row>
    <row r="224">
      <c r="A224" s="58"/>
      <c r="B224" s="22"/>
      <c r="C224" s="61"/>
      <c r="D224" s="33"/>
      <c r="E224" s="24" t="str">
        <f>IF(B224="","",IF(A224=0,"NO HAY ESE CODIGO",IF(COUNTIF(ASIGNACIONES!$B$3:$B949,B224)=1,"DOTACION ASIGNADA",IF(C224="VISITAS","DOTACION VISITA",IF(C224="MTTO","DOTACION MTTO",IF(C224="PLANTA EMERGENCIA","DOTACION RES DE EMERGENCIA",IF(C224="EXTERNOS","DOTACION DE EXTERNO","DOTACION DISPONIBLE")))))))</f>
        <v/>
      </c>
      <c r="F224" s="24"/>
    </row>
    <row r="225">
      <c r="A225" s="58"/>
      <c r="B225" s="22"/>
      <c r="C225" s="61"/>
      <c r="D225" s="33"/>
      <c r="E225" s="24" t="str">
        <f>IF(B225="","",IF(A225=0,"NO HAY ESE CODIGO",IF(COUNTIF(ASIGNACIONES!$B$3:$B949,B225)=1,"DOTACION ASIGNADA",IF(C225="VISITAS","DOTACION VISITA",IF(C225="MTTO","DOTACION MTTO",IF(C225="PLANTA EMERGENCIA","DOTACION RES DE EMERGENCIA",IF(C225="EXTERNOS","DOTACION DE EXTERNO","DOTACION DISPONIBLE")))))))</f>
        <v/>
      </c>
      <c r="F225" s="24"/>
    </row>
    <row r="226">
      <c r="A226" s="58"/>
      <c r="B226" s="22"/>
      <c r="C226" s="25"/>
      <c r="D226" s="33"/>
      <c r="E226" s="24" t="str">
        <f>IF(B226="","",IF(A226=0,"NO HAY ESE CODIGO",IF(COUNTIF(ASIGNACIONES!$B$3:$B949,B226)=1,"DOTACION ASIGNADA",IF(C226="VISITAS","DOTACION VISITA",IF(C226="MTTO","DOTACION MTTO",IF(C226="PLANTA EMERGENCIA","DOTACION RES DE EMERGENCIA",IF(C226="EXTERNOS","DOTACION DE EXTERNO","DOTACION DISPONIBLE")))))))</f>
        <v/>
      </c>
      <c r="F226" s="24"/>
    </row>
    <row r="227">
      <c r="A227" s="58"/>
      <c r="B227" s="22"/>
      <c r="C227" s="25"/>
      <c r="D227" s="33"/>
      <c r="E227" s="24" t="str">
        <f>IF(B227="","",IF(A227=0,"NO HAY ESE CODIGO",IF(COUNTIF(ASIGNACIONES!$B$3:$B949,B227)=1,"DOTACION ASIGNADA",IF(C227="VISITAS","DOTACION VISITA",IF(C227="MTTO","DOTACION MTTO",IF(C227="PLANTA EMERGENCIA","DOTACION RES DE EMERGENCIA",IF(C227="EXTERNOS","DOTACION DE EXTERNO","DOTACION DISPONIBLE")))))))</f>
        <v/>
      </c>
      <c r="F227" s="24"/>
    </row>
    <row r="228">
      <c r="A228" s="58"/>
      <c r="B228" s="22"/>
      <c r="C228" s="25"/>
      <c r="D228" s="33"/>
      <c r="E228" s="24" t="str">
        <f>IF(B228="","",IF(A228=0,"NO HAY ESE CODIGO",IF(COUNTIF(ASIGNACIONES!$B$3:$B949,B228)=1,"DOTACION ASIGNADA",IF(C228="VISITAS","DOTACION VISITA",IF(C228="MTTO","DOTACION MTTO",IF(C228="PLANTA EMERGENCIA","DOTACION RES DE EMERGENCIA",IF(C228="EXTERNOS","DOTACION DE EXTERNO","DOTACION DISPONIBLE")))))))</f>
        <v/>
      </c>
      <c r="F228" s="24"/>
    </row>
    <row r="229">
      <c r="A229" s="58"/>
      <c r="B229" s="22"/>
      <c r="C229" s="25"/>
      <c r="D229" s="33"/>
      <c r="E229" s="24" t="str">
        <f>IF(B229="","",IF(A229=0,"NO HAY ESE CODIGO",IF(COUNTIF(ASIGNACIONES!$B$3:$B949,B229)=1,"DOTACION ASIGNADA",IF(C229="VISITAS","DOTACION VISITA",IF(C229="MTTO","DOTACION MTTO",IF(C229="PLANTA EMERGENCIA","DOTACION RES DE EMERGENCIA",IF(C229="EXTERNOS","DOTACION DE EXTERNO","DOTACION DISPONIBLE")))))))</f>
        <v/>
      </c>
      <c r="F229" s="24"/>
    </row>
    <row r="230">
      <c r="A230" s="58"/>
      <c r="B230" s="22"/>
      <c r="C230" s="25"/>
      <c r="D230" s="33"/>
      <c r="E230" s="24" t="str">
        <f>IF(B230="","",IF(A230=0,"NO HAY ESE CODIGO",IF(COUNTIF(ASIGNACIONES!$B$3:$B949,B230)=1,"DOTACION ASIGNADA",IF(C230="VISITAS","DOTACION VISITA",IF(C230="MTTO","DOTACION MTTO",IF(C230="PLANTA EMERGENCIA","DOTACION RES DE EMERGENCIA",IF(C230="EXTERNOS","DOTACION DE EXTERNO","DOTACION DISPONIBLE")))))))</f>
        <v/>
      </c>
      <c r="F230" s="24"/>
    </row>
    <row r="231">
      <c r="A231" s="58"/>
      <c r="B231" s="22"/>
      <c r="C231" s="25"/>
      <c r="D231" s="33"/>
      <c r="E231" s="24" t="str">
        <f>IF(B231="","",IF(A231=0,"NO HAY ESE CODIGO",IF(COUNTIF(ASIGNACIONES!$B$3:$B949,B231)=1,"DOTACION ASIGNADA",IF(C231="VISITAS","DOTACION VISITA",IF(C231="MTTO","DOTACION MTTO",IF(C231="PLANTA EMERGENCIA","DOTACION RES DE EMERGENCIA",IF(C231="EXTERNOS","DOTACION DE EXTERNO","DOTACION DISPONIBLE")))))))</f>
        <v/>
      </c>
      <c r="F231" s="24"/>
    </row>
    <row r="232">
      <c r="A232" s="58"/>
      <c r="B232" s="22"/>
      <c r="C232" s="25"/>
      <c r="D232" s="33"/>
      <c r="E232" s="24" t="str">
        <f>IF(B232="","",IF(A232=0,"NO HAY ESE CODIGO",IF(COUNTIF(ASIGNACIONES!$B$3:$B949,B232)=1,"DOTACION ASIGNADA",IF(C232="VISITAS","DOTACION VISITA",IF(C232="MTTO","DOTACION MTTO",IF(C232="PLANTA EMERGENCIA","DOTACION RES DE EMERGENCIA",IF(C232="EXTERNOS","DOTACION DE EXTERNO","DOTACION DISPONIBLE")))))))</f>
        <v/>
      </c>
      <c r="F232" s="24"/>
    </row>
    <row r="233">
      <c r="A233" s="58"/>
      <c r="B233" s="22"/>
      <c r="C233" s="25"/>
      <c r="D233" s="33"/>
      <c r="E233" s="24" t="str">
        <f>IF(B233="","",IF(A233=0,"NO HAY ESE CODIGO",IF(COUNTIF(ASIGNACIONES!$B$3:$B949,B233)=1,"DOTACION ASIGNADA",IF(C233="VISITAS","DOTACION VISITA",IF(C233="MTTO","DOTACION MTTO",IF(C233="PLANTA EMERGENCIA","DOTACION RES DE EMERGENCIA",IF(C233="EXTERNOS","DOTACION DE EXTERNO","DOTACION DISPONIBLE")))))))</f>
        <v/>
      </c>
      <c r="F233" s="24"/>
    </row>
    <row r="234">
      <c r="A234" s="58"/>
      <c r="B234" s="22"/>
      <c r="C234" s="25"/>
      <c r="D234" s="33"/>
      <c r="E234" s="24" t="str">
        <f>IF(B234="","",IF(A234=0,"NO HAY ESE CODIGO",IF(COUNTIF(ASIGNACIONES!$B$3:$B949,B234)=1,"DOTACION ASIGNADA",IF(C234="VISITAS","DOTACION VISITA",IF(C234="MTTO","DOTACION MTTO",IF(C234="PLANTA EMERGENCIA","DOTACION RES DE EMERGENCIA",IF(C234="EXTERNOS","DOTACION DE EXTERNO","DOTACION DISPONIBLE")))))))</f>
        <v/>
      </c>
      <c r="F234" s="24"/>
    </row>
    <row r="235">
      <c r="A235" s="58"/>
      <c r="B235" s="22"/>
      <c r="C235" s="25"/>
      <c r="D235" s="33"/>
      <c r="E235" s="24" t="str">
        <f>IF(B235="","",IF(A235=0,"NO HAY ESE CODIGO",IF(COUNTIF(ASIGNACIONES!$B$3:$B949,B235)=1,"DOTACION ASIGNADA",IF(C235="VISITAS","DOTACION VISITA",IF(C235="MTTO","DOTACION MTTO",IF(C235="PLANTA EMERGENCIA","DOTACION RES DE EMERGENCIA",IF(C235="EXTERNOS","DOTACION DE EXTERNO","DOTACION DISPONIBLE")))))))</f>
        <v/>
      </c>
      <c r="F235" s="24"/>
    </row>
    <row r="236">
      <c r="A236" s="58"/>
      <c r="B236" s="22"/>
      <c r="C236" s="25"/>
      <c r="D236" s="33"/>
      <c r="E236" s="24" t="str">
        <f>IF(B236="","",IF(A236=0,"NO HAY ESE CODIGO",IF(COUNTIF(ASIGNACIONES!$B$3:$B949,B236)=1,"DOTACION ASIGNADA",IF(C236="VISITAS","DOTACION VISITA",IF(C236="MTTO","DOTACION MTTO",IF(C236="PLANTA EMERGENCIA","DOTACION RES DE EMERGENCIA",IF(C236="EXTERNOS","DOTACION DE EXTERNO","DOTACION DISPONIBLE")))))))</f>
        <v/>
      </c>
      <c r="F236" s="24"/>
    </row>
    <row r="237">
      <c r="A237" s="58"/>
      <c r="B237" s="22"/>
      <c r="C237" s="25"/>
      <c r="D237" s="33"/>
      <c r="E237" s="24" t="str">
        <f>IF(B237="","",IF(A237=0,"NO HAY ESE CODIGO",IF(COUNTIF(ASIGNACIONES!$B$3:$B949,B237)=1,"DOTACION ASIGNADA",IF(C237="VISITAS","DOTACION VISITA",IF(C237="MTTO","DOTACION MTTO",IF(C237="PLANTA EMERGENCIA","DOTACION RES DE EMERGENCIA",IF(C237="EXTERNOS","DOTACION DE EXTERNO","DOTACION DISPONIBLE")))))))</f>
        <v/>
      </c>
      <c r="F237" s="24"/>
    </row>
    <row r="238">
      <c r="A238" s="58"/>
      <c r="B238" s="22"/>
      <c r="C238" s="61"/>
      <c r="D238" s="33"/>
      <c r="E238" s="24" t="str">
        <f>IF(B238="","",IF(A238=0,"NO HAY ESE CODIGO",IF(COUNTIF(ASIGNACIONES!$B$3:$B949,B238)=1,"DOTACION ASIGNADA",IF(C238="VISITAS","DOTACION VISITA",IF(C238="MTTO","DOTACION MTTO",IF(C238="PLANTA EMERGENCIA","DOTACION RES DE EMERGENCIA",IF(C238="EXTERNOS","DOTACION DE EXTERNO","DOTACION DISPONIBLE")))))))</f>
        <v/>
      </c>
      <c r="F238" s="24"/>
    </row>
    <row r="239">
      <c r="A239" s="58"/>
      <c r="B239" s="22"/>
      <c r="C239" s="25"/>
      <c r="D239" s="33"/>
      <c r="E239" s="24" t="str">
        <f>IF(B239="","",IF(A239=0,"NO HAY ESE CODIGO",IF(COUNTIF(ASIGNACIONES!$B$3:$B949,B239)=1,"DOTACION ASIGNADA",IF(C239="VISITAS","DOTACION VISITA",IF(C239="MTTO","DOTACION MTTO",IF(C239="PLANTA EMERGENCIA","DOTACION RES DE EMERGENCIA",IF(C239="EXTERNOS","DOTACION DE EXTERNO","DOTACION DISPONIBLE")))))))</f>
        <v/>
      </c>
      <c r="F239" s="24"/>
    </row>
    <row r="240">
      <c r="A240" s="58"/>
      <c r="B240" s="22"/>
      <c r="C240" s="25"/>
      <c r="D240" s="33"/>
      <c r="E240" s="24" t="str">
        <f>IF(B240="","",IF(A240=0,"NO HAY ESE CODIGO",IF(COUNTIF(ASIGNACIONES!$B$3:$B949,B240)=1,"DOTACION ASIGNADA",IF(C240="VISITAS","DOTACION VISITA",IF(C240="MTTO","DOTACION MTTO",IF(C240="PLANTA EMERGENCIA","DOTACION RES DE EMERGENCIA",IF(C240="EXTERNOS","DOTACION DE EXTERNO","DOTACION DISPONIBLE")))))))</f>
        <v/>
      </c>
      <c r="F240" s="24"/>
    </row>
    <row r="241">
      <c r="A241" s="58"/>
      <c r="B241" s="22"/>
      <c r="C241" s="25"/>
      <c r="D241" s="33"/>
      <c r="E241" s="24" t="str">
        <f>IF(B241="","",IF(A241=0,"NO HAY ESE CODIGO",IF(COUNTIF(ASIGNACIONES!$B$3:$B949,B241)=1,"DOTACION ASIGNADA",IF(C241="VISITAS","DOTACION VISITA",IF(C241="MTTO","DOTACION MTTO",IF(C241="PLANTA EMERGENCIA","DOTACION RES DE EMERGENCIA",IF(C241="EXTERNOS","DOTACION DE EXTERNO","DOTACION DISPONIBLE")))))))</f>
        <v/>
      </c>
      <c r="F241" s="24"/>
    </row>
    <row r="242">
      <c r="A242" s="58"/>
      <c r="B242" s="22"/>
      <c r="C242" s="25"/>
      <c r="D242" s="33"/>
      <c r="E242" s="24" t="str">
        <f>IF(B242="","",IF(A242=0,"NO HAY ESE CODIGO",IF(COUNTIF(ASIGNACIONES!$B$3:$B949,B242)=1,"DOTACION ASIGNADA",IF(C242="VISITAS","DOTACION VISITA",IF(C242="MTTO","DOTACION MTTO",IF(C242="PLANTA EMERGENCIA","DOTACION RES DE EMERGENCIA",IF(C242="EXTERNOS","DOTACION DE EXTERNO","DOTACION DISPONIBLE")))))))</f>
        <v/>
      </c>
      <c r="F242" s="24"/>
    </row>
    <row r="243">
      <c r="A243" s="58"/>
      <c r="B243" s="22"/>
      <c r="C243" s="25"/>
      <c r="D243" s="33"/>
      <c r="E243" s="24" t="str">
        <f>IF(B243="","",IF(A243=0,"NO HAY ESE CODIGO",IF(COUNTIF(ASIGNACIONES!$B$3:$B949,B243)=1,"DOTACION ASIGNADA",IF(C243="VISITAS","DOTACION VISITA",IF(C243="MTTO","DOTACION MTTO",IF(C243="PLANTA EMERGENCIA","DOTACION RES DE EMERGENCIA",IF(C243="EXTERNOS","DOTACION DE EXTERNO","DOTACION DISPONIBLE")))))))</f>
        <v/>
      </c>
      <c r="F243" s="24"/>
    </row>
    <row r="244">
      <c r="A244" s="58"/>
      <c r="B244" s="22"/>
      <c r="C244" s="25"/>
      <c r="D244" s="33"/>
      <c r="E244" s="24" t="str">
        <f>IF(B244="","",IF(A244=0,"NO HAY ESE CODIGO",IF(COUNTIF(ASIGNACIONES!$B$3:$B949,B244)=1,"DOTACION ASIGNADA",IF(C244="VISITAS","DOTACION VISITA",IF(C244="MTTO","DOTACION MTTO",IF(C244="PLANTA EMERGENCIA","DOTACION RES DE EMERGENCIA",IF(C244="EXTERNOS","DOTACION DE EXTERNO","DOTACION DISPONIBLE")))))))</f>
        <v/>
      </c>
      <c r="F244" s="24"/>
    </row>
    <row r="245">
      <c r="A245" s="58"/>
      <c r="B245" s="22"/>
      <c r="C245" s="25"/>
      <c r="D245" s="33"/>
      <c r="E245" s="24" t="str">
        <f>IF(B245="","",IF(A245=0,"NO HAY ESE CODIGO",IF(COUNTIF(ASIGNACIONES!$B$3:$B949,B245)=1,"DOTACION ASIGNADA",IF(C245="VISITAS","DOTACION VISITA",IF(C245="MTTO","DOTACION MTTO",IF(C245="PLANTA EMERGENCIA","DOTACION RES DE EMERGENCIA",IF(C245="EXTERNOS","DOTACION DE EXTERNO","DOTACION DISPONIBLE")))))))</f>
        <v/>
      </c>
      <c r="F245" s="24"/>
    </row>
    <row r="246">
      <c r="A246" s="58"/>
      <c r="B246" s="22"/>
      <c r="C246" s="25"/>
      <c r="D246" s="33"/>
      <c r="E246" s="24" t="str">
        <f>IF(B246="","",IF(A246=0,"NO HAY ESE CODIGO",IF(COUNTIF(ASIGNACIONES!$B$3:$B949,B246)=1,"DOTACION ASIGNADA",IF(C246="VISITAS","DOTACION VISITA",IF(C246="MTTO","DOTACION MTTO",IF(C246="PLANTA EMERGENCIA","DOTACION RES DE EMERGENCIA",IF(C246="EXTERNOS","DOTACION DE EXTERNO","DOTACION DISPONIBLE")))))))</f>
        <v/>
      </c>
      <c r="F246" s="24"/>
    </row>
    <row r="247">
      <c r="A247" s="58"/>
      <c r="B247" s="22"/>
      <c r="C247" s="25"/>
      <c r="D247" s="33"/>
      <c r="E247" s="24" t="str">
        <f>IF(B247="","",IF(A247=0,"NO HAY ESE CODIGO",IF(COUNTIF(ASIGNACIONES!$B$3:$B949,B247)=1,"DOTACION ASIGNADA",IF(C247="VISITAS","DOTACION VISITA",IF(C247="MTTO","DOTACION MTTO",IF(C247="PLANTA EMERGENCIA","DOTACION RES DE EMERGENCIA",IF(C247="EXTERNOS","DOTACION DE EXTERNO","DOTACION DISPONIBLE")))))))</f>
        <v/>
      </c>
      <c r="F247" s="24"/>
    </row>
    <row r="248">
      <c r="A248" s="58"/>
      <c r="B248" s="22"/>
      <c r="C248" s="25"/>
      <c r="D248" s="33"/>
      <c r="E248" s="24" t="str">
        <f>IF(B248="","",IF(A248=0,"NO HAY ESE CODIGO",IF(COUNTIF(ASIGNACIONES!$B$3:$B949,B248)=1,"DOTACION ASIGNADA",IF(C248="VISITAS","DOTACION VISITA",IF(C248="MTTO","DOTACION MTTO",IF(C248="PLANTA EMERGENCIA","DOTACION RES DE EMERGENCIA",IF(C248="EXTERNOS","DOTACION DE EXTERNO","DOTACION DISPONIBLE")))))))</f>
        <v/>
      </c>
      <c r="F248" s="24"/>
    </row>
    <row r="249">
      <c r="A249" s="58"/>
      <c r="B249" s="22"/>
      <c r="C249" s="25"/>
      <c r="D249" s="33"/>
      <c r="E249" s="24" t="str">
        <f>IF(B249="","",IF(A249=0,"NO HAY ESE CODIGO",IF(COUNTIF(ASIGNACIONES!$B$3:$B949,B249)=1,"DOTACION ASIGNADA",IF(C249="VISITAS","DOTACION VISITA",IF(C249="MTTO","DOTACION MTTO",IF(C249="PLANTA EMERGENCIA","DOTACION RES DE EMERGENCIA",IF(C249="EXTERNOS","DOTACION DE EXTERNO","DOTACION DISPONIBLE")))))))</f>
        <v/>
      </c>
      <c r="F249" s="24"/>
    </row>
    <row r="250">
      <c r="A250" s="58"/>
      <c r="B250" s="22"/>
      <c r="C250" s="25"/>
      <c r="D250" s="33"/>
      <c r="E250" s="24" t="str">
        <f>IF(B250="","",IF(A250=0,"NO HAY ESE CODIGO",IF(COUNTIF(ASIGNACIONES!$B$3:$B949,B250)=1,"DOTACION ASIGNADA",IF(C250="VISITAS","DOTACION VISITA",IF(C250="MTTO","DOTACION MTTO",IF(C250="PLANTA EMERGENCIA","DOTACION RES DE EMERGENCIA",IF(C250="EXTERNOS","DOTACION DE EXTERNO","DOTACION DISPONIBLE")))))))</f>
        <v/>
      </c>
      <c r="F250" s="24"/>
    </row>
    <row r="251">
      <c r="A251" s="58"/>
      <c r="B251" s="22"/>
      <c r="C251" s="25"/>
      <c r="D251" s="33"/>
      <c r="E251" s="24" t="str">
        <f>IF(B251="","",IF(A251=0,"NO HAY ESE CODIGO",IF(COUNTIF(ASIGNACIONES!$B$3:$B949,B251)=1,"DOTACION ASIGNADA",IF(C251="VISITAS","DOTACION VISITA",IF(C251="MTTO","DOTACION MTTO",IF(C251="PLANTA EMERGENCIA","DOTACION RES DE EMERGENCIA",IF(C251="EXTERNOS","DOTACION DE EXTERNO","DOTACION DISPONIBLE")))))))</f>
        <v/>
      </c>
      <c r="F251" s="24"/>
    </row>
    <row r="252">
      <c r="A252" s="58"/>
      <c r="B252" s="22"/>
      <c r="C252" s="25"/>
      <c r="D252" s="33"/>
      <c r="E252" s="24" t="str">
        <f>IF(B252="","",IF(A252=0,"NO HAY ESE CODIGO",IF(COUNTIF(ASIGNACIONES!$B$3:$B949,B252)=1,"DOTACION ASIGNADA",IF(C252="VISITAS","DOTACION VISITA",IF(C252="MTTO","DOTACION MTTO",IF(C252="PLANTA EMERGENCIA","DOTACION RES DE EMERGENCIA",IF(C252="EXTERNOS","DOTACION DE EXTERNO","DOTACION DISPONIBLE")))))))</f>
        <v/>
      </c>
      <c r="F252" s="24"/>
    </row>
    <row r="253">
      <c r="A253" s="58"/>
      <c r="B253" s="22"/>
      <c r="C253" s="25"/>
      <c r="D253" s="33"/>
      <c r="E253" s="24" t="str">
        <f>IF(B253="","",IF(A253=0,"NO HAY ESE CODIGO",IF(COUNTIF(ASIGNACIONES!$B$3:$B949,B253)=1,"DOTACION ASIGNADA",IF(C253="VISITAS","DOTACION VISITA",IF(C253="MTTO","DOTACION MTTO",IF(C253="PLANTA EMERGENCIA","DOTACION RES DE EMERGENCIA",IF(C253="EXTERNOS","DOTACION DE EXTERNO","DOTACION DISPONIBLE")))))))</f>
        <v/>
      </c>
      <c r="F253" s="24"/>
    </row>
    <row r="254">
      <c r="A254" s="58"/>
      <c r="B254" s="22"/>
      <c r="C254" s="25"/>
      <c r="D254" s="33"/>
      <c r="E254" s="24" t="str">
        <f>IF(B254="","",IF(A254=0,"NO HAY ESE CODIGO",IF(COUNTIF(ASIGNACIONES!$B$3:$B949,B254)=1,"DOTACION ASIGNADA",IF(C254="VISITAS","DOTACION VISITA",IF(C254="MTTO","DOTACION MTTO",IF(C254="PLANTA EMERGENCIA","DOTACION RES DE EMERGENCIA",IF(C254="EXTERNOS","DOTACION DE EXTERNO","DOTACION DISPONIBLE")))))))</f>
        <v/>
      </c>
      <c r="F254" s="24"/>
    </row>
    <row r="255">
      <c r="A255" s="58"/>
      <c r="B255" s="22"/>
      <c r="C255" s="25"/>
      <c r="D255" s="33"/>
      <c r="E255" s="24" t="str">
        <f>IF(B255="","",IF(A255=0,"NO HAY ESE CODIGO",IF(COUNTIF(ASIGNACIONES!$B$3:$B949,B255)=1,"DOTACION ASIGNADA",IF(C255="VISITAS","DOTACION VISITA",IF(C255="MTTO","DOTACION MTTO",IF(C255="PLANTA EMERGENCIA","DOTACION RES DE EMERGENCIA",IF(C255="EXTERNOS","DOTACION DE EXTERNO","DOTACION DISPONIBLE")))))))</f>
        <v/>
      </c>
      <c r="F255" s="24"/>
    </row>
    <row r="256">
      <c r="A256" s="58"/>
      <c r="B256" s="22"/>
      <c r="C256" s="25"/>
      <c r="D256" s="33"/>
      <c r="E256" s="24" t="str">
        <f>IF(B256="","",IF(A256=0,"NO HAY ESE CODIGO",IF(COUNTIF(ASIGNACIONES!$B$3:$B949,B256)=1,"DOTACION ASIGNADA",IF(C256="VISITAS","DOTACION VISITA",IF(C256="MTTO","DOTACION MTTO",IF(C256="PLANTA EMERGENCIA","DOTACION RES DE EMERGENCIA",IF(C256="EXTERNOS","DOTACION DE EXTERNO","DOTACION DISPONIBLE")))))))</f>
        <v/>
      </c>
      <c r="F256" s="24"/>
    </row>
    <row r="257">
      <c r="A257" s="58"/>
      <c r="B257" s="22"/>
      <c r="C257" s="25"/>
      <c r="D257" s="33"/>
      <c r="E257" s="24" t="str">
        <f>IF(B257="","",IF(A257=0,"NO HAY ESE CODIGO",IF(COUNTIF(ASIGNACIONES!$B$3:$B949,B257)=1,"DOTACION ASIGNADA",IF(C257="VISITAS","DOTACION VISITA",IF(C257="MTTO","DOTACION MTTO",IF(C257="PLANTA EMERGENCIA","DOTACION RES DE EMERGENCIA",IF(C257="EXTERNOS","DOTACION DE EXTERNO","DOTACION DISPONIBLE")))))))</f>
        <v/>
      </c>
      <c r="F257" s="24"/>
    </row>
    <row r="258">
      <c r="A258" s="58"/>
      <c r="B258" s="22"/>
      <c r="C258" s="25"/>
      <c r="D258" s="33"/>
      <c r="E258" s="24" t="str">
        <f>IF(B258="","",IF(A258=0,"NO HAY ESE CODIGO",IF(COUNTIF(ASIGNACIONES!$B$3:$B949,B258)=1,"DOTACION ASIGNADA",IF(C258="VISITAS","DOTACION VISITA",IF(C258="MTTO","DOTACION MTTO",IF(C258="PLANTA EMERGENCIA","DOTACION RES DE EMERGENCIA",IF(C258="EXTERNOS","DOTACION DE EXTERNO","DOTACION DISPONIBLE")))))))</f>
        <v/>
      </c>
      <c r="F258" s="24"/>
    </row>
    <row r="259">
      <c r="A259" s="58"/>
      <c r="B259" s="22"/>
      <c r="C259" s="25"/>
      <c r="D259" s="33"/>
      <c r="E259" s="24" t="str">
        <f>IF(B259="","",IF(A259=0,"NO HAY ESE CODIGO",IF(COUNTIF(ASIGNACIONES!$B$3:$B949,B259)=1,"DOTACION ASIGNADA",IF(C259="VISITAS","DOTACION VISITA",IF(C259="MTTO","DOTACION MTTO",IF(C259="PLANTA EMERGENCIA","DOTACION RES DE EMERGENCIA",IF(C259="EXTERNOS","DOTACION DE EXTERNO","DOTACION DISPONIBLE")))))))</f>
        <v/>
      </c>
      <c r="F259" s="24"/>
    </row>
    <row r="260">
      <c r="A260" s="58"/>
      <c r="B260" s="22"/>
      <c r="C260" s="25"/>
      <c r="D260" s="33"/>
      <c r="E260" s="24" t="str">
        <f>IF(B260="","",IF(A260=0,"NO HAY ESE CODIGO",IF(COUNTIF(ASIGNACIONES!$B$3:$B949,B260)=1,"DOTACION ASIGNADA",IF(C260="VISITAS","DOTACION VISITA",IF(C260="MTTO","DOTACION MTTO",IF(C260="PLANTA EMERGENCIA","DOTACION RES DE EMERGENCIA",IF(C260="EXTERNOS","DOTACION DE EXTERNO","DOTACION DISPONIBLE")))))))</f>
        <v/>
      </c>
      <c r="F260" s="24"/>
    </row>
    <row r="261">
      <c r="A261" s="58"/>
      <c r="B261" s="22"/>
      <c r="C261" s="25"/>
      <c r="D261" s="33"/>
      <c r="E261" s="24" t="str">
        <f>IF(B261="","",IF(A261=0,"NO HAY ESE CODIGO",IF(COUNTIF(ASIGNACIONES!$B$3:$B949,B261)=1,"DOTACION ASIGNADA",IF(C261="VISITAS","DOTACION VISITA",IF(C261="MTTO","DOTACION MTTO",IF(C261="PLANTA EMERGENCIA","DOTACION RES DE EMERGENCIA",IF(C261="EXTERNOS","DOTACION DE EXTERNO","DOTACION DISPONIBLE")))))))</f>
        <v/>
      </c>
      <c r="F261" s="24"/>
    </row>
    <row r="262">
      <c r="A262" s="58"/>
      <c r="B262" s="22"/>
      <c r="C262" s="25"/>
      <c r="D262" s="33"/>
      <c r="E262" s="24" t="str">
        <f>IF(B262="","",IF(A262=0,"NO HAY ESE CODIGO",IF(COUNTIF(ASIGNACIONES!$B$3:$B949,B262)=1,"DOTACION ASIGNADA",IF(C262="VISITAS","DOTACION VISITA",IF(C262="MTTO","DOTACION MTTO",IF(C262="PLANTA EMERGENCIA","DOTACION RES DE EMERGENCIA",IF(C262="EXTERNOS","DOTACION DE EXTERNO","DOTACION DISPONIBLE")))))))</f>
        <v/>
      </c>
      <c r="F262" s="24"/>
    </row>
    <row r="263">
      <c r="A263" s="58"/>
      <c r="B263" s="22"/>
      <c r="C263" s="25"/>
      <c r="D263" s="33"/>
      <c r="E263" s="24" t="str">
        <f>IF(B263="","",IF(A263=0,"NO HAY ESE CODIGO",IF(COUNTIF(ASIGNACIONES!$B$3:$B949,B263)=1,"DOTACION ASIGNADA",IF(C263="VISITAS","DOTACION VISITA",IF(C263="MTTO","DOTACION MTTO",IF(C263="PLANTA EMERGENCIA","DOTACION RES DE EMERGENCIA",IF(C263="EXTERNOS","DOTACION DE EXTERNO","DOTACION DISPONIBLE")))))))</f>
        <v/>
      </c>
      <c r="F263" s="24"/>
    </row>
    <row r="264">
      <c r="A264" s="58"/>
      <c r="B264" s="22"/>
      <c r="C264" s="25"/>
      <c r="D264" s="33"/>
      <c r="E264" s="24" t="str">
        <f>IF(B264="","",IF(A264=0,"NO HAY ESE CODIGO",IF(COUNTIF(ASIGNACIONES!$B$3:$B949,B264)=1,"DOTACION ASIGNADA",IF(C264="VISITAS","DOTACION VISITA",IF(C264="MTTO","DOTACION MTTO",IF(C264="PLANTA EMERGENCIA","DOTACION RES DE EMERGENCIA",IF(C264="EXTERNOS","DOTACION DE EXTERNO","DOTACION DISPONIBLE")))))))</f>
        <v/>
      </c>
      <c r="F264" s="24"/>
    </row>
    <row r="265">
      <c r="A265" s="58"/>
      <c r="B265" s="22"/>
      <c r="C265" s="25"/>
      <c r="D265" s="33"/>
      <c r="E265" s="24" t="str">
        <f>IF(B265="","",IF(A265=0,"NO HAY ESE CODIGO",IF(COUNTIF(ASIGNACIONES!$B$3:$B949,B265)=1,"DOTACION ASIGNADA",IF(C265="VISITAS","DOTACION VISITA",IF(C265="MTTO","DOTACION MTTO",IF(C265="PLANTA EMERGENCIA","DOTACION RES DE EMERGENCIA",IF(C265="EXTERNOS","DOTACION DE EXTERNO","DOTACION DISPONIBLE")))))))</f>
        <v/>
      </c>
      <c r="F265" s="24"/>
    </row>
    <row r="266">
      <c r="A266" s="58"/>
      <c r="B266" s="22"/>
      <c r="C266" s="25"/>
      <c r="D266" s="33"/>
      <c r="E266" s="24" t="str">
        <f>IF(B266="","",IF(A266=0,"NO HAY ESE CODIGO",IF(COUNTIF(ASIGNACIONES!$B$3:$B949,B266)=1,"DOTACION ASIGNADA",IF(C266="VISITAS","DOTACION VISITA",IF(C266="MTTO","DOTACION MTTO",IF(C266="PLANTA EMERGENCIA","DOTACION RES DE EMERGENCIA",IF(C266="EXTERNOS","DOTACION DE EXTERNO","DOTACION DISPONIBLE")))))))</f>
        <v/>
      </c>
      <c r="F266" s="24"/>
    </row>
    <row r="267">
      <c r="A267" s="58"/>
      <c r="B267" s="22"/>
      <c r="C267" s="25"/>
      <c r="D267" s="33"/>
      <c r="E267" s="24" t="str">
        <f>IF(B267="","",IF(A267=0,"NO HAY ESE CODIGO",IF(COUNTIF(ASIGNACIONES!$B$3:$B949,B267)=1,"DOTACION ASIGNADA",IF(C267="VISITAS","DOTACION VISITA",IF(C267="MTTO","DOTACION MTTO",IF(C267="PLANTA EMERGENCIA","DOTACION RES DE EMERGENCIA",IF(C267="EXTERNOS","DOTACION DE EXTERNO","DOTACION DISPONIBLE")))))))</f>
        <v/>
      </c>
      <c r="F267" s="24"/>
    </row>
    <row r="268">
      <c r="A268" s="58"/>
      <c r="B268" s="22"/>
      <c r="C268" s="25"/>
      <c r="D268" s="33"/>
      <c r="E268" s="24" t="str">
        <f>IF(B268="","",IF(A268=0,"NO HAY ESE CODIGO",IF(COUNTIF(ASIGNACIONES!$B$3:$B949,B268)=1,"DOTACION ASIGNADA",IF(C268="VISITAS","DOTACION VISITA",IF(C268="MTTO","DOTACION MTTO",IF(C268="PLANTA EMERGENCIA","DOTACION RES DE EMERGENCIA",IF(C268="EXTERNOS","DOTACION DE EXTERNO","DOTACION DISPONIBLE")))))))</f>
        <v/>
      </c>
      <c r="F268" s="24"/>
    </row>
    <row r="269">
      <c r="A269" s="58"/>
      <c r="B269" s="22"/>
      <c r="C269" s="25"/>
      <c r="D269" s="33"/>
      <c r="E269" s="24" t="str">
        <f>IF(B269="","",IF(A269=0,"NO HAY ESE CODIGO",IF(COUNTIF(ASIGNACIONES!$B$3:$B949,B269)=1,"DOTACION ASIGNADA",IF(C269="VISITAS","DOTACION VISITA",IF(C269="MTTO","DOTACION MTTO",IF(C269="PLANTA EMERGENCIA","DOTACION RES DE EMERGENCIA",IF(C269="EXTERNOS","DOTACION DE EXTERNO","DOTACION DISPONIBLE")))))))</f>
        <v/>
      </c>
      <c r="F269" s="24"/>
    </row>
    <row r="270">
      <c r="A270" s="58"/>
      <c r="B270" s="22"/>
      <c r="C270" s="25"/>
      <c r="D270" s="33"/>
      <c r="E270" s="24" t="str">
        <f>IF(B270="","",IF(A270=0,"NO HAY ESE CODIGO",IF(COUNTIF(ASIGNACIONES!$B$3:$B949,B270)=1,"DOTACION ASIGNADA",IF(C270="VISITAS","DOTACION VISITA",IF(C270="MTTO","DOTACION MTTO",IF(C270="PLANTA EMERGENCIA","DOTACION RES DE EMERGENCIA",IF(C270="EXTERNOS","DOTACION DE EXTERNO","DOTACION DISPONIBLE")))))))</f>
        <v/>
      </c>
      <c r="F270" s="24"/>
    </row>
    <row r="271">
      <c r="A271" s="58"/>
      <c r="B271" s="22"/>
      <c r="C271" s="25"/>
      <c r="D271" s="33"/>
      <c r="E271" s="24" t="str">
        <f>IF(B271="","",IF(A271=0,"NO HAY ESE CODIGO",IF(COUNTIF(ASIGNACIONES!$B$3:$B949,B271)=1,"DOTACION ASIGNADA",IF(C271="VISITAS","DOTACION VISITA",IF(C271="MTTO","DOTACION MTTO",IF(C271="PLANTA EMERGENCIA","DOTACION RES DE EMERGENCIA",IF(C271="EXTERNOS","DOTACION DE EXTERNO","DOTACION DISPONIBLE")))))))</f>
        <v/>
      </c>
      <c r="F271" s="24"/>
    </row>
    <row r="272">
      <c r="A272" s="58"/>
      <c r="B272" s="22"/>
      <c r="C272" s="61"/>
      <c r="D272" s="33"/>
      <c r="E272" s="24" t="str">
        <f>IF(B272="","",IF(A272=0,"NO HAY ESE CODIGO",IF(COUNTIF(ASIGNACIONES!$B$3:$B949,B272)=1,"DOTACION ASIGNADA",IF(C272="VISITAS","DOTACION VISITA",IF(C272="MTTO","DOTACION MTTO",IF(C272="PLANTA EMERGENCIA","DOTACION RES DE EMERGENCIA",IF(C272="EXTERNOS","DOTACION DE EXTERNO","DOTACION DISPONIBLE")))))))</f>
        <v/>
      </c>
      <c r="F272" s="24"/>
    </row>
    <row r="273">
      <c r="A273" s="58"/>
      <c r="B273" s="22"/>
      <c r="C273" s="25"/>
      <c r="D273" s="33"/>
      <c r="E273" s="24" t="str">
        <f>IF(B273="","",IF(A273=0,"NO HAY ESE CODIGO",IF(COUNTIF(ASIGNACIONES!$B$3:$B949,B273)=1,"DOTACION ASIGNADA",IF(C273="VISITAS","DOTACION VISITA",IF(C273="MTTO","DOTACION MTTO",IF(C273="PLANTA EMERGENCIA","DOTACION RES DE EMERGENCIA",IF(C273="EXTERNOS","DOTACION DE EXTERNO","DOTACION DISPONIBLE")))))))</f>
        <v/>
      </c>
      <c r="F273" s="24"/>
    </row>
    <row r="274">
      <c r="A274" s="58"/>
      <c r="B274" s="22"/>
      <c r="C274" s="25"/>
      <c r="D274" s="33"/>
      <c r="E274" s="24" t="str">
        <f>IF(B274="","",IF(A274=0,"NO HAY ESE CODIGO",IF(COUNTIF(ASIGNACIONES!$B$3:$B949,B274)=1,"DOTACION ASIGNADA",IF(C274="VISITAS","DOTACION VISITA",IF(C274="MTTO","DOTACION MTTO",IF(C274="PLANTA EMERGENCIA","DOTACION RES DE EMERGENCIA",IF(C274="EXTERNOS","DOTACION DE EXTERNO","DOTACION DISPONIBLE")))))))</f>
        <v/>
      </c>
      <c r="F274" s="24"/>
    </row>
    <row r="275">
      <c r="A275" s="58"/>
      <c r="B275" s="22"/>
      <c r="C275" s="25"/>
      <c r="D275" s="33"/>
      <c r="E275" s="24" t="str">
        <f>IF(B275="","",IF(A275=0,"NO HAY ESE CODIGO",IF(COUNTIF(ASIGNACIONES!$B$3:$B949,B275)=1,"DOTACION ASIGNADA",IF(C275="VISITAS","DOTACION VISITA",IF(C275="MTTO","DOTACION MTTO",IF(C275="PLANTA EMERGENCIA","DOTACION RES DE EMERGENCIA",IF(C275="EXTERNOS","DOTACION DE EXTERNO","DOTACION DISPONIBLE")))))))</f>
        <v/>
      </c>
      <c r="F275" s="24"/>
    </row>
    <row r="276">
      <c r="A276" s="58"/>
      <c r="B276" s="22"/>
      <c r="C276" s="25"/>
      <c r="D276" s="33"/>
      <c r="E276" s="24" t="str">
        <f>IF(B276="","",IF(A276=0,"NO HAY ESE CODIGO",IF(COUNTIF(ASIGNACIONES!$B$3:$B949,B276)=1,"DOTACION ASIGNADA",IF(C276="VISITAS","DOTACION VISITA",IF(C276="MTTO","DOTACION MTTO",IF(C276="PLANTA EMERGENCIA","DOTACION RES DE EMERGENCIA",IF(C276="EXTERNOS","DOTACION DE EXTERNO","DOTACION DISPONIBLE")))))))</f>
        <v/>
      </c>
      <c r="F276" s="24"/>
    </row>
    <row r="277">
      <c r="A277" s="58"/>
      <c r="B277" s="22"/>
      <c r="C277" s="25"/>
      <c r="D277" s="33"/>
      <c r="E277" s="24" t="str">
        <f>IF(B277="","",IF(A277=0,"NO HAY ESE CODIGO",IF(COUNTIF(ASIGNACIONES!$B$3:$B949,B277)=1,"DOTACION ASIGNADA",IF(C277="VISITAS","DOTACION VISITA",IF(C277="MTTO","DOTACION MTTO",IF(C277="PLANTA EMERGENCIA","DOTACION RES DE EMERGENCIA",IF(C277="EXTERNOS","DOTACION DE EXTERNO","DOTACION DISPONIBLE")))))))</f>
        <v/>
      </c>
      <c r="F277" s="24"/>
    </row>
    <row r="278">
      <c r="A278" s="58"/>
      <c r="B278" s="22"/>
      <c r="C278" s="25"/>
      <c r="D278" s="33"/>
      <c r="E278" s="24" t="str">
        <f>IF(B278="","",IF(A278=0,"NO HAY ESE CODIGO",IF(COUNTIF(ASIGNACIONES!$B$3:$B949,B278)=1,"DOTACION ASIGNADA",IF(C278="VISITAS","DOTACION VISITA",IF(C278="MTTO","DOTACION MTTO",IF(C278="PLANTA EMERGENCIA","DOTACION RES DE EMERGENCIA",IF(C278="EXTERNOS","DOTACION DE EXTERNO","DOTACION DISPONIBLE")))))))</f>
        <v/>
      </c>
      <c r="F278" s="24"/>
    </row>
    <row r="279">
      <c r="A279" s="58"/>
      <c r="B279" s="22"/>
      <c r="C279" s="25"/>
      <c r="D279" s="33"/>
      <c r="E279" s="24" t="str">
        <f>IF(B279="","",IF(A279=0,"NO HAY ESE CODIGO",IF(COUNTIF(ASIGNACIONES!$B$3:$B949,B279)=1,"DOTACION ASIGNADA",IF(C279="VISITAS","DOTACION VISITA",IF(C279="MTTO","DOTACION MTTO",IF(C279="PLANTA EMERGENCIA","DOTACION RES DE EMERGENCIA",IF(C279="EXTERNOS","DOTACION DE EXTERNO","DOTACION DISPONIBLE")))))))</f>
        <v/>
      </c>
      <c r="F279" s="24"/>
    </row>
    <row r="280">
      <c r="A280" s="58"/>
      <c r="B280" s="22"/>
      <c r="C280" s="25"/>
      <c r="D280" s="33"/>
      <c r="E280" s="24" t="str">
        <f>IF(B280="","",IF(A280=0,"NO HAY ESE CODIGO",IF(COUNTIF(ASIGNACIONES!$B$3:$B949,B280)=1,"DOTACION ASIGNADA",IF(C280="VISITAS","DOTACION VISITA",IF(C280="MTTO","DOTACION MTTO",IF(C280="PLANTA EMERGENCIA","DOTACION RES DE EMERGENCIA",IF(C280="EXTERNOS","DOTACION DE EXTERNO","DOTACION DISPONIBLE")))))))</f>
        <v/>
      </c>
      <c r="F280" s="24"/>
    </row>
    <row r="281">
      <c r="A281" s="58"/>
      <c r="B281" s="22"/>
      <c r="C281" s="25"/>
      <c r="D281" s="33"/>
      <c r="E281" s="24" t="str">
        <f>IF(B281="","",IF(A281=0,"NO HAY ESE CODIGO",IF(COUNTIF(ASIGNACIONES!$B$3:$B949,B281)=1,"DOTACION ASIGNADA",IF(C281="VISITAS","DOTACION VISITA",IF(C281="MTTO","DOTACION MTTO",IF(C281="PLANTA EMERGENCIA","DOTACION RES DE EMERGENCIA",IF(C281="EXTERNOS","DOTACION DE EXTERNO","DOTACION DISPONIBLE")))))))</f>
        <v/>
      </c>
      <c r="F281" s="24"/>
    </row>
    <row r="282">
      <c r="A282" s="58"/>
      <c r="B282" s="22"/>
      <c r="C282" s="25"/>
      <c r="D282" s="33"/>
      <c r="E282" s="24" t="str">
        <f>IF(B282="","",IF(A282=0,"NO HAY ESE CODIGO",IF(COUNTIF(ASIGNACIONES!$B$3:$B949,B282)=1,"DOTACION ASIGNADA",IF(C282="VISITAS","DOTACION VISITA",IF(C282="MTTO","DOTACION MTTO",IF(C282="PLANTA EMERGENCIA","DOTACION RES DE EMERGENCIA",IF(C282="EXTERNOS","DOTACION DE EXTERNO","DOTACION DISPONIBLE")))))))</f>
        <v/>
      </c>
      <c r="F282" s="24"/>
    </row>
    <row r="283">
      <c r="A283" s="58"/>
      <c r="B283" s="22"/>
      <c r="C283" s="25"/>
      <c r="D283" s="33"/>
      <c r="E283" s="24" t="str">
        <f>IF(B283="","",IF(A283=0,"NO HAY ESE CODIGO",IF(COUNTIF(ASIGNACIONES!$B$3:$B949,B283)=1,"DOTACION ASIGNADA",IF(C283="VISITAS","DOTACION VISITA",IF(C283="MTTO","DOTACION MTTO",IF(C283="PLANTA EMERGENCIA","DOTACION RES DE EMERGENCIA",IF(C283="EXTERNOS","DOTACION DE EXTERNO","DOTACION DISPONIBLE")))))))</f>
        <v/>
      </c>
      <c r="F283" s="24"/>
    </row>
    <row r="284">
      <c r="A284" s="58"/>
      <c r="B284" s="22"/>
      <c r="C284" s="25"/>
      <c r="D284" s="33"/>
      <c r="E284" s="24" t="str">
        <f>IF(B284="","",IF(A284=0,"NO HAY ESE CODIGO",IF(COUNTIF(ASIGNACIONES!$B$3:$B949,B284)=1,"DOTACION ASIGNADA",IF(C284="VISITAS","DOTACION VISITA",IF(C284="MTTO","DOTACION MTTO",IF(C284="PLANTA EMERGENCIA","DOTACION RES DE EMERGENCIA",IF(C284="EXTERNOS","DOTACION DE EXTERNO","DOTACION DISPONIBLE")))))))</f>
        <v/>
      </c>
      <c r="F284" s="24"/>
    </row>
    <row r="285">
      <c r="A285" s="58"/>
      <c r="B285" s="22"/>
      <c r="C285" s="25"/>
      <c r="D285" s="33"/>
      <c r="E285" s="24" t="str">
        <f>IF(B285="","",IF(A285=0,"NO HAY ESE CODIGO",IF(COUNTIF(ASIGNACIONES!$B$3:$B949,B285)=1,"DOTACION ASIGNADA",IF(C285="VISITAS","DOTACION VISITA",IF(C285="MTTO","DOTACION MTTO",IF(C285="PLANTA EMERGENCIA","DOTACION RES DE EMERGENCIA",IF(C285="EXTERNOS","DOTACION DE EXTERNO","DOTACION DISPONIBLE")))))))</f>
        <v/>
      </c>
      <c r="F285" s="24"/>
    </row>
    <row r="286">
      <c r="A286" s="58"/>
      <c r="B286" s="22"/>
      <c r="C286" s="25"/>
      <c r="D286" s="33"/>
      <c r="E286" s="24" t="str">
        <f>IF(B286="","",IF(A286=0,"NO HAY ESE CODIGO",IF(COUNTIF(ASIGNACIONES!$B$3:$B949,B286)=1,"DOTACION ASIGNADA",IF(C286="VISITAS","DOTACION VISITA",IF(C286="MTTO","DOTACION MTTO",IF(C286="PLANTA EMERGENCIA","DOTACION RES DE EMERGENCIA",IF(C286="EXTERNOS","DOTACION DE EXTERNO","DOTACION DISPONIBLE")))))))</f>
        <v/>
      </c>
      <c r="F286" s="24"/>
    </row>
    <row r="287">
      <c r="A287" s="58"/>
      <c r="B287" s="22"/>
      <c r="C287" s="25"/>
      <c r="D287" s="33"/>
      <c r="E287" s="24" t="str">
        <f>IF(B287="","",IF(A287=0,"NO HAY ESE CODIGO",IF(COUNTIF(ASIGNACIONES!$B$3:$B949,B287)=1,"DOTACION ASIGNADA",IF(C287="VISITAS","DOTACION VISITA",IF(C287="MTTO","DOTACION MTTO",IF(C287="PLANTA EMERGENCIA","DOTACION RES DE EMERGENCIA",IF(C287="EXTERNOS","DOTACION DE EXTERNO","DOTACION DISPONIBLE")))))))</f>
        <v/>
      </c>
      <c r="F287" s="24"/>
    </row>
    <row r="288">
      <c r="A288" s="58"/>
      <c r="B288" s="22"/>
      <c r="C288" s="62"/>
      <c r="D288" s="33"/>
      <c r="E288" s="24" t="str">
        <f>IF(B288="","",IF(A288=0,"NO HAY ESE CODIGO",IF(COUNTIF(ASIGNACIONES!$B$3:$B949,B288)=1,"DOTACION ASIGNADA",IF(C288="VISITAS","DOTACION VISITA",IF(C288="MTTO","DOTACION MTTO",IF(C288="PLANTA EMERGENCIA","DOTACION RES DE EMERGENCIA",IF(C288="EXTERNOS","DOTACION DE EXTERNO","DOTACION DISPONIBLE")))))))</f>
        <v/>
      </c>
      <c r="F288" s="24"/>
    </row>
    <row r="289">
      <c r="A289" s="58"/>
      <c r="B289" s="22"/>
      <c r="C289" s="62"/>
      <c r="D289" s="33"/>
      <c r="E289" s="24" t="str">
        <f>IF(B289="","",IF(A289=0,"NO HAY ESE CODIGO",IF(COUNTIF(ASIGNACIONES!$B$3:$B949,B289)=1,"DOTACION ASIGNADA",IF(C289="VISITAS","DOTACION VISITA",IF(C289="MTTO","DOTACION MTTO",IF(C289="PLANTA EMERGENCIA","DOTACION RES DE EMERGENCIA",IF(C289="EXTERNOS","DOTACION DE EXTERNO","DOTACION DISPONIBLE")))))))</f>
        <v/>
      </c>
      <c r="F289" s="24"/>
    </row>
    <row r="290">
      <c r="A290" s="58"/>
      <c r="B290" s="22"/>
      <c r="C290" s="62"/>
      <c r="D290" s="33"/>
      <c r="E290" s="24" t="str">
        <f>IF(B290="","",IF(A290=0,"NO HAY ESE CODIGO",IF(COUNTIF(ASIGNACIONES!$B$3:$B949,B290)=1,"DOTACION ASIGNADA",IF(C290="VISITAS","DOTACION VISITA",IF(C290="MTTO","DOTACION MTTO",IF(C290="PLANTA EMERGENCIA","DOTACION RES DE EMERGENCIA",IF(C290="EXTERNOS","DOTACION DE EXTERNO","DOTACION DISPONIBLE")))))))</f>
        <v/>
      </c>
      <c r="F290" s="24"/>
    </row>
    <row r="291">
      <c r="A291" s="58"/>
      <c r="B291" s="22"/>
      <c r="C291" s="62"/>
      <c r="D291" s="33"/>
      <c r="E291" s="24" t="str">
        <f>IF(B291="","",IF(A291=0,"NO HAY ESE CODIGO",IF(COUNTIF(ASIGNACIONES!$B$3:$B949,B291)=1,"DOTACION ASIGNADA",IF(C291="VISITAS","DOTACION VISITA",IF(C291="MTTO","DOTACION MTTO",IF(C291="PLANTA EMERGENCIA","DOTACION RES DE EMERGENCIA",IF(C291="EXTERNOS","DOTACION DE EXTERNO","DOTACION DISPONIBLE")))))))</f>
        <v/>
      </c>
      <c r="F291" s="24"/>
    </row>
    <row r="292">
      <c r="A292" s="58"/>
      <c r="B292" s="22"/>
      <c r="C292" s="62"/>
      <c r="D292" s="33"/>
      <c r="E292" s="24" t="str">
        <f>IF(B292="","",IF(A292=0,"NO HAY ESE CODIGO",IF(COUNTIF(ASIGNACIONES!$B$3:$B949,B292)=1,"DOTACION ASIGNADA",IF(C292="VISITAS","DOTACION VISITA",IF(C292="MTTO","DOTACION MTTO",IF(C292="PLANTA EMERGENCIA","DOTACION RES DE EMERGENCIA",IF(C292="EXTERNOS","DOTACION DE EXTERNO","DOTACION DISPONIBLE")))))))</f>
        <v/>
      </c>
      <c r="F292" s="24"/>
    </row>
    <row r="293">
      <c r="A293" s="58"/>
      <c r="B293" s="63"/>
      <c r="C293" s="25"/>
      <c r="D293" s="36"/>
      <c r="E293" s="24"/>
      <c r="F293" s="24"/>
    </row>
    <row r="294">
      <c r="A294" s="58"/>
      <c r="B294" s="63"/>
      <c r="C294" s="25"/>
      <c r="D294" s="36"/>
      <c r="E294" s="24"/>
      <c r="F294" s="24"/>
    </row>
    <row r="295">
      <c r="A295" s="58"/>
      <c r="B295" s="63"/>
      <c r="C295" s="25"/>
      <c r="D295" s="36"/>
      <c r="E295" s="24"/>
      <c r="F295" s="24"/>
    </row>
    <row r="296">
      <c r="A296" s="58"/>
      <c r="B296" s="63"/>
      <c r="C296" s="25"/>
      <c r="D296" s="36"/>
      <c r="E296" s="24"/>
      <c r="F296" s="24"/>
    </row>
    <row r="297">
      <c r="A297" s="58"/>
      <c r="B297" s="63"/>
      <c r="C297" s="25"/>
      <c r="D297" s="36"/>
      <c r="E297" s="24"/>
      <c r="F297" s="24"/>
    </row>
    <row r="298">
      <c r="A298" s="58"/>
      <c r="B298" s="63"/>
      <c r="C298" s="25"/>
      <c r="D298" s="36"/>
      <c r="E298" s="24"/>
      <c r="F298" s="24"/>
    </row>
    <row r="299">
      <c r="A299" s="58"/>
      <c r="B299" s="63"/>
      <c r="C299" s="25"/>
      <c r="D299" s="36"/>
      <c r="E299" s="24"/>
      <c r="F299" s="24"/>
    </row>
    <row r="300">
      <c r="A300" s="58"/>
      <c r="B300" s="63"/>
      <c r="C300" s="25"/>
      <c r="D300" s="36"/>
      <c r="E300" s="24"/>
      <c r="F300" s="24"/>
    </row>
    <row r="301">
      <c r="A301" s="58"/>
      <c r="B301" s="63"/>
      <c r="C301" s="25"/>
      <c r="D301" s="36"/>
      <c r="E301" s="24"/>
      <c r="F301" s="24"/>
    </row>
    <row r="302">
      <c r="A302" s="58"/>
      <c r="B302" s="63"/>
      <c r="C302" s="25"/>
      <c r="D302" s="36"/>
      <c r="E302" s="24"/>
      <c r="F302" s="24"/>
    </row>
    <row r="303">
      <c r="A303" s="58"/>
      <c r="B303" s="63"/>
      <c r="C303" s="25"/>
      <c r="D303" s="36"/>
      <c r="E303" s="24"/>
      <c r="F303" s="24"/>
    </row>
    <row r="304">
      <c r="A304" s="58"/>
      <c r="B304" s="63"/>
      <c r="C304" s="25"/>
      <c r="D304" s="36"/>
      <c r="E304" s="24"/>
      <c r="F304" s="24"/>
    </row>
    <row r="305">
      <c r="A305" s="58"/>
      <c r="B305" s="63"/>
      <c r="C305" s="25"/>
      <c r="D305" s="36"/>
      <c r="E305" s="24"/>
      <c r="F305" s="24"/>
    </row>
    <row r="306">
      <c r="A306" s="58"/>
      <c r="B306" s="63"/>
      <c r="C306" s="25"/>
      <c r="D306" s="36"/>
      <c r="E306" s="24"/>
      <c r="F306" s="24"/>
    </row>
    <row r="307">
      <c r="A307" s="58"/>
      <c r="B307" s="63"/>
      <c r="C307" s="25"/>
      <c r="D307" s="36"/>
      <c r="E307" s="24"/>
      <c r="F307" s="24"/>
    </row>
    <row r="308">
      <c r="A308" s="58"/>
      <c r="B308" s="63"/>
      <c r="C308" s="25"/>
      <c r="D308" s="36"/>
      <c r="E308" s="24"/>
      <c r="F308" s="24"/>
    </row>
    <row r="309">
      <c r="A309" s="58"/>
      <c r="B309" s="63"/>
      <c r="C309" s="25"/>
      <c r="D309" s="36"/>
      <c r="E309" s="24"/>
      <c r="F309" s="24"/>
    </row>
    <row r="310">
      <c r="A310" s="58"/>
      <c r="B310" s="63"/>
      <c r="C310" s="25"/>
      <c r="D310" s="36"/>
      <c r="E310" s="24"/>
      <c r="F310" s="24"/>
    </row>
    <row r="311">
      <c r="A311" s="58"/>
      <c r="B311" s="63"/>
      <c r="C311" s="25"/>
      <c r="D311" s="36"/>
      <c r="E311" s="24"/>
      <c r="F311" s="24"/>
    </row>
    <row r="312">
      <c r="A312" s="58"/>
      <c r="B312" s="63"/>
      <c r="C312" s="25"/>
      <c r="D312" s="36"/>
      <c r="E312" s="24"/>
      <c r="F312" s="24"/>
    </row>
    <row r="313">
      <c r="A313" s="58"/>
      <c r="B313" s="63"/>
      <c r="C313" s="25"/>
      <c r="D313" s="36"/>
      <c r="E313" s="24"/>
      <c r="F313" s="24"/>
    </row>
    <row r="314">
      <c r="A314" s="58"/>
      <c r="B314" s="63"/>
      <c r="C314" s="25"/>
      <c r="D314" s="36"/>
      <c r="E314" s="24"/>
      <c r="F314" s="24"/>
    </row>
    <row r="315">
      <c r="A315" s="58"/>
      <c r="B315" s="63"/>
      <c r="C315" s="25"/>
      <c r="D315" s="36"/>
      <c r="E315" s="24"/>
      <c r="F315" s="24"/>
    </row>
    <row r="316">
      <c r="A316" s="58"/>
      <c r="B316" s="63"/>
      <c r="C316" s="25"/>
      <c r="D316" s="36"/>
      <c r="E316" s="24"/>
      <c r="F316" s="24"/>
    </row>
    <row r="317">
      <c r="A317" s="58"/>
      <c r="B317" s="63"/>
      <c r="C317" s="25"/>
      <c r="D317" s="36"/>
      <c r="E317" s="24"/>
      <c r="F317" s="24"/>
    </row>
    <row r="318">
      <c r="A318" s="58"/>
      <c r="B318" s="63"/>
      <c r="C318" s="25"/>
      <c r="D318" s="36"/>
      <c r="E318" s="24"/>
      <c r="F318" s="24"/>
    </row>
    <row r="319">
      <c r="A319" s="58"/>
      <c r="B319" s="63"/>
      <c r="C319" s="25"/>
      <c r="D319" s="36"/>
      <c r="E319" s="24"/>
      <c r="F319" s="24"/>
    </row>
    <row r="320">
      <c r="A320" s="58"/>
      <c r="B320" s="63"/>
      <c r="C320" s="25"/>
      <c r="D320" s="36"/>
      <c r="E320" s="24"/>
      <c r="F320" s="24"/>
    </row>
    <row r="321">
      <c r="A321" s="58"/>
      <c r="B321" s="63"/>
      <c r="C321" s="25"/>
      <c r="D321" s="36"/>
      <c r="E321" s="24"/>
      <c r="F321" s="24"/>
    </row>
    <row r="322">
      <c r="A322" s="58"/>
      <c r="B322" s="63"/>
      <c r="C322" s="25"/>
      <c r="D322" s="36"/>
      <c r="E322" s="24"/>
      <c r="F322" s="24"/>
    </row>
    <row r="323">
      <c r="A323" s="58"/>
      <c r="B323" s="63"/>
      <c r="C323" s="25"/>
      <c r="D323" s="36"/>
      <c r="E323" s="24"/>
      <c r="F323" s="24"/>
    </row>
    <row r="324">
      <c r="A324" s="58"/>
      <c r="B324" s="63"/>
      <c r="C324" s="25"/>
      <c r="D324" s="36"/>
      <c r="E324" s="24"/>
      <c r="F324" s="24"/>
    </row>
    <row r="325">
      <c r="A325" s="58"/>
      <c r="B325" s="63"/>
      <c r="C325" s="25"/>
      <c r="D325" s="36"/>
      <c r="E325" s="24"/>
      <c r="F325" s="24"/>
    </row>
    <row r="326">
      <c r="A326" s="58"/>
      <c r="B326" s="63"/>
      <c r="C326" s="25"/>
      <c r="D326" s="36"/>
      <c r="E326" s="24"/>
      <c r="F326" s="24"/>
    </row>
    <row r="327">
      <c r="A327" s="58"/>
      <c r="B327" s="63"/>
      <c r="C327" s="25"/>
      <c r="D327" s="36"/>
      <c r="E327" s="24"/>
      <c r="F327" s="24"/>
    </row>
    <row r="328">
      <c r="A328" s="58"/>
      <c r="B328" s="63"/>
      <c r="C328" s="25"/>
      <c r="D328" s="36"/>
      <c r="E328" s="24"/>
      <c r="F328" s="24"/>
    </row>
    <row r="329">
      <c r="A329" s="58"/>
      <c r="B329" s="63"/>
      <c r="C329" s="25"/>
      <c r="D329" s="36"/>
      <c r="E329" s="24"/>
      <c r="F329" s="24"/>
    </row>
    <row r="330">
      <c r="A330" s="58"/>
      <c r="B330" s="63"/>
      <c r="C330" s="25"/>
      <c r="D330" s="36"/>
      <c r="E330" s="24"/>
      <c r="F330" s="24"/>
    </row>
    <row r="331">
      <c r="A331" s="58"/>
      <c r="B331" s="63"/>
      <c r="C331" s="25"/>
      <c r="D331" s="36"/>
      <c r="E331" s="24"/>
      <c r="F331" s="24"/>
    </row>
    <row r="332">
      <c r="A332" s="58"/>
      <c r="B332" s="63"/>
      <c r="C332" s="25"/>
      <c r="D332" s="36"/>
      <c r="E332" s="24"/>
      <c r="F332" s="24"/>
    </row>
    <row r="333">
      <c r="A333" s="58"/>
      <c r="B333" s="63"/>
      <c r="C333" s="25"/>
      <c r="D333" s="36"/>
      <c r="E333" s="24"/>
      <c r="F333" s="24"/>
    </row>
    <row r="334">
      <c r="A334" s="58"/>
      <c r="B334" s="63"/>
      <c r="C334" s="25"/>
      <c r="D334" s="36"/>
      <c r="E334" s="24"/>
      <c r="F334" s="24"/>
    </row>
    <row r="335">
      <c r="A335" s="58"/>
      <c r="B335" s="63"/>
      <c r="C335" s="25"/>
      <c r="D335" s="36"/>
      <c r="E335" s="24"/>
      <c r="F335" s="24"/>
    </row>
    <row r="336">
      <c r="A336" s="58"/>
      <c r="B336" s="63"/>
      <c r="C336" s="25"/>
      <c r="D336" s="36"/>
      <c r="E336" s="24"/>
      <c r="F336" s="24"/>
    </row>
    <row r="337">
      <c r="A337" s="58"/>
      <c r="B337" s="63"/>
      <c r="C337" s="25"/>
      <c r="D337" s="36"/>
      <c r="E337" s="24"/>
      <c r="F337" s="24"/>
    </row>
    <row r="338">
      <c r="A338" s="58"/>
      <c r="B338" s="63"/>
      <c r="C338" s="25"/>
      <c r="D338" s="36"/>
      <c r="E338" s="24"/>
      <c r="F338" s="24"/>
    </row>
    <row r="339">
      <c r="A339" s="58"/>
      <c r="B339" s="63"/>
      <c r="C339" s="25"/>
      <c r="D339" s="36"/>
      <c r="E339" s="24"/>
      <c r="F339" s="24"/>
    </row>
    <row r="340">
      <c r="A340" s="58"/>
      <c r="B340" s="63"/>
      <c r="C340" s="25"/>
      <c r="D340" s="36"/>
      <c r="E340" s="24"/>
      <c r="F340" s="24"/>
    </row>
    <row r="341">
      <c r="A341" s="58"/>
      <c r="B341" s="63"/>
      <c r="C341" s="25"/>
      <c r="D341" s="36"/>
      <c r="E341" s="24"/>
      <c r="F341" s="24"/>
    </row>
    <row r="342">
      <c r="A342" s="58"/>
      <c r="B342" s="63"/>
      <c r="C342" s="25"/>
      <c r="D342" s="36"/>
      <c r="E342" s="24"/>
      <c r="F342" s="24"/>
    </row>
    <row r="343">
      <c r="A343" s="58"/>
      <c r="B343" s="63"/>
      <c r="C343" s="25"/>
      <c r="D343" s="36"/>
      <c r="E343" s="24"/>
      <c r="F343" s="24"/>
    </row>
    <row r="344">
      <c r="A344" s="58"/>
      <c r="B344" s="63"/>
      <c r="C344" s="25"/>
      <c r="D344" s="36"/>
      <c r="E344" s="24"/>
      <c r="F344" s="24"/>
    </row>
    <row r="345">
      <c r="A345" s="58"/>
      <c r="B345" s="63"/>
      <c r="C345" s="25"/>
      <c r="D345" s="36"/>
      <c r="E345" s="24"/>
      <c r="F345" s="24"/>
    </row>
    <row r="346">
      <c r="A346" s="58"/>
      <c r="B346" s="63"/>
      <c r="C346" s="25"/>
      <c r="D346" s="36"/>
      <c r="E346" s="24"/>
      <c r="F346" s="24"/>
    </row>
    <row r="347">
      <c r="A347" s="58"/>
      <c r="B347" s="63"/>
      <c r="C347" s="25"/>
      <c r="D347" s="36"/>
      <c r="E347" s="24"/>
      <c r="F347" s="24"/>
    </row>
    <row r="348">
      <c r="A348" s="58"/>
      <c r="B348" s="63"/>
      <c r="C348" s="25"/>
      <c r="D348" s="36"/>
      <c r="E348" s="24"/>
      <c r="F348" s="24"/>
    </row>
    <row r="349">
      <c r="A349" s="58"/>
      <c r="B349" s="63"/>
      <c r="C349" s="25"/>
      <c r="D349" s="36"/>
      <c r="E349" s="24"/>
      <c r="F349" s="24"/>
    </row>
    <row r="350">
      <c r="A350" s="58"/>
      <c r="B350" s="63"/>
      <c r="C350" s="25"/>
      <c r="D350" s="36"/>
      <c r="E350" s="24"/>
      <c r="F350" s="24"/>
    </row>
    <row r="351">
      <c r="A351" s="58"/>
      <c r="B351" s="63"/>
      <c r="C351" s="25"/>
      <c r="D351" s="36"/>
      <c r="E351" s="24"/>
      <c r="F351" s="24"/>
    </row>
    <row r="352">
      <c r="A352" s="58"/>
      <c r="B352" s="63"/>
      <c r="C352" s="25"/>
      <c r="D352" s="36"/>
      <c r="E352" s="24"/>
      <c r="F352" s="24"/>
    </row>
    <row r="353">
      <c r="A353" s="58"/>
      <c r="B353" s="63"/>
      <c r="C353" s="25"/>
      <c r="D353" s="36"/>
      <c r="E353" s="24"/>
      <c r="F353" s="24"/>
    </row>
    <row r="354">
      <c r="A354" s="58"/>
      <c r="B354" s="63"/>
      <c r="C354" s="25"/>
      <c r="D354" s="36"/>
      <c r="E354" s="24"/>
      <c r="F354" s="24"/>
    </row>
    <row r="355">
      <c r="A355" s="58"/>
      <c r="B355" s="63"/>
      <c r="C355" s="25"/>
      <c r="D355" s="36"/>
      <c r="E355" s="24"/>
      <c r="F355" s="24"/>
    </row>
    <row r="356">
      <c r="A356" s="58"/>
      <c r="B356" s="63"/>
      <c r="C356" s="25"/>
      <c r="D356" s="36"/>
      <c r="E356" s="24"/>
      <c r="F356" s="24"/>
    </row>
    <row r="357">
      <c r="A357" s="58"/>
      <c r="B357" s="63"/>
      <c r="C357" s="25"/>
      <c r="D357" s="36"/>
      <c r="E357" s="24"/>
      <c r="F357" s="24"/>
    </row>
    <row r="358">
      <c r="A358" s="58"/>
      <c r="B358" s="63"/>
      <c r="C358" s="25"/>
      <c r="D358" s="36"/>
      <c r="E358" s="24"/>
      <c r="F358" s="24"/>
    </row>
    <row r="359">
      <c r="A359" s="58"/>
      <c r="B359" s="63"/>
      <c r="C359" s="25"/>
      <c r="D359" s="36"/>
      <c r="E359" s="24"/>
      <c r="F359" s="24"/>
    </row>
    <row r="360">
      <c r="A360" s="58"/>
      <c r="B360" s="63"/>
      <c r="C360" s="25"/>
      <c r="D360" s="36"/>
      <c r="E360" s="24"/>
      <c r="F360" s="24"/>
    </row>
    <row r="361">
      <c r="A361" s="58"/>
      <c r="B361" s="63"/>
      <c r="C361" s="25"/>
      <c r="D361" s="36"/>
      <c r="E361" s="24"/>
      <c r="F361" s="24"/>
    </row>
    <row r="362">
      <c r="A362" s="58"/>
      <c r="B362" s="63"/>
      <c r="C362" s="25"/>
      <c r="D362" s="36"/>
      <c r="E362" s="24"/>
      <c r="F362" s="24"/>
    </row>
    <row r="363">
      <c r="A363" s="58"/>
      <c r="B363" s="63"/>
      <c r="C363" s="25"/>
      <c r="D363" s="36"/>
      <c r="E363" s="24"/>
      <c r="F363" s="24"/>
    </row>
    <row r="364">
      <c r="A364" s="58"/>
      <c r="B364" s="63"/>
      <c r="C364" s="25"/>
      <c r="D364" s="36"/>
      <c r="E364" s="24"/>
      <c r="F364" s="24"/>
    </row>
    <row r="365">
      <c r="A365" s="58"/>
      <c r="B365" s="63"/>
      <c r="C365" s="25"/>
      <c r="D365" s="36"/>
      <c r="E365" s="24"/>
      <c r="F365" s="24"/>
    </row>
    <row r="366">
      <c r="A366" s="58"/>
      <c r="B366" s="63"/>
      <c r="C366" s="25"/>
      <c r="D366" s="36"/>
      <c r="E366" s="24"/>
      <c r="F366" s="24"/>
    </row>
    <row r="367">
      <c r="A367" s="58"/>
      <c r="B367" s="63"/>
      <c r="C367" s="25"/>
      <c r="D367" s="36"/>
      <c r="E367" s="24"/>
      <c r="F367" s="24"/>
    </row>
    <row r="368">
      <c r="A368" s="58"/>
      <c r="B368" s="63"/>
      <c r="C368" s="25"/>
      <c r="D368" s="36"/>
      <c r="E368" s="24"/>
      <c r="F368" s="24"/>
    </row>
    <row r="369">
      <c r="A369" s="58"/>
      <c r="B369" s="63"/>
      <c r="C369" s="25"/>
      <c r="D369" s="36"/>
      <c r="E369" s="24"/>
      <c r="F369" s="24"/>
    </row>
    <row r="370">
      <c r="A370" s="58"/>
      <c r="B370" s="63"/>
      <c r="C370" s="25"/>
      <c r="D370" s="36"/>
      <c r="E370" s="24"/>
      <c r="F370" s="24"/>
    </row>
    <row r="371">
      <c r="A371" s="58"/>
      <c r="B371" s="63"/>
      <c r="C371" s="25"/>
      <c r="D371" s="36"/>
      <c r="E371" s="24"/>
      <c r="F371" s="24"/>
    </row>
    <row r="372">
      <c r="A372" s="58"/>
      <c r="B372" s="63"/>
      <c r="C372" s="25"/>
      <c r="D372" s="36"/>
      <c r="E372" s="24"/>
      <c r="F372" s="24"/>
    </row>
    <row r="373">
      <c r="A373" s="58"/>
      <c r="B373" s="63"/>
      <c r="C373" s="25"/>
      <c r="D373" s="36"/>
      <c r="E373" s="24"/>
      <c r="F373" s="24"/>
    </row>
    <row r="374">
      <c r="A374" s="58"/>
      <c r="B374" s="63"/>
      <c r="C374" s="25"/>
      <c r="D374" s="36"/>
      <c r="E374" s="24"/>
      <c r="F374" s="24"/>
    </row>
    <row r="375">
      <c r="A375" s="58"/>
      <c r="B375" s="63"/>
      <c r="C375" s="25"/>
      <c r="D375" s="36"/>
      <c r="E375" s="24"/>
      <c r="F375" s="24"/>
    </row>
    <row r="376">
      <c r="A376" s="58"/>
      <c r="B376" s="63"/>
      <c r="C376" s="25"/>
      <c r="D376" s="36"/>
      <c r="E376" s="24"/>
      <c r="F376" s="24"/>
    </row>
    <row r="377">
      <c r="A377" s="58"/>
      <c r="B377" s="63"/>
      <c r="C377" s="25"/>
      <c r="D377" s="36"/>
      <c r="E377" s="24"/>
      <c r="F377" s="24"/>
    </row>
    <row r="378">
      <c r="A378" s="58"/>
      <c r="B378" s="63"/>
      <c r="C378" s="25"/>
      <c r="D378" s="36"/>
      <c r="E378" s="24"/>
      <c r="F378" s="24"/>
    </row>
    <row r="379">
      <c r="A379" s="58"/>
      <c r="B379" s="63"/>
      <c r="C379" s="25"/>
      <c r="D379" s="36"/>
      <c r="E379" s="24"/>
      <c r="F379" s="24"/>
    </row>
    <row r="380">
      <c r="A380" s="58"/>
      <c r="B380" s="63"/>
      <c r="C380" s="25"/>
      <c r="D380" s="36"/>
      <c r="E380" s="24"/>
      <c r="F380" s="24"/>
    </row>
    <row r="381">
      <c r="A381" s="58"/>
      <c r="B381" s="63"/>
      <c r="C381" s="25"/>
      <c r="D381" s="36"/>
      <c r="E381" s="24"/>
      <c r="F381" s="24"/>
    </row>
    <row r="382">
      <c r="A382" s="58"/>
      <c r="B382" s="63"/>
      <c r="C382" s="25"/>
      <c r="D382" s="36"/>
      <c r="E382" s="24"/>
      <c r="F382" s="24"/>
    </row>
    <row r="383">
      <c r="A383" s="58"/>
      <c r="B383" s="63"/>
      <c r="C383" s="25"/>
      <c r="D383" s="36"/>
      <c r="E383" s="24"/>
      <c r="F383" s="24"/>
    </row>
    <row r="384">
      <c r="A384" s="58"/>
      <c r="B384" s="63"/>
      <c r="C384" s="25"/>
      <c r="D384" s="36"/>
      <c r="E384" s="24"/>
      <c r="F384" s="24"/>
    </row>
    <row r="385">
      <c r="A385" s="58"/>
      <c r="B385" s="63"/>
      <c r="C385" s="25"/>
      <c r="D385" s="36"/>
      <c r="E385" s="24"/>
      <c r="F385" s="24"/>
    </row>
    <row r="386">
      <c r="A386" s="58"/>
      <c r="B386" s="63"/>
      <c r="C386" s="25"/>
      <c r="D386" s="36"/>
      <c r="E386" s="24"/>
      <c r="F386" s="24"/>
    </row>
    <row r="387">
      <c r="A387" s="58"/>
      <c r="B387" s="63"/>
      <c r="C387" s="25"/>
      <c r="D387" s="36"/>
      <c r="E387" s="24"/>
      <c r="F387" s="24"/>
    </row>
    <row r="388">
      <c r="A388" s="58"/>
      <c r="B388" s="63"/>
      <c r="C388" s="25"/>
      <c r="D388" s="36"/>
      <c r="E388" s="24"/>
      <c r="F388" s="24"/>
    </row>
    <row r="389">
      <c r="A389" s="58"/>
      <c r="B389" s="63"/>
      <c r="C389" s="25"/>
      <c r="D389" s="36"/>
      <c r="E389" s="24"/>
      <c r="F389" s="24"/>
    </row>
    <row r="390">
      <c r="A390" s="58"/>
      <c r="B390" s="63"/>
      <c r="C390" s="25"/>
      <c r="D390" s="36"/>
      <c r="E390" s="24"/>
      <c r="F390" s="24"/>
    </row>
    <row r="391">
      <c r="A391" s="58"/>
      <c r="B391" s="63"/>
      <c r="C391" s="25"/>
      <c r="D391" s="36"/>
      <c r="E391" s="24"/>
      <c r="F391" s="24"/>
    </row>
    <row r="392">
      <c r="A392" s="58"/>
      <c r="B392" s="63"/>
      <c r="C392" s="25"/>
      <c r="D392" s="36"/>
      <c r="E392" s="24"/>
      <c r="F392" s="24"/>
    </row>
    <row r="393">
      <c r="A393" s="58"/>
      <c r="B393" s="63"/>
      <c r="C393" s="25"/>
      <c r="D393" s="36"/>
      <c r="E393" s="24"/>
      <c r="F393" s="24"/>
    </row>
    <row r="394">
      <c r="A394" s="58"/>
      <c r="B394" s="63"/>
      <c r="C394" s="25"/>
      <c r="D394" s="36"/>
      <c r="E394" s="24"/>
      <c r="F394" s="24"/>
    </row>
    <row r="395">
      <c r="A395" s="58"/>
      <c r="B395" s="63"/>
      <c r="C395" s="25"/>
      <c r="D395" s="36"/>
      <c r="E395" s="24"/>
      <c r="F395" s="24"/>
    </row>
    <row r="396">
      <c r="A396" s="58"/>
      <c r="B396" s="63"/>
      <c r="C396" s="25"/>
      <c r="D396" s="36"/>
      <c r="E396" s="24"/>
      <c r="F396" s="24"/>
    </row>
    <row r="397">
      <c r="A397" s="58"/>
      <c r="B397" s="63"/>
      <c r="C397" s="25"/>
      <c r="D397" s="36"/>
      <c r="E397" s="24"/>
      <c r="F397" s="24"/>
    </row>
    <row r="398">
      <c r="A398" s="58"/>
      <c r="B398" s="63"/>
      <c r="C398" s="25"/>
      <c r="D398" s="36"/>
      <c r="E398" s="24"/>
      <c r="F398" s="24"/>
    </row>
    <row r="399">
      <c r="A399" s="58"/>
      <c r="B399" s="63"/>
      <c r="C399" s="25"/>
      <c r="D399" s="36"/>
      <c r="E399" s="24"/>
      <c r="F399" s="24"/>
    </row>
    <row r="400">
      <c r="A400" s="58"/>
      <c r="B400" s="63"/>
      <c r="C400" s="25"/>
      <c r="D400" s="36"/>
      <c r="E400" s="24"/>
      <c r="F400" s="24"/>
    </row>
    <row r="401">
      <c r="A401" s="58"/>
      <c r="B401" s="63"/>
      <c r="C401" s="25"/>
      <c r="D401" s="36"/>
      <c r="E401" s="24"/>
      <c r="F401" s="24"/>
    </row>
    <row r="402">
      <c r="A402" s="58"/>
      <c r="B402" s="63"/>
      <c r="C402" s="25"/>
      <c r="D402" s="36"/>
      <c r="E402" s="24"/>
      <c r="F402" s="24"/>
    </row>
    <row r="403">
      <c r="A403" s="58"/>
      <c r="B403" s="63"/>
      <c r="C403" s="25"/>
      <c r="D403" s="36"/>
      <c r="E403" s="24"/>
      <c r="F403" s="24"/>
    </row>
    <row r="404">
      <c r="A404" s="58"/>
      <c r="B404" s="63"/>
      <c r="C404" s="25"/>
      <c r="D404" s="36"/>
      <c r="E404" s="24"/>
      <c r="F404" s="24"/>
    </row>
    <row r="405">
      <c r="A405" s="58"/>
      <c r="B405" s="63"/>
      <c r="C405" s="25"/>
      <c r="D405" s="36"/>
      <c r="E405" s="24"/>
      <c r="F405" s="24"/>
    </row>
    <row r="406">
      <c r="A406" s="58"/>
      <c r="B406" s="63"/>
      <c r="C406" s="25"/>
      <c r="D406" s="36"/>
      <c r="E406" s="24"/>
      <c r="F406" s="24"/>
    </row>
    <row r="407">
      <c r="A407" s="58"/>
      <c r="B407" s="63"/>
      <c r="C407" s="25"/>
      <c r="D407" s="36"/>
      <c r="E407" s="24"/>
      <c r="F407" s="24"/>
    </row>
    <row r="408">
      <c r="A408" s="58"/>
      <c r="B408" s="63"/>
      <c r="C408" s="25"/>
      <c r="D408" s="36"/>
      <c r="E408" s="24"/>
      <c r="F408" s="24"/>
    </row>
    <row r="409">
      <c r="A409" s="58"/>
      <c r="B409" s="63"/>
      <c r="C409" s="25"/>
      <c r="D409" s="36"/>
      <c r="E409" s="24"/>
      <c r="F409" s="24"/>
    </row>
    <row r="410">
      <c r="A410" s="58"/>
      <c r="B410" s="63"/>
      <c r="C410" s="25"/>
      <c r="D410" s="36"/>
      <c r="E410" s="24"/>
      <c r="F410" s="24"/>
    </row>
    <row r="411">
      <c r="A411" s="58"/>
      <c r="B411" s="63"/>
      <c r="C411" s="25"/>
      <c r="D411" s="36"/>
      <c r="E411" s="24"/>
      <c r="F411" s="24"/>
    </row>
    <row r="412">
      <c r="A412" s="58"/>
      <c r="B412" s="63"/>
      <c r="C412" s="25"/>
      <c r="D412" s="36"/>
      <c r="E412" s="24"/>
      <c r="F412" s="24"/>
    </row>
    <row r="413">
      <c r="A413" s="58"/>
      <c r="B413" s="63"/>
      <c r="C413" s="25"/>
      <c r="D413" s="36"/>
      <c r="E413" s="24"/>
      <c r="F413" s="24"/>
    </row>
    <row r="414">
      <c r="A414" s="58"/>
      <c r="B414" s="63"/>
      <c r="C414" s="25"/>
      <c r="D414" s="36"/>
      <c r="E414" s="24"/>
      <c r="F414" s="24"/>
    </row>
    <row r="415">
      <c r="A415" s="58"/>
      <c r="B415" s="63"/>
      <c r="C415" s="25"/>
      <c r="D415" s="36"/>
      <c r="E415" s="24"/>
      <c r="F415" s="24"/>
    </row>
    <row r="416">
      <c r="A416" s="58"/>
      <c r="B416" s="63"/>
      <c r="C416" s="25"/>
      <c r="D416" s="36"/>
      <c r="E416" s="24"/>
      <c r="F416" s="24"/>
    </row>
    <row r="417">
      <c r="A417" s="58"/>
      <c r="B417" s="63"/>
      <c r="C417" s="25"/>
      <c r="D417" s="36"/>
      <c r="E417" s="24"/>
      <c r="F417" s="24"/>
    </row>
    <row r="418">
      <c r="A418" s="58"/>
      <c r="B418" s="63"/>
      <c r="C418" s="25"/>
      <c r="D418" s="36"/>
      <c r="E418" s="24"/>
      <c r="F418" s="24"/>
    </row>
    <row r="419">
      <c r="A419" s="58"/>
      <c r="B419" s="63"/>
      <c r="C419" s="25"/>
      <c r="D419" s="36"/>
      <c r="E419" s="24"/>
      <c r="F419" s="24"/>
    </row>
    <row r="420">
      <c r="A420" s="58"/>
      <c r="B420" s="63"/>
      <c r="C420" s="25"/>
      <c r="D420" s="36"/>
      <c r="E420" s="24"/>
      <c r="F420" s="24"/>
    </row>
    <row r="421">
      <c r="A421" s="58"/>
      <c r="B421" s="63"/>
      <c r="C421" s="25"/>
      <c r="D421" s="36"/>
      <c r="E421" s="24"/>
      <c r="F421" s="24"/>
    </row>
    <row r="422">
      <c r="A422" s="58"/>
      <c r="B422" s="63"/>
      <c r="C422" s="25"/>
      <c r="D422" s="36"/>
      <c r="E422" s="24"/>
      <c r="F422" s="24"/>
    </row>
    <row r="423">
      <c r="A423" s="58"/>
      <c r="B423" s="63"/>
      <c r="C423" s="25"/>
      <c r="D423" s="36"/>
      <c r="E423" s="24"/>
      <c r="F423" s="24"/>
    </row>
    <row r="424">
      <c r="A424" s="58"/>
      <c r="B424" s="63"/>
      <c r="C424" s="25"/>
      <c r="D424" s="36"/>
      <c r="E424" s="24"/>
      <c r="F424" s="24"/>
    </row>
    <row r="425">
      <c r="A425" s="58"/>
      <c r="B425" s="63"/>
      <c r="C425" s="25"/>
      <c r="D425" s="36"/>
      <c r="E425" s="24"/>
      <c r="F425" s="24"/>
    </row>
    <row r="426">
      <c r="A426" s="58"/>
      <c r="B426" s="63"/>
      <c r="C426" s="25"/>
      <c r="D426" s="36"/>
      <c r="E426" s="24"/>
      <c r="F426" s="24"/>
    </row>
    <row r="427">
      <c r="A427" s="58"/>
      <c r="B427" s="63"/>
      <c r="C427" s="25"/>
      <c r="D427" s="36"/>
      <c r="E427" s="24"/>
      <c r="F427" s="24"/>
    </row>
    <row r="428">
      <c r="A428" s="58"/>
      <c r="B428" s="63"/>
      <c r="C428" s="25"/>
      <c r="D428" s="36"/>
      <c r="E428" s="24"/>
      <c r="F428" s="24"/>
    </row>
    <row r="429">
      <c r="A429" s="58"/>
      <c r="B429" s="63"/>
      <c r="C429" s="25"/>
      <c r="D429" s="36"/>
      <c r="E429" s="24"/>
      <c r="F429" s="24"/>
    </row>
    <row r="430">
      <c r="A430" s="58"/>
      <c r="B430" s="63"/>
      <c r="C430" s="25"/>
      <c r="D430" s="36"/>
      <c r="E430" s="24"/>
      <c r="F430" s="24"/>
    </row>
    <row r="431">
      <c r="A431" s="58"/>
      <c r="B431" s="63"/>
      <c r="C431" s="25"/>
      <c r="D431" s="36"/>
      <c r="E431" s="24"/>
      <c r="F431" s="24"/>
    </row>
    <row r="432">
      <c r="A432" s="58"/>
      <c r="B432" s="63"/>
      <c r="C432" s="25"/>
      <c r="D432" s="36"/>
      <c r="E432" s="24"/>
      <c r="F432" s="24"/>
    </row>
    <row r="433">
      <c r="A433" s="58"/>
      <c r="B433" s="63"/>
      <c r="C433" s="25"/>
      <c r="D433" s="36"/>
      <c r="E433" s="24"/>
      <c r="F433" s="24"/>
    </row>
    <row r="434">
      <c r="A434" s="58"/>
      <c r="B434" s="63"/>
      <c r="C434" s="25"/>
      <c r="D434" s="36"/>
      <c r="E434" s="24"/>
      <c r="F434" s="24"/>
    </row>
    <row r="435">
      <c r="A435" s="58"/>
      <c r="B435" s="63"/>
      <c r="C435" s="25"/>
      <c r="D435" s="36"/>
      <c r="E435" s="24"/>
      <c r="F435" s="24"/>
    </row>
    <row r="436">
      <c r="A436" s="58"/>
      <c r="B436" s="63"/>
      <c r="C436" s="25"/>
      <c r="D436" s="36"/>
      <c r="E436" s="24"/>
      <c r="F436" s="24"/>
    </row>
    <row r="437">
      <c r="A437" s="58"/>
      <c r="B437" s="63"/>
      <c r="C437" s="25"/>
      <c r="D437" s="36"/>
      <c r="E437" s="24"/>
      <c r="F437" s="24"/>
    </row>
    <row r="438">
      <c r="A438" s="58"/>
      <c r="B438" s="63"/>
      <c r="C438" s="25"/>
      <c r="D438" s="36"/>
      <c r="E438" s="24"/>
      <c r="F438" s="24"/>
    </row>
    <row r="439">
      <c r="A439" s="58"/>
      <c r="B439" s="63"/>
      <c r="C439" s="25"/>
      <c r="D439" s="36"/>
      <c r="E439" s="24"/>
      <c r="F439" s="24"/>
    </row>
    <row r="440">
      <c r="A440" s="58"/>
      <c r="B440" s="63"/>
      <c r="C440" s="25"/>
      <c r="D440" s="36"/>
      <c r="E440" s="24"/>
      <c r="F440" s="24"/>
    </row>
    <row r="441">
      <c r="A441" s="58"/>
      <c r="B441" s="63"/>
      <c r="C441" s="25"/>
      <c r="D441" s="36"/>
      <c r="E441" s="24"/>
      <c r="F441" s="24"/>
    </row>
    <row r="442">
      <c r="A442" s="58"/>
      <c r="B442" s="63"/>
      <c r="C442" s="25"/>
      <c r="D442" s="36"/>
      <c r="E442" s="24"/>
      <c r="F442" s="24"/>
    </row>
    <row r="443">
      <c r="A443" s="58"/>
      <c r="B443" s="63"/>
      <c r="C443" s="25"/>
      <c r="D443" s="36"/>
      <c r="E443" s="24"/>
      <c r="F443" s="24"/>
    </row>
    <row r="444">
      <c r="A444" s="58"/>
      <c r="B444" s="63"/>
      <c r="C444" s="25"/>
      <c r="D444" s="36"/>
      <c r="E444" s="24"/>
      <c r="F444" s="24"/>
    </row>
    <row r="445">
      <c r="A445" s="58"/>
      <c r="B445" s="63"/>
      <c r="C445" s="25"/>
      <c r="D445" s="36"/>
      <c r="E445" s="24"/>
      <c r="F445" s="24"/>
    </row>
    <row r="446">
      <c r="A446" s="58"/>
      <c r="B446" s="63"/>
      <c r="C446" s="25"/>
      <c r="D446" s="36"/>
      <c r="E446" s="24"/>
      <c r="F446" s="24"/>
    </row>
    <row r="447">
      <c r="A447" s="58"/>
      <c r="B447" s="63"/>
      <c r="C447" s="25"/>
      <c r="D447" s="36"/>
      <c r="E447" s="24"/>
      <c r="F447" s="24"/>
    </row>
    <row r="448">
      <c r="A448" s="58"/>
      <c r="B448" s="63"/>
      <c r="C448" s="25"/>
      <c r="D448" s="36"/>
      <c r="E448" s="24"/>
      <c r="F448" s="24"/>
    </row>
    <row r="449">
      <c r="A449" s="58"/>
      <c r="B449" s="63"/>
      <c r="C449" s="25"/>
      <c r="D449" s="36"/>
      <c r="E449" s="24"/>
      <c r="F449" s="24"/>
    </row>
    <row r="450">
      <c r="A450" s="58"/>
      <c r="B450" s="63"/>
      <c r="C450" s="25"/>
      <c r="D450" s="36"/>
      <c r="E450" s="24"/>
      <c r="F450" s="24"/>
    </row>
    <row r="451">
      <c r="A451" s="58"/>
      <c r="B451" s="63"/>
      <c r="C451" s="25"/>
      <c r="D451" s="36"/>
      <c r="E451" s="24"/>
      <c r="F451" s="24"/>
    </row>
    <row r="452">
      <c r="A452" s="58"/>
      <c r="B452" s="63"/>
      <c r="C452" s="25"/>
      <c r="D452" s="36"/>
      <c r="E452" s="24"/>
      <c r="F452" s="24"/>
    </row>
    <row r="453">
      <c r="A453" s="58"/>
      <c r="B453" s="63"/>
      <c r="C453" s="25"/>
      <c r="D453" s="36"/>
      <c r="E453" s="24"/>
      <c r="F453" s="24"/>
    </row>
    <row r="454">
      <c r="A454" s="58"/>
      <c r="B454" s="63"/>
      <c r="C454" s="25"/>
      <c r="D454" s="36"/>
      <c r="E454" s="24"/>
      <c r="F454" s="24"/>
    </row>
    <row r="455">
      <c r="A455" s="58"/>
      <c r="B455" s="63"/>
      <c r="C455" s="25"/>
      <c r="D455" s="36"/>
      <c r="E455" s="24"/>
      <c r="F455" s="24"/>
    </row>
    <row r="456">
      <c r="A456" s="58"/>
      <c r="B456" s="63"/>
      <c r="C456" s="25"/>
      <c r="D456" s="36"/>
      <c r="E456" s="24"/>
      <c r="F456" s="24"/>
    </row>
    <row r="457">
      <c r="A457" s="58"/>
      <c r="B457" s="63"/>
      <c r="C457" s="25"/>
      <c r="D457" s="36"/>
      <c r="E457" s="24"/>
      <c r="F457" s="24"/>
    </row>
    <row r="458">
      <c r="A458" s="58"/>
      <c r="B458" s="63"/>
      <c r="C458" s="25"/>
      <c r="D458" s="36"/>
      <c r="E458" s="24"/>
      <c r="F458" s="24"/>
    </row>
    <row r="459">
      <c r="A459" s="58"/>
      <c r="B459" s="63"/>
      <c r="C459" s="25"/>
      <c r="D459" s="36"/>
      <c r="E459" s="24"/>
      <c r="F459" s="24"/>
    </row>
    <row r="460">
      <c r="A460" s="58"/>
      <c r="B460" s="63"/>
      <c r="C460" s="25"/>
      <c r="D460" s="36"/>
      <c r="E460" s="24"/>
      <c r="F460" s="24"/>
    </row>
    <row r="461">
      <c r="A461" s="58"/>
      <c r="B461" s="63"/>
      <c r="C461" s="25"/>
      <c r="D461" s="36"/>
      <c r="E461" s="24"/>
      <c r="F461" s="24"/>
    </row>
    <row r="462">
      <c r="A462" s="58"/>
      <c r="B462" s="63"/>
      <c r="C462" s="25"/>
      <c r="D462" s="36"/>
      <c r="E462" s="24"/>
      <c r="F462" s="24"/>
    </row>
    <row r="463">
      <c r="A463" s="58"/>
      <c r="B463" s="63"/>
      <c r="C463" s="25"/>
      <c r="D463" s="36"/>
      <c r="E463" s="24"/>
      <c r="F463" s="24"/>
    </row>
    <row r="464">
      <c r="A464" s="58"/>
      <c r="B464" s="63"/>
      <c r="C464" s="25"/>
      <c r="D464" s="36"/>
      <c r="E464" s="24"/>
      <c r="F464" s="24"/>
    </row>
    <row r="465">
      <c r="A465" s="58"/>
      <c r="B465" s="63"/>
      <c r="C465" s="25"/>
      <c r="D465" s="36"/>
      <c r="E465" s="24"/>
      <c r="F465" s="24"/>
    </row>
    <row r="466">
      <c r="A466" s="58"/>
      <c r="B466" s="63"/>
      <c r="C466" s="25"/>
      <c r="D466" s="36"/>
      <c r="E466" s="24"/>
      <c r="F466" s="24"/>
    </row>
    <row r="467">
      <c r="A467" s="58"/>
      <c r="B467" s="63"/>
      <c r="C467" s="25"/>
      <c r="D467" s="36"/>
      <c r="E467" s="24"/>
      <c r="F467" s="24"/>
    </row>
    <row r="468">
      <c r="A468" s="58"/>
      <c r="B468" s="63"/>
      <c r="C468" s="25"/>
      <c r="D468" s="36"/>
      <c r="E468" s="24"/>
      <c r="F468" s="24"/>
    </row>
    <row r="469">
      <c r="A469" s="58"/>
      <c r="B469" s="63"/>
      <c r="C469" s="25"/>
      <c r="D469" s="36"/>
      <c r="E469" s="24"/>
      <c r="F469" s="24"/>
    </row>
    <row r="470">
      <c r="A470" s="58"/>
      <c r="B470" s="63"/>
      <c r="C470" s="25"/>
      <c r="D470" s="36"/>
      <c r="E470" s="24"/>
      <c r="F470" s="24"/>
    </row>
    <row r="471">
      <c r="A471" s="58"/>
      <c r="B471" s="63"/>
      <c r="C471" s="25"/>
      <c r="D471" s="36"/>
      <c r="E471" s="24"/>
      <c r="F471" s="24"/>
    </row>
    <row r="472">
      <c r="A472" s="58"/>
      <c r="B472" s="63"/>
      <c r="C472" s="25"/>
      <c r="D472" s="36"/>
      <c r="E472" s="24"/>
      <c r="F472" s="24"/>
    </row>
    <row r="473">
      <c r="A473" s="58"/>
      <c r="B473" s="63"/>
      <c r="C473" s="25"/>
      <c r="D473" s="36"/>
      <c r="E473" s="24"/>
      <c r="F473" s="24"/>
    </row>
    <row r="474">
      <c r="A474" s="58"/>
      <c r="B474" s="63"/>
      <c r="C474" s="25"/>
      <c r="D474" s="36"/>
      <c r="E474" s="24"/>
      <c r="F474" s="24"/>
    </row>
    <row r="475">
      <c r="A475" s="58"/>
      <c r="B475" s="63"/>
      <c r="C475" s="25"/>
      <c r="D475" s="36"/>
      <c r="E475" s="24"/>
      <c r="F475" s="24"/>
    </row>
    <row r="476">
      <c r="A476" s="58"/>
      <c r="B476" s="63"/>
      <c r="C476" s="25"/>
      <c r="D476" s="36"/>
      <c r="E476" s="24"/>
      <c r="F476" s="24"/>
    </row>
    <row r="477">
      <c r="A477" s="58"/>
      <c r="B477" s="63"/>
      <c r="C477" s="25"/>
      <c r="D477" s="36"/>
      <c r="E477" s="24"/>
      <c r="F477" s="24"/>
    </row>
    <row r="478">
      <c r="A478" s="58"/>
      <c r="B478" s="63"/>
      <c r="C478" s="25"/>
      <c r="D478" s="36"/>
      <c r="E478" s="24"/>
      <c r="F478" s="24"/>
    </row>
    <row r="479">
      <c r="A479" s="58"/>
      <c r="B479" s="63"/>
      <c r="C479" s="25"/>
      <c r="D479" s="36"/>
      <c r="E479" s="24"/>
      <c r="F479" s="24"/>
    </row>
    <row r="480">
      <c r="A480" s="58"/>
      <c r="B480" s="63"/>
      <c r="C480" s="25"/>
      <c r="D480" s="36"/>
      <c r="E480" s="24"/>
      <c r="F480" s="24"/>
    </row>
    <row r="481">
      <c r="A481" s="58"/>
      <c r="B481" s="63"/>
      <c r="C481" s="25"/>
      <c r="D481" s="36"/>
      <c r="E481" s="24"/>
      <c r="F481" s="24"/>
    </row>
    <row r="482">
      <c r="A482" s="58"/>
      <c r="B482" s="63"/>
      <c r="C482" s="25"/>
      <c r="D482" s="36"/>
      <c r="E482" s="24"/>
      <c r="F482" s="24"/>
    </row>
    <row r="483">
      <c r="A483" s="58"/>
      <c r="B483" s="63"/>
      <c r="C483" s="25"/>
      <c r="D483" s="36"/>
      <c r="E483" s="24"/>
      <c r="F483" s="24"/>
    </row>
    <row r="484">
      <c r="A484" s="58"/>
      <c r="B484" s="63"/>
      <c r="C484" s="25"/>
      <c r="D484" s="36"/>
      <c r="E484" s="24"/>
      <c r="F484" s="24"/>
    </row>
    <row r="485">
      <c r="A485" s="58"/>
      <c r="B485" s="63"/>
      <c r="C485" s="25"/>
      <c r="D485" s="36"/>
      <c r="E485" s="24"/>
      <c r="F485" s="24"/>
    </row>
    <row r="486">
      <c r="A486" s="58"/>
      <c r="B486" s="63"/>
      <c r="C486" s="25"/>
      <c r="D486" s="36"/>
      <c r="E486" s="24"/>
      <c r="F486" s="24"/>
    </row>
    <row r="487">
      <c r="A487" s="58"/>
      <c r="B487" s="63"/>
      <c r="C487" s="25"/>
      <c r="D487" s="36"/>
      <c r="E487" s="24"/>
      <c r="F487" s="24"/>
    </row>
    <row r="488">
      <c r="A488" s="58"/>
      <c r="B488" s="63"/>
      <c r="C488" s="25"/>
      <c r="D488" s="36"/>
      <c r="E488" s="24"/>
      <c r="F488" s="24"/>
    </row>
    <row r="489">
      <c r="A489" s="58"/>
      <c r="B489" s="63"/>
      <c r="C489" s="25"/>
      <c r="D489" s="36"/>
      <c r="E489" s="24"/>
      <c r="F489" s="24"/>
    </row>
    <row r="490">
      <c r="A490" s="58"/>
      <c r="B490" s="63"/>
      <c r="C490" s="25"/>
      <c r="D490" s="36"/>
      <c r="E490" s="24"/>
      <c r="F490" s="24"/>
    </row>
    <row r="491">
      <c r="A491" s="58"/>
      <c r="B491" s="63"/>
      <c r="C491" s="25"/>
      <c r="D491" s="36"/>
      <c r="E491" s="24"/>
      <c r="F491" s="24"/>
    </row>
    <row r="492">
      <c r="A492" s="58"/>
      <c r="B492" s="63"/>
      <c r="C492" s="25"/>
      <c r="D492" s="36"/>
      <c r="E492" s="24"/>
      <c r="F492" s="24"/>
    </row>
    <row r="493">
      <c r="A493" s="58"/>
      <c r="B493" s="63"/>
      <c r="C493" s="25"/>
      <c r="D493" s="36"/>
      <c r="E493" s="24"/>
      <c r="F493" s="24"/>
    </row>
    <row r="494">
      <c r="A494" s="58"/>
      <c r="B494" s="63"/>
      <c r="C494" s="25"/>
      <c r="D494" s="36"/>
      <c r="E494" s="24"/>
      <c r="F494" s="24"/>
    </row>
    <row r="495">
      <c r="A495" s="58"/>
      <c r="B495" s="63"/>
      <c r="C495" s="25"/>
      <c r="D495" s="36"/>
      <c r="E495" s="24"/>
      <c r="F495" s="24"/>
    </row>
    <row r="496">
      <c r="A496" s="58"/>
      <c r="B496" s="63"/>
      <c r="C496" s="25"/>
      <c r="D496" s="36"/>
      <c r="E496" s="24"/>
      <c r="F496" s="24"/>
    </row>
    <row r="497">
      <c r="A497" s="58"/>
      <c r="B497" s="63"/>
      <c r="C497" s="25"/>
      <c r="D497" s="36"/>
      <c r="E497" s="24"/>
      <c r="F497" s="24"/>
    </row>
    <row r="498">
      <c r="A498" s="58"/>
      <c r="B498" s="63"/>
      <c r="C498" s="25"/>
      <c r="D498" s="36"/>
      <c r="E498" s="24"/>
      <c r="F498" s="24"/>
    </row>
    <row r="499">
      <c r="A499" s="58"/>
      <c r="B499" s="63"/>
      <c r="C499" s="25"/>
      <c r="D499" s="36"/>
      <c r="E499" s="24"/>
      <c r="F499" s="24"/>
    </row>
    <row r="500">
      <c r="A500" s="58"/>
      <c r="B500" s="63"/>
      <c r="C500" s="25"/>
      <c r="D500" s="36"/>
      <c r="E500" s="24"/>
      <c r="F500" s="24"/>
    </row>
    <row r="501">
      <c r="A501" s="58"/>
      <c r="B501" s="63"/>
      <c r="C501" s="25"/>
      <c r="D501" s="36"/>
      <c r="E501" s="24"/>
      <c r="F501" s="24"/>
    </row>
    <row r="502">
      <c r="A502" s="58"/>
      <c r="B502" s="63"/>
      <c r="C502" s="25"/>
      <c r="D502" s="36"/>
      <c r="E502" s="24"/>
      <c r="F502" s="24"/>
    </row>
    <row r="503">
      <c r="A503" s="58"/>
      <c r="B503" s="63"/>
      <c r="C503" s="25"/>
      <c r="D503" s="36"/>
      <c r="E503" s="24"/>
      <c r="F503" s="24"/>
    </row>
    <row r="504">
      <c r="A504" s="58"/>
      <c r="B504" s="63"/>
      <c r="C504" s="25"/>
      <c r="D504" s="36"/>
      <c r="E504" s="24"/>
      <c r="F504" s="24"/>
    </row>
    <row r="505">
      <c r="A505" s="58"/>
      <c r="B505" s="63"/>
      <c r="C505" s="25"/>
      <c r="D505" s="36"/>
      <c r="E505" s="24"/>
      <c r="F505" s="24"/>
    </row>
    <row r="506">
      <c r="A506" s="58"/>
      <c r="B506" s="63"/>
      <c r="C506" s="25"/>
      <c r="D506" s="36"/>
      <c r="E506" s="24"/>
      <c r="F506" s="24"/>
    </row>
    <row r="507">
      <c r="A507" s="58"/>
      <c r="B507" s="63"/>
      <c r="C507" s="25"/>
      <c r="D507" s="36"/>
      <c r="E507" s="24"/>
      <c r="F507" s="24"/>
    </row>
    <row r="508">
      <c r="A508" s="58"/>
      <c r="B508" s="63"/>
      <c r="C508" s="25"/>
      <c r="D508" s="36"/>
      <c r="E508" s="24"/>
      <c r="F508" s="24"/>
    </row>
    <row r="509">
      <c r="A509" s="58"/>
      <c r="B509" s="63"/>
      <c r="C509" s="25"/>
      <c r="D509" s="36"/>
      <c r="E509" s="24"/>
      <c r="F509" s="24"/>
    </row>
    <row r="510">
      <c r="A510" s="58"/>
      <c r="B510" s="63"/>
      <c r="C510" s="25"/>
      <c r="D510" s="36"/>
      <c r="E510" s="24"/>
      <c r="F510" s="24"/>
    </row>
    <row r="511">
      <c r="A511" s="58"/>
      <c r="B511" s="63"/>
      <c r="C511" s="25"/>
      <c r="D511" s="36"/>
      <c r="E511" s="24"/>
      <c r="F511" s="24"/>
    </row>
    <row r="512">
      <c r="A512" s="58"/>
      <c r="B512" s="63"/>
      <c r="C512" s="25"/>
      <c r="D512" s="36"/>
      <c r="E512" s="24"/>
      <c r="F512" s="24"/>
    </row>
    <row r="513">
      <c r="A513" s="58"/>
      <c r="B513" s="63"/>
      <c r="C513" s="25"/>
      <c r="D513" s="36"/>
      <c r="E513" s="24"/>
      <c r="F513" s="24"/>
    </row>
    <row r="514">
      <c r="A514" s="58"/>
      <c r="B514" s="63"/>
      <c r="C514" s="25"/>
      <c r="D514" s="36"/>
      <c r="E514" s="24"/>
      <c r="F514" s="24"/>
    </row>
    <row r="515">
      <c r="A515" s="58"/>
      <c r="B515" s="63"/>
      <c r="C515" s="25"/>
      <c r="D515" s="36"/>
      <c r="E515" s="24"/>
      <c r="F515" s="24"/>
    </row>
    <row r="516">
      <c r="A516" s="58"/>
      <c r="B516" s="63"/>
      <c r="C516" s="25"/>
      <c r="D516" s="36"/>
      <c r="E516" s="24"/>
      <c r="F516" s="24"/>
    </row>
    <row r="517">
      <c r="A517" s="58"/>
      <c r="B517" s="63"/>
      <c r="C517" s="25"/>
      <c r="D517" s="36"/>
      <c r="E517" s="24"/>
      <c r="F517" s="24"/>
    </row>
    <row r="518">
      <c r="A518" s="58"/>
      <c r="B518" s="63"/>
      <c r="C518" s="25"/>
      <c r="D518" s="36"/>
      <c r="E518" s="24"/>
      <c r="F518" s="24"/>
    </row>
    <row r="519">
      <c r="A519" s="58"/>
      <c r="B519" s="63"/>
      <c r="C519" s="25"/>
      <c r="D519" s="36"/>
      <c r="E519" s="24"/>
      <c r="F519" s="24"/>
    </row>
    <row r="520">
      <c r="A520" s="58"/>
      <c r="B520" s="63"/>
      <c r="C520" s="25"/>
      <c r="D520" s="36"/>
      <c r="E520" s="24"/>
      <c r="F520" s="24"/>
    </row>
    <row r="521">
      <c r="A521" s="58"/>
      <c r="B521" s="63"/>
      <c r="C521" s="25"/>
      <c r="D521" s="36"/>
      <c r="E521" s="24"/>
      <c r="F521" s="24"/>
    </row>
    <row r="522">
      <c r="A522" s="58"/>
      <c r="B522" s="63"/>
      <c r="C522" s="25"/>
      <c r="D522" s="36"/>
      <c r="E522" s="24"/>
      <c r="F522" s="24"/>
    </row>
    <row r="523">
      <c r="A523" s="58"/>
      <c r="B523" s="63"/>
      <c r="C523" s="25"/>
      <c r="D523" s="36"/>
      <c r="E523" s="24"/>
      <c r="F523" s="24"/>
    </row>
    <row r="524">
      <c r="A524" s="58"/>
      <c r="B524" s="63"/>
      <c r="C524" s="25"/>
      <c r="D524" s="36"/>
      <c r="E524" s="24"/>
      <c r="F524" s="24"/>
    </row>
    <row r="525">
      <c r="A525" s="58"/>
      <c r="B525" s="63"/>
      <c r="C525" s="25"/>
      <c r="D525" s="36"/>
      <c r="E525" s="24"/>
      <c r="F525" s="24"/>
    </row>
    <row r="526">
      <c r="A526" s="58"/>
      <c r="B526" s="63"/>
      <c r="C526" s="25"/>
      <c r="D526" s="36"/>
      <c r="E526" s="24"/>
      <c r="F526" s="24"/>
    </row>
    <row r="527">
      <c r="A527" s="58"/>
      <c r="B527" s="63"/>
      <c r="C527" s="25"/>
      <c r="D527" s="36"/>
      <c r="E527" s="24"/>
      <c r="F527" s="24"/>
    </row>
    <row r="528">
      <c r="A528" s="58"/>
      <c r="B528" s="63"/>
      <c r="C528" s="25"/>
      <c r="D528" s="36"/>
      <c r="E528" s="24"/>
      <c r="F528" s="24"/>
    </row>
    <row r="529">
      <c r="A529" s="58"/>
      <c r="B529" s="63"/>
      <c r="C529" s="25"/>
      <c r="D529" s="36"/>
      <c r="E529" s="24"/>
      <c r="F529" s="24"/>
    </row>
    <row r="530">
      <c r="A530" s="58"/>
      <c r="B530" s="63"/>
      <c r="C530" s="25"/>
      <c r="D530" s="36"/>
      <c r="E530" s="24"/>
      <c r="F530" s="24"/>
    </row>
    <row r="531">
      <c r="A531" s="58"/>
      <c r="B531" s="63"/>
      <c r="C531" s="25"/>
      <c r="D531" s="36"/>
      <c r="E531" s="24"/>
      <c r="F531" s="24"/>
    </row>
    <row r="532">
      <c r="A532" s="58"/>
      <c r="B532" s="63"/>
      <c r="C532" s="25"/>
      <c r="D532" s="36"/>
      <c r="E532" s="24"/>
      <c r="F532" s="24"/>
    </row>
    <row r="533">
      <c r="A533" s="58"/>
      <c r="B533" s="63"/>
      <c r="C533" s="25"/>
      <c r="D533" s="36"/>
      <c r="E533" s="24"/>
      <c r="F533" s="24"/>
    </row>
    <row r="534">
      <c r="A534" s="58"/>
      <c r="B534" s="63"/>
      <c r="C534" s="25"/>
      <c r="D534" s="36"/>
      <c r="E534" s="24"/>
      <c r="F534" s="24"/>
    </row>
    <row r="535">
      <c r="A535" s="58"/>
      <c r="B535" s="63"/>
      <c r="C535" s="25"/>
      <c r="D535" s="36"/>
      <c r="E535" s="24"/>
      <c r="F535" s="24"/>
    </row>
    <row r="536">
      <c r="A536" s="58"/>
      <c r="B536" s="63"/>
      <c r="C536" s="25"/>
      <c r="D536" s="36"/>
      <c r="E536" s="24"/>
      <c r="F536" s="24"/>
    </row>
    <row r="537">
      <c r="A537" s="58"/>
      <c r="B537" s="63"/>
      <c r="C537" s="25"/>
      <c r="D537" s="36"/>
      <c r="E537" s="24"/>
      <c r="F537" s="24"/>
    </row>
    <row r="538">
      <c r="A538" s="58"/>
      <c r="B538" s="63"/>
      <c r="C538" s="25"/>
      <c r="D538" s="36"/>
      <c r="E538" s="24"/>
      <c r="F538" s="24"/>
    </row>
    <row r="539">
      <c r="A539" s="58"/>
      <c r="B539" s="63"/>
      <c r="C539" s="25"/>
      <c r="D539" s="36"/>
      <c r="E539" s="24"/>
      <c r="F539" s="24"/>
    </row>
    <row r="540">
      <c r="A540" s="58"/>
      <c r="B540" s="63"/>
      <c r="C540" s="25"/>
      <c r="D540" s="36"/>
      <c r="E540" s="24"/>
      <c r="F540" s="24"/>
    </row>
    <row r="541">
      <c r="A541" s="58"/>
      <c r="B541" s="63"/>
      <c r="C541" s="25"/>
      <c r="D541" s="36"/>
      <c r="E541" s="24"/>
      <c r="F541" s="24"/>
    </row>
    <row r="542">
      <c r="A542" s="58"/>
      <c r="B542" s="63"/>
      <c r="C542" s="25"/>
      <c r="D542" s="36"/>
      <c r="E542" s="24"/>
      <c r="F542" s="24"/>
    </row>
    <row r="543">
      <c r="A543" s="58"/>
      <c r="B543" s="63"/>
      <c r="C543" s="25"/>
      <c r="D543" s="36"/>
      <c r="E543" s="24"/>
      <c r="F543" s="24"/>
    </row>
    <row r="544">
      <c r="A544" s="58"/>
      <c r="B544" s="63"/>
      <c r="C544" s="25"/>
      <c r="D544" s="36"/>
      <c r="E544" s="24"/>
      <c r="F544" s="24"/>
    </row>
    <row r="545">
      <c r="A545" s="58"/>
      <c r="B545" s="63"/>
      <c r="C545" s="25"/>
      <c r="D545" s="36"/>
      <c r="E545" s="24"/>
      <c r="F545" s="24"/>
    </row>
    <row r="546">
      <c r="A546" s="58"/>
      <c r="B546" s="63"/>
      <c r="C546" s="25"/>
      <c r="D546" s="36"/>
      <c r="E546" s="24"/>
      <c r="F546" s="24"/>
    </row>
    <row r="547">
      <c r="A547" s="58"/>
      <c r="B547" s="63"/>
      <c r="C547" s="25"/>
      <c r="D547" s="36"/>
      <c r="E547" s="24"/>
      <c r="F547" s="24"/>
    </row>
    <row r="548">
      <c r="A548" s="58"/>
      <c r="B548" s="63"/>
      <c r="C548" s="25"/>
      <c r="D548" s="36"/>
      <c r="E548" s="24"/>
      <c r="F548" s="24"/>
    </row>
    <row r="549">
      <c r="A549" s="58"/>
      <c r="B549" s="63"/>
      <c r="C549" s="25"/>
      <c r="D549" s="36"/>
      <c r="E549" s="24"/>
      <c r="F549" s="24"/>
    </row>
    <row r="550">
      <c r="A550" s="58"/>
      <c r="B550" s="63"/>
      <c r="C550" s="25"/>
      <c r="D550" s="36"/>
      <c r="E550" s="24"/>
      <c r="F550" s="24"/>
    </row>
    <row r="551">
      <c r="A551" s="58"/>
      <c r="B551" s="63"/>
      <c r="C551" s="25"/>
      <c r="D551" s="36"/>
      <c r="E551" s="24"/>
      <c r="F551" s="24"/>
    </row>
    <row r="552">
      <c r="A552" s="58"/>
      <c r="B552" s="63"/>
      <c r="C552" s="25"/>
      <c r="D552" s="36"/>
      <c r="E552" s="24"/>
      <c r="F552" s="24"/>
    </row>
    <row r="553">
      <c r="A553" s="58"/>
      <c r="B553" s="63"/>
      <c r="C553" s="25"/>
      <c r="D553" s="36"/>
      <c r="E553" s="24"/>
      <c r="F553" s="24"/>
    </row>
    <row r="554">
      <c r="A554" s="58"/>
      <c r="B554" s="63"/>
      <c r="C554" s="25"/>
      <c r="D554" s="36"/>
      <c r="E554" s="24"/>
      <c r="F554" s="24"/>
    </row>
    <row r="555">
      <c r="A555" s="58"/>
      <c r="B555" s="63"/>
      <c r="C555" s="25"/>
      <c r="D555" s="36"/>
      <c r="E555" s="24"/>
      <c r="F555" s="24"/>
    </row>
    <row r="556">
      <c r="A556" s="58"/>
      <c r="B556" s="63"/>
      <c r="C556" s="25"/>
      <c r="D556" s="36"/>
      <c r="E556" s="24"/>
      <c r="F556" s="24"/>
    </row>
    <row r="557">
      <c r="A557" s="58"/>
      <c r="B557" s="63"/>
      <c r="C557" s="25"/>
      <c r="D557" s="36"/>
      <c r="E557" s="24"/>
      <c r="F557" s="24"/>
    </row>
    <row r="558">
      <c r="A558" s="58"/>
      <c r="B558" s="63"/>
      <c r="C558" s="25"/>
      <c r="D558" s="36"/>
      <c r="E558" s="24"/>
      <c r="F558" s="24"/>
    </row>
    <row r="559">
      <c r="A559" s="58"/>
      <c r="B559" s="63"/>
      <c r="C559" s="25"/>
      <c r="D559" s="36"/>
      <c r="E559" s="24"/>
      <c r="F559" s="24"/>
    </row>
    <row r="560">
      <c r="A560" s="58"/>
      <c r="B560" s="63"/>
      <c r="C560" s="25"/>
      <c r="D560" s="36"/>
      <c r="E560" s="24"/>
      <c r="F560" s="24"/>
    </row>
    <row r="561">
      <c r="A561" s="58"/>
      <c r="B561" s="63"/>
      <c r="C561" s="25"/>
      <c r="D561" s="36"/>
      <c r="E561" s="24"/>
      <c r="F561" s="24"/>
    </row>
    <row r="562">
      <c r="A562" s="58"/>
      <c r="B562" s="63"/>
      <c r="C562" s="25"/>
      <c r="D562" s="36"/>
      <c r="E562" s="24"/>
      <c r="F562" s="24"/>
    </row>
    <row r="563">
      <c r="A563" s="58"/>
      <c r="B563" s="63"/>
      <c r="C563" s="25"/>
      <c r="D563" s="36"/>
      <c r="E563" s="24"/>
      <c r="F563" s="24"/>
    </row>
    <row r="564">
      <c r="A564" s="58"/>
      <c r="B564" s="63"/>
      <c r="C564" s="25"/>
      <c r="D564" s="36"/>
      <c r="E564" s="24"/>
      <c r="F564" s="24"/>
    </row>
    <row r="565">
      <c r="A565" s="58"/>
      <c r="B565" s="63"/>
      <c r="C565" s="25"/>
      <c r="D565" s="36"/>
      <c r="E565" s="24"/>
      <c r="F565" s="24"/>
    </row>
    <row r="566">
      <c r="A566" s="58"/>
      <c r="B566" s="63"/>
      <c r="C566" s="25"/>
      <c r="D566" s="36"/>
      <c r="E566" s="24"/>
      <c r="F566" s="24"/>
    </row>
    <row r="567">
      <c r="A567" s="58"/>
      <c r="B567" s="63"/>
      <c r="C567" s="25"/>
      <c r="D567" s="36"/>
      <c r="E567" s="24"/>
      <c r="F567" s="24"/>
    </row>
    <row r="568">
      <c r="A568" s="58"/>
      <c r="B568" s="63"/>
      <c r="C568" s="25"/>
      <c r="D568" s="36"/>
      <c r="E568" s="24"/>
      <c r="F568" s="24"/>
    </row>
    <row r="569">
      <c r="A569" s="58"/>
      <c r="B569" s="63"/>
      <c r="C569" s="25"/>
      <c r="D569" s="36"/>
      <c r="E569" s="24"/>
      <c r="F569" s="24"/>
    </row>
    <row r="570">
      <c r="A570" s="58"/>
      <c r="B570" s="63"/>
      <c r="C570" s="25"/>
      <c r="D570" s="36"/>
      <c r="E570" s="24"/>
      <c r="F570" s="24"/>
    </row>
    <row r="571">
      <c r="A571" s="58"/>
      <c r="B571" s="63"/>
      <c r="C571" s="25"/>
      <c r="D571" s="36"/>
      <c r="E571" s="24"/>
      <c r="F571" s="24"/>
    </row>
    <row r="572">
      <c r="A572" s="58"/>
      <c r="B572" s="63"/>
      <c r="C572" s="25"/>
      <c r="D572" s="36"/>
      <c r="E572" s="24"/>
      <c r="F572" s="24"/>
    </row>
    <row r="573">
      <c r="A573" s="58"/>
      <c r="B573" s="63"/>
      <c r="C573" s="25"/>
      <c r="D573" s="36"/>
      <c r="E573" s="24"/>
      <c r="F573" s="24"/>
    </row>
    <row r="574">
      <c r="A574" s="58"/>
      <c r="B574" s="63"/>
      <c r="C574" s="25"/>
      <c r="D574" s="36"/>
      <c r="E574" s="24"/>
      <c r="F574" s="24"/>
    </row>
    <row r="575">
      <c r="A575" s="58"/>
      <c r="B575" s="63"/>
      <c r="C575" s="25"/>
      <c r="D575" s="36"/>
      <c r="E575" s="24"/>
      <c r="F575" s="24"/>
    </row>
    <row r="576">
      <c r="A576" s="58"/>
      <c r="B576" s="63"/>
      <c r="C576" s="25"/>
      <c r="D576" s="36"/>
      <c r="E576" s="24"/>
      <c r="F576" s="24"/>
    </row>
    <row r="577">
      <c r="A577" s="58"/>
      <c r="B577" s="63"/>
      <c r="C577" s="25"/>
      <c r="D577" s="36"/>
      <c r="E577" s="24"/>
      <c r="F577" s="24"/>
    </row>
    <row r="578">
      <c r="A578" s="58"/>
      <c r="B578" s="63"/>
      <c r="C578" s="25"/>
      <c r="D578" s="36"/>
      <c r="E578" s="24"/>
      <c r="F578" s="24"/>
    </row>
    <row r="579">
      <c r="A579" s="58"/>
      <c r="B579" s="63"/>
      <c r="C579" s="25"/>
      <c r="D579" s="36"/>
      <c r="E579" s="24"/>
      <c r="F579" s="24"/>
    </row>
    <row r="580">
      <c r="A580" s="58"/>
      <c r="B580" s="63"/>
      <c r="C580" s="25"/>
      <c r="D580" s="36"/>
      <c r="E580" s="24"/>
      <c r="F580" s="24"/>
    </row>
    <row r="581">
      <c r="A581" s="58"/>
      <c r="B581" s="63"/>
      <c r="C581" s="25"/>
      <c r="D581" s="36"/>
      <c r="E581" s="24"/>
      <c r="F581" s="24"/>
    </row>
    <row r="582">
      <c r="A582" s="58"/>
      <c r="B582" s="63"/>
      <c r="C582" s="25"/>
      <c r="D582" s="36"/>
      <c r="E582" s="24"/>
      <c r="F582" s="24"/>
    </row>
    <row r="583">
      <c r="A583" s="58"/>
      <c r="B583" s="63"/>
      <c r="C583" s="25"/>
      <c r="D583" s="36"/>
      <c r="E583" s="24"/>
      <c r="F583" s="24"/>
    </row>
    <row r="584">
      <c r="A584" s="58"/>
      <c r="B584" s="63"/>
      <c r="C584" s="25"/>
      <c r="D584" s="36"/>
      <c r="E584" s="24"/>
      <c r="F584" s="24"/>
    </row>
    <row r="585">
      <c r="A585" s="58"/>
      <c r="B585" s="63"/>
      <c r="C585" s="25"/>
      <c r="D585" s="36"/>
      <c r="E585" s="24"/>
      <c r="F585" s="24"/>
    </row>
    <row r="586">
      <c r="A586" s="58"/>
      <c r="B586" s="63"/>
      <c r="C586" s="25"/>
      <c r="D586" s="36"/>
      <c r="E586" s="24"/>
      <c r="F586" s="24"/>
    </row>
    <row r="587">
      <c r="A587" s="58"/>
      <c r="B587" s="63"/>
      <c r="C587" s="25"/>
      <c r="D587" s="36"/>
      <c r="E587" s="24"/>
      <c r="F587" s="24"/>
    </row>
    <row r="588">
      <c r="A588" s="58"/>
      <c r="B588" s="63"/>
      <c r="C588" s="25"/>
      <c r="D588" s="36"/>
      <c r="E588" s="24"/>
      <c r="F588" s="24"/>
    </row>
    <row r="589">
      <c r="A589" s="58"/>
      <c r="B589" s="63"/>
      <c r="C589" s="25"/>
      <c r="D589" s="36"/>
      <c r="E589" s="24"/>
      <c r="F589" s="24"/>
    </row>
    <row r="590">
      <c r="A590" s="58"/>
      <c r="B590" s="63"/>
      <c r="C590" s="25"/>
      <c r="D590" s="36"/>
      <c r="E590" s="24"/>
      <c r="F590" s="24"/>
    </row>
    <row r="591">
      <c r="A591" s="58"/>
      <c r="B591" s="63"/>
      <c r="C591" s="25"/>
      <c r="D591" s="36"/>
      <c r="E591" s="24"/>
      <c r="F591" s="24"/>
    </row>
    <row r="592">
      <c r="A592" s="58"/>
      <c r="B592" s="63"/>
      <c r="C592" s="25"/>
      <c r="D592" s="36"/>
      <c r="E592" s="24"/>
      <c r="F592" s="24"/>
    </row>
    <row r="593">
      <c r="A593" s="58"/>
      <c r="B593" s="63"/>
      <c r="C593" s="25"/>
      <c r="D593" s="36"/>
      <c r="E593" s="24"/>
      <c r="F593" s="24"/>
    </row>
    <row r="594">
      <c r="A594" s="58"/>
      <c r="B594" s="63"/>
      <c r="C594" s="25"/>
      <c r="D594" s="36"/>
      <c r="E594" s="24"/>
      <c r="F594" s="24"/>
    </row>
    <row r="595">
      <c r="A595" s="58"/>
      <c r="B595" s="63"/>
      <c r="C595" s="25"/>
      <c r="D595" s="36"/>
      <c r="E595" s="24"/>
      <c r="F595" s="24"/>
    </row>
    <row r="596">
      <c r="A596" s="58"/>
      <c r="B596" s="63"/>
      <c r="C596" s="25"/>
      <c r="D596" s="36"/>
      <c r="E596" s="24"/>
      <c r="F596" s="24"/>
    </row>
    <row r="597">
      <c r="A597" s="58"/>
      <c r="B597" s="63"/>
      <c r="C597" s="25"/>
      <c r="D597" s="36"/>
      <c r="E597" s="24"/>
      <c r="F597" s="24"/>
    </row>
    <row r="598">
      <c r="A598" s="58"/>
      <c r="B598" s="63"/>
      <c r="C598" s="25"/>
      <c r="D598" s="36"/>
      <c r="E598" s="24"/>
      <c r="F598" s="24"/>
    </row>
    <row r="599">
      <c r="A599" s="58"/>
      <c r="B599" s="63"/>
      <c r="C599" s="25"/>
      <c r="D599" s="36"/>
      <c r="E599" s="24"/>
      <c r="F599" s="24"/>
    </row>
    <row r="600">
      <c r="A600" s="58"/>
      <c r="B600" s="63"/>
      <c r="C600" s="25"/>
      <c r="D600" s="36"/>
      <c r="E600" s="24"/>
      <c r="F600" s="24"/>
    </row>
    <row r="601">
      <c r="A601" s="58"/>
      <c r="B601" s="63"/>
      <c r="C601" s="25"/>
      <c r="D601" s="36"/>
      <c r="E601" s="24"/>
      <c r="F601" s="24"/>
    </row>
    <row r="602">
      <c r="A602" s="58"/>
      <c r="B602" s="63"/>
      <c r="C602" s="25"/>
      <c r="D602" s="36"/>
      <c r="E602" s="24"/>
      <c r="F602" s="24"/>
    </row>
    <row r="603">
      <c r="A603" s="58"/>
      <c r="B603" s="63"/>
      <c r="C603" s="25"/>
      <c r="D603" s="36"/>
      <c r="E603" s="24"/>
      <c r="F603" s="24"/>
    </row>
    <row r="604">
      <c r="A604" s="58"/>
      <c r="B604" s="63"/>
      <c r="C604" s="25"/>
      <c r="D604" s="36"/>
      <c r="E604" s="24"/>
      <c r="F604" s="24"/>
    </row>
    <row r="605">
      <c r="A605" s="58"/>
      <c r="B605" s="63"/>
      <c r="C605" s="25"/>
      <c r="D605" s="36"/>
      <c r="E605" s="24"/>
      <c r="F605" s="24"/>
    </row>
    <row r="606">
      <c r="A606" s="58"/>
      <c r="B606" s="63"/>
      <c r="C606" s="25"/>
      <c r="D606" s="36"/>
      <c r="E606" s="24"/>
      <c r="F606" s="24"/>
    </row>
    <row r="607">
      <c r="A607" s="58"/>
      <c r="B607" s="63"/>
      <c r="C607" s="25"/>
      <c r="D607" s="36"/>
      <c r="E607" s="24"/>
      <c r="F607" s="24"/>
    </row>
    <row r="608">
      <c r="A608" s="58"/>
      <c r="B608" s="63"/>
      <c r="C608" s="25"/>
      <c r="D608" s="36"/>
      <c r="E608" s="24"/>
      <c r="F608" s="24"/>
    </row>
    <row r="609">
      <c r="A609" s="58"/>
      <c r="B609" s="63"/>
      <c r="C609" s="25"/>
      <c r="D609" s="36"/>
      <c r="E609" s="24"/>
      <c r="F609" s="24"/>
    </row>
    <row r="610">
      <c r="A610" s="58"/>
      <c r="B610" s="63"/>
      <c r="C610" s="25"/>
      <c r="D610" s="36"/>
      <c r="E610" s="24"/>
      <c r="F610" s="24"/>
    </row>
    <row r="611">
      <c r="A611" s="58"/>
      <c r="B611" s="63"/>
      <c r="C611" s="25"/>
      <c r="D611" s="36"/>
      <c r="E611" s="24"/>
      <c r="F611" s="24"/>
    </row>
    <row r="612">
      <c r="A612" s="58"/>
      <c r="B612" s="63"/>
      <c r="C612" s="25"/>
      <c r="D612" s="36"/>
      <c r="E612" s="24"/>
      <c r="F612" s="24"/>
    </row>
    <row r="613">
      <c r="A613" s="58"/>
      <c r="B613" s="63"/>
      <c r="C613" s="25"/>
      <c r="D613" s="36"/>
      <c r="E613" s="24"/>
      <c r="F613" s="24"/>
    </row>
    <row r="614">
      <c r="A614" s="58"/>
      <c r="B614" s="63"/>
      <c r="C614" s="25"/>
      <c r="D614" s="36"/>
      <c r="E614" s="24"/>
      <c r="F614" s="24"/>
    </row>
    <row r="615">
      <c r="A615" s="58"/>
      <c r="B615" s="63"/>
      <c r="C615" s="25"/>
      <c r="D615" s="36"/>
      <c r="E615" s="24"/>
      <c r="F615" s="24"/>
    </row>
    <row r="616">
      <c r="A616" s="58"/>
      <c r="B616" s="63"/>
      <c r="C616" s="25"/>
      <c r="D616" s="36"/>
      <c r="E616" s="24"/>
      <c r="F616" s="24"/>
    </row>
    <row r="617">
      <c r="A617" s="58"/>
      <c r="B617" s="63"/>
      <c r="C617" s="25"/>
      <c r="D617" s="36"/>
      <c r="E617" s="24"/>
      <c r="F617" s="24"/>
    </row>
    <row r="618">
      <c r="A618" s="58"/>
      <c r="B618" s="63"/>
      <c r="C618" s="25"/>
      <c r="D618" s="36"/>
      <c r="E618" s="24"/>
      <c r="F618" s="24"/>
    </row>
    <row r="619">
      <c r="A619" s="58"/>
      <c r="B619" s="63"/>
      <c r="C619" s="25"/>
      <c r="D619" s="36"/>
      <c r="E619" s="24"/>
      <c r="F619" s="24"/>
    </row>
    <row r="620">
      <c r="A620" s="58"/>
      <c r="B620" s="63"/>
      <c r="C620" s="25"/>
      <c r="D620" s="36"/>
      <c r="E620" s="24"/>
      <c r="F620" s="24"/>
    </row>
    <row r="621">
      <c r="A621" s="58"/>
      <c r="B621" s="63"/>
      <c r="C621" s="25"/>
      <c r="D621" s="36"/>
      <c r="E621" s="24"/>
      <c r="F621" s="24"/>
    </row>
    <row r="622">
      <c r="A622" s="58"/>
      <c r="B622" s="63"/>
      <c r="C622" s="25"/>
      <c r="D622" s="36"/>
      <c r="E622" s="24"/>
      <c r="F622" s="24"/>
    </row>
    <row r="623">
      <c r="A623" s="58"/>
      <c r="B623" s="63"/>
      <c r="C623" s="25"/>
      <c r="D623" s="36"/>
      <c r="E623" s="24"/>
      <c r="F623" s="24"/>
    </row>
    <row r="624">
      <c r="A624" s="58"/>
      <c r="B624" s="63"/>
      <c r="C624" s="25"/>
      <c r="D624" s="36"/>
      <c r="E624" s="24"/>
      <c r="F624" s="24"/>
    </row>
    <row r="625">
      <c r="A625" s="58"/>
      <c r="B625" s="63"/>
      <c r="C625" s="25"/>
      <c r="D625" s="36"/>
      <c r="E625" s="24"/>
      <c r="F625" s="24"/>
    </row>
    <row r="626">
      <c r="A626" s="58"/>
      <c r="B626" s="63"/>
      <c r="C626" s="25"/>
      <c r="D626" s="36"/>
      <c r="E626" s="24"/>
      <c r="F626" s="24"/>
    </row>
    <row r="627">
      <c r="A627" s="58"/>
      <c r="B627" s="63"/>
      <c r="C627" s="25"/>
      <c r="D627" s="36"/>
      <c r="E627" s="24"/>
      <c r="F627" s="24"/>
    </row>
    <row r="628">
      <c r="A628" s="58"/>
      <c r="B628" s="63"/>
      <c r="C628" s="25"/>
      <c r="D628" s="36"/>
      <c r="E628" s="24"/>
      <c r="F628" s="24"/>
    </row>
    <row r="629">
      <c r="A629" s="58"/>
      <c r="B629" s="63"/>
      <c r="C629" s="25"/>
      <c r="D629" s="36"/>
      <c r="E629" s="24"/>
      <c r="F629" s="24"/>
    </row>
    <row r="630">
      <c r="A630" s="58"/>
      <c r="B630" s="63"/>
      <c r="C630" s="25"/>
      <c r="D630" s="36"/>
      <c r="E630" s="24"/>
      <c r="F630" s="24"/>
    </row>
    <row r="631">
      <c r="A631" s="58"/>
      <c r="B631" s="63"/>
      <c r="C631" s="25"/>
      <c r="D631" s="36"/>
      <c r="E631" s="24"/>
      <c r="F631" s="24"/>
    </row>
    <row r="632">
      <c r="A632" s="58"/>
      <c r="B632" s="63"/>
      <c r="C632" s="25"/>
      <c r="D632" s="36"/>
      <c r="E632" s="24"/>
      <c r="F632" s="24"/>
    </row>
    <row r="633">
      <c r="A633" s="58"/>
      <c r="B633" s="63"/>
      <c r="C633" s="25"/>
      <c r="D633" s="36"/>
      <c r="E633" s="24"/>
      <c r="F633" s="24"/>
    </row>
    <row r="634">
      <c r="A634" s="58"/>
      <c r="B634" s="63"/>
      <c r="C634" s="25"/>
      <c r="D634" s="36"/>
      <c r="E634" s="24"/>
      <c r="F634" s="24"/>
    </row>
    <row r="635">
      <c r="A635" s="58"/>
      <c r="B635" s="63"/>
      <c r="C635" s="25"/>
      <c r="D635" s="36"/>
      <c r="E635" s="24"/>
      <c r="F635" s="24"/>
    </row>
    <row r="636">
      <c r="A636" s="58"/>
      <c r="B636" s="63"/>
      <c r="C636" s="25"/>
      <c r="D636" s="36"/>
      <c r="E636" s="24"/>
      <c r="F636" s="24"/>
    </row>
    <row r="637">
      <c r="A637" s="58"/>
      <c r="B637" s="63"/>
      <c r="C637" s="25"/>
      <c r="D637" s="36"/>
      <c r="E637" s="24"/>
      <c r="F637" s="24"/>
    </row>
    <row r="638">
      <c r="A638" s="58"/>
      <c r="B638" s="63"/>
      <c r="C638" s="25"/>
      <c r="D638" s="36"/>
      <c r="E638" s="24"/>
      <c r="F638" s="24"/>
    </row>
    <row r="639">
      <c r="A639" s="58"/>
      <c r="B639" s="63"/>
      <c r="C639" s="25"/>
      <c r="D639" s="36"/>
      <c r="E639" s="24"/>
      <c r="F639" s="24"/>
    </row>
    <row r="640">
      <c r="A640" s="58"/>
      <c r="B640" s="63"/>
      <c r="C640" s="25"/>
      <c r="D640" s="36"/>
      <c r="E640" s="24"/>
      <c r="F640" s="24"/>
    </row>
    <row r="641">
      <c r="A641" s="58"/>
      <c r="B641" s="63"/>
      <c r="C641" s="25"/>
      <c r="D641" s="36"/>
      <c r="E641" s="24"/>
      <c r="F641" s="24"/>
    </row>
    <row r="642">
      <c r="A642" s="58"/>
      <c r="B642" s="63"/>
      <c r="C642" s="25"/>
      <c r="D642" s="36"/>
      <c r="E642" s="24"/>
      <c r="F642" s="24"/>
    </row>
    <row r="643">
      <c r="A643" s="58"/>
      <c r="B643" s="63"/>
      <c r="C643" s="25"/>
      <c r="D643" s="36"/>
      <c r="E643" s="24"/>
      <c r="F643" s="24"/>
    </row>
    <row r="644">
      <c r="A644" s="58"/>
      <c r="B644" s="63"/>
      <c r="C644" s="25"/>
      <c r="D644" s="36"/>
      <c r="E644" s="24"/>
      <c r="F644" s="24"/>
    </row>
    <row r="645">
      <c r="A645" s="58"/>
      <c r="B645" s="63"/>
      <c r="C645" s="25"/>
      <c r="D645" s="36"/>
      <c r="E645" s="24"/>
      <c r="F645" s="24"/>
    </row>
    <row r="646">
      <c r="A646" s="58"/>
      <c r="B646" s="63"/>
      <c r="C646" s="25"/>
      <c r="D646" s="36"/>
      <c r="E646" s="24"/>
      <c r="F646" s="24"/>
    </row>
    <row r="647">
      <c r="A647" s="58"/>
      <c r="B647" s="63"/>
      <c r="C647" s="25"/>
      <c r="D647" s="36"/>
      <c r="E647" s="24"/>
      <c r="F647" s="24"/>
    </row>
    <row r="648">
      <c r="A648" s="58"/>
      <c r="B648" s="63"/>
      <c r="C648" s="25"/>
      <c r="D648" s="36"/>
      <c r="E648" s="24"/>
      <c r="F648" s="24"/>
    </row>
    <row r="649">
      <c r="A649" s="58"/>
      <c r="B649" s="63"/>
      <c r="C649" s="25"/>
      <c r="D649" s="36"/>
      <c r="E649" s="24"/>
      <c r="F649" s="24"/>
    </row>
    <row r="650">
      <c r="A650" s="58"/>
      <c r="B650" s="63"/>
      <c r="C650" s="25"/>
      <c r="D650" s="36"/>
      <c r="E650" s="24"/>
      <c r="F650" s="24"/>
    </row>
    <row r="651">
      <c r="A651" s="58"/>
      <c r="B651" s="63"/>
      <c r="C651" s="25"/>
      <c r="D651" s="36"/>
      <c r="E651" s="24"/>
      <c r="F651" s="24"/>
    </row>
    <row r="652">
      <c r="A652" s="58"/>
      <c r="B652" s="63"/>
      <c r="C652" s="25"/>
      <c r="D652" s="36"/>
      <c r="E652" s="24"/>
      <c r="F652" s="24"/>
    </row>
    <row r="653">
      <c r="A653" s="58"/>
      <c r="B653" s="63"/>
      <c r="C653" s="25"/>
      <c r="D653" s="36"/>
      <c r="E653" s="24"/>
      <c r="F653" s="24"/>
    </row>
    <row r="654">
      <c r="A654" s="58"/>
      <c r="B654" s="63"/>
      <c r="C654" s="25"/>
      <c r="D654" s="36"/>
      <c r="E654" s="24"/>
      <c r="F654" s="24"/>
    </row>
    <row r="655">
      <c r="A655" s="58"/>
      <c r="B655" s="63"/>
      <c r="C655" s="25"/>
      <c r="D655" s="36"/>
      <c r="E655" s="24"/>
      <c r="F655" s="24"/>
    </row>
    <row r="656">
      <c r="A656" s="58"/>
      <c r="B656" s="63"/>
      <c r="C656" s="25"/>
      <c r="D656" s="36"/>
      <c r="E656" s="24"/>
      <c r="F656" s="24"/>
    </row>
    <row r="657">
      <c r="A657" s="58"/>
      <c r="B657" s="63"/>
      <c r="C657" s="25"/>
      <c r="D657" s="36"/>
      <c r="E657" s="24"/>
      <c r="F657" s="24"/>
    </row>
    <row r="658">
      <c r="A658" s="58"/>
      <c r="B658" s="63"/>
      <c r="C658" s="25"/>
      <c r="D658" s="36"/>
      <c r="E658" s="24"/>
      <c r="F658" s="24"/>
    </row>
    <row r="659">
      <c r="A659" s="58"/>
      <c r="B659" s="63"/>
      <c r="C659" s="25"/>
      <c r="D659" s="36"/>
      <c r="E659" s="24"/>
      <c r="F659" s="24"/>
    </row>
    <row r="660">
      <c r="A660" s="58"/>
      <c r="B660" s="63"/>
      <c r="C660" s="25"/>
      <c r="D660" s="36"/>
      <c r="E660" s="24"/>
      <c r="F660" s="24"/>
    </row>
    <row r="661">
      <c r="A661" s="58"/>
      <c r="B661" s="63"/>
      <c r="C661" s="25"/>
      <c r="D661" s="36"/>
      <c r="E661" s="24"/>
      <c r="F661" s="24"/>
    </row>
    <row r="662">
      <c r="A662" s="58"/>
      <c r="B662" s="63"/>
      <c r="C662" s="25"/>
      <c r="D662" s="36"/>
      <c r="E662" s="24"/>
      <c r="F662" s="24"/>
    </row>
    <row r="663">
      <c r="A663" s="58"/>
      <c r="B663" s="63"/>
      <c r="C663" s="25"/>
      <c r="D663" s="36"/>
      <c r="E663" s="24"/>
      <c r="F663" s="24"/>
    </row>
    <row r="664">
      <c r="A664" s="58"/>
      <c r="B664" s="63"/>
      <c r="C664" s="25"/>
      <c r="D664" s="36"/>
      <c r="E664" s="24"/>
      <c r="F664" s="24"/>
    </row>
    <row r="665">
      <c r="A665" s="58"/>
      <c r="B665" s="63"/>
      <c r="C665" s="25"/>
      <c r="D665" s="36"/>
      <c r="E665" s="24"/>
      <c r="F665" s="24"/>
    </row>
    <row r="666">
      <c r="A666" s="58"/>
      <c r="B666" s="63"/>
      <c r="C666" s="25"/>
      <c r="D666" s="36"/>
      <c r="E666" s="24"/>
      <c r="F666" s="24"/>
    </row>
    <row r="667">
      <c r="A667" s="58"/>
      <c r="B667" s="63"/>
      <c r="C667" s="25"/>
      <c r="D667" s="36"/>
      <c r="E667" s="24"/>
      <c r="F667" s="24"/>
    </row>
    <row r="668">
      <c r="A668" s="58"/>
      <c r="B668" s="63"/>
      <c r="C668" s="25"/>
      <c r="D668" s="36"/>
      <c r="E668" s="24"/>
      <c r="F668" s="24"/>
    </row>
    <row r="669">
      <c r="A669" s="58"/>
      <c r="B669" s="63"/>
      <c r="C669" s="25"/>
      <c r="D669" s="36"/>
      <c r="E669" s="24"/>
      <c r="F669" s="24"/>
    </row>
    <row r="670">
      <c r="A670" s="58"/>
      <c r="B670" s="63"/>
      <c r="C670" s="25"/>
      <c r="D670" s="36"/>
      <c r="E670" s="24"/>
      <c r="F670" s="24"/>
    </row>
    <row r="671">
      <c r="A671" s="58"/>
      <c r="B671" s="63"/>
      <c r="C671" s="25"/>
      <c r="D671" s="36"/>
      <c r="E671" s="24"/>
      <c r="F671" s="24"/>
    </row>
    <row r="672">
      <c r="A672" s="58"/>
      <c r="B672" s="63"/>
      <c r="C672" s="25"/>
      <c r="D672" s="36"/>
      <c r="E672" s="24"/>
      <c r="F672" s="24"/>
    </row>
    <row r="673">
      <c r="A673" s="58"/>
      <c r="B673" s="63"/>
      <c r="C673" s="25"/>
      <c r="D673" s="36"/>
      <c r="E673" s="24"/>
      <c r="F673" s="24"/>
    </row>
    <row r="674">
      <c r="A674" s="58"/>
      <c r="B674" s="63"/>
      <c r="C674" s="25"/>
      <c r="D674" s="36"/>
      <c r="E674" s="24"/>
      <c r="F674" s="24"/>
    </row>
    <row r="675">
      <c r="A675" s="58"/>
      <c r="B675" s="63"/>
      <c r="C675" s="25"/>
      <c r="D675" s="36"/>
      <c r="E675" s="24"/>
      <c r="F675" s="24"/>
    </row>
    <row r="676">
      <c r="A676" s="58"/>
      <c r="B676" s="63"/>
      <c r="C676" s="25"/>
      <c r="D676" s="36"/>
      <c r="E676" s="24"/>
      <c r="F676" s="24"/>
    </row>
    <row r="677">
      <c r="A677" s="58"/>
      <c r="B677" s="63"/>
      <c r="C677" s="25"/>
      <c r="D677" s="36"/>
      <c r="E677" s="24"/>
      <c r="F677" s="24"/>
    </row>
    <row r="678">
      <c r="A678" s="58"/>
      <c r="B678" s="63"/>
      <c r="C678" s="25"/>
      <c r="D678" s="36"/>
      <c r="E678" s="24"/>
      <c r="F678" s="24"/>
    </row>
    <row r="679">
      <c r="A679" s="58"/>
      <c r="B679" s="63"/>
      <c r="C679" s="25"/>
      <c r="D679" s="36"/>
      <c r="E679" s="24"/>
      <c r="F679" s="24"/>
    </row>
    <row r="680">
      <c r="A680" s="58"/>
      <c r="B680" s="63"/>
      <c r="C680" s="25"/>
      <c r="D680" s="36"/>
      <c r="E680" s="24"/>
      <c r="F680" s="24"/>
    </row>
    <row r="681">
      <c r="A681" s="58"/>
      <c r="B681" s="63"/>
      <c r="C681" s="25"/>
      <c r="D681" s="36"/>
      <c r="E681" s="24"/>
      <c r="F681" s="24"/>
    </row>
    <row r="682">
      <c r="A682" s="58"/>
      <c r="B682" s="63"/>
      <c r="C682" s="25"/>
      <c r="D682" s="36"/>
      <c r="E682" s="24"/>
      <c r="F682" s="24"/>
    </row>
    <row r="683">
      <c r="A683" s="58"/>
      <c r="B683" s="63"/>
      <c r="C683" s="25"/>
      <c r="D683" s="36"/>
      <c r="E683" s="24"/>
      <c r="F683" s="24"/>
    </row>
    <row r="684">
      <c r="A684" s="58"/>
      <c r="B684" s="63"/>
      <c r="C684" s="25"/>
      <c r="D684" s="36"/>
      <c r="E684" s="24"/>
      <c r="F684" s="24"/>
    </row>
    <row r="685">
      <c r="A685" s="58"/>
      <c r="B685" s="63"/>
      <c r="C685" s="25"/>
      <c r="D685" s="36"/>
      <c r="E685" s="24"/>
      <c r="F685" s="24"/>
    </row>
    <row r="686">
      <c r="A686" s="58"/>
      <c r="B686" s="63"/>
      <c r="C686" s="25"/>
      <c r="D686" s="36"/>
      <c r="E686" s="24"/>
      <c r="F686" s="24"/>
    </row>
    <row r="687">
      <c r="A687" s="58"/>
      <c r="B687" s="63"/>
      <c r="C687" s="25"/>
      <c r="D687" s="36"/>
      <c r="E687" s="24"/>
      <c r="F687" s="24"/>
    </row>
    <row r="688">
      <c r="A688" s="58"/>
      <c r="B688" s="63"/>
      <c r="C688" s="25"/>
      <c r="D688" s="36"/>
      <c r="E688" s="24"/>
      <c r="F688" s="24"/>
    </row>
    <row r="689">
      <c r="A689" s="58"/>
      <c r="B689" s="63"/>
      <c r="C689" s="25"/>
      <c r="D689" s="36"/>
      <c r="E689" s="24"/>
      <c r="F689" s="24"/>
    </row>
    <row r="690">
      <c r="A690" s="58"/>
      <c r="B690" s="63"/>
      <c r="C690" s="25"/>
      <c r="D690" s="36"/>
      <c r="E690" s="24"/>
      <c r="F690" s="24"/>
    </row>
    <row r="691">
      <c r="A691" s="58"/>
      <c r="B691" s="63"/>
      <c r="C691" s="25"/>
      <c r="D691" s="36"/>
      <c r="E691" s="24"/>
      <c r="F691" s="24"/>
    </row>
    <row r="692">
      <c r="A692" s="58"/>
      <c r="B692" s="63"/>
      <c r="C692" s="25"/>
      <c r="D692" s="36"/>
      <c r="E692" s="24"/>
      <c r="F692" s="24"/>
    </row>
    <row r="693">
      <c r="A693" s="58"/>
      <c r="B693" s="63"/>
      <c r="C693" s="25"/>
      <c r="D693" s="36"/>
      <c r="E693" s="24"/>
      <c r="F693" s="24"/>
    </row>
    <row r="694">
      <c r="A694" s="58"/>
      <c r="B694" s="63"/>
      <c r="C694" s="25"/>
      <c r="D694" s="36"/>
      <c r="E694" s="24"/>
      <c r="F694" s="24"/>
    </row>
    <row r="695">
      <c r="A695" s="58"/>
      <c r="B695" s="63"/>
      <c r="C695" s="25"/>
      <c r="D695" s="36"/>
      <c r="E695" s="24"/>
      <c r="F695" s="24"/>
    </row>
    <row r="696">
      <c r="A696" s="58"/>
      <c r="B696" s="63"/>
      <c r="C696" s="25"/>
      <c r="D696" s="36"/>
      <c r="E696" s="24"/>
      <c r="F696" s="24"/>
    </row>
    <row r="697">
      <c r="A697" s="58"/>
      <c r="B697" s="63"/>
      <c r="C697" s="25"/>
      <c r="D697" s="36"/>
      <c r="E697" s="24"/>
      <c r="F697" s="24"/>
    </row>
    <row r="698">
      <c r="A698" s="58"/>
      <c r="B698" s="63"/>
      <c r="C698" s="25"/>
      <c r="D698" s="36"/>
      <c r="E698" s="24"/>
      <c r="F698" s="24"/>
    </row>
    <row r="699">
      <c r="A699" s="58"/>
      <c r="B699" s="63"/>
      <c r="C699" s="25"/>
      <c r="D699" s="36"/>
      <c r="E699" s="24"/>
      <c r="F699" s="24"/>
    </row>
    <row r="700">
      <c r="A700" s="58"/>
      <c r="B700" s="63"/>
      <c r="C700" s="25"/>
      <c r="D700" s="36"/>
      <c r="E700" s="24"/>
      <c r="F700" s="24"/>
    </row>
    <row r="701">
      <c r="A701" s="58"/>
      <c r="B701" s="63"/>
      <c r="C701" s="25"/>
      <c r="D701" s="36"/>
      <c r="E701" s="24"/>
      <c r="F701" s="24"/>
    </row>
    <row r="702">
      <c r="A702" s="58"/>
      <c r="B702" s="63"/>
      <c r="C702" s="25"/>
      <c r="D702" s="36"/>
      <c r="E702" s="24"/>
      <c r="F702" s="24"/>
    </row>
    <row r="703">
      <c r="A703" s="58"/>
      <c r="B703" s="63"/>
      <c r="C703" s="25"/>
      <c r="D703" s="36"/>
      <c r="E703" s="24"/>
      <c r="F703" s="24"/>
    </row>
    <row r="704">
      <c r="A704" s="58"/>
      <c r="B704" s="63"/>
      <c r="C704" s="25"/>
      <c r="D704" s="36"/>
      <c r="E704" s="24"/>
      <c r="F704" s="24"/>
    </row>
    <row r="705">
      <c r="A705" s="58"/>
      <c r="B705" s="63"/>
      <c r="C705" s="25"/>
      <c r="D705" s="36"/>
      <c r="E705" s="24"/>
      <c r="F705" s="24"/>
    </row>
    <row r="706">
      <c r="A706" s="58"/>
      <c r="B706" s="63"/>
      <c r="C706" s="25"/>
      <c r="D706" s="36"/>
      <c r="E706" s="24"/>
      <c r="F706" s="24"/>
    </row>
    <row r="707">
      <c r="A707" s="58"/>
      <c r="B707" s="63"/>
      <c r="C707" s="25"/>
      <c r="D707" s="36"/>
      <c r="E707" s="24"/>
      <c r="F707" s="24"/>
    </row>
    <row r="708">
      <c r="A708" s="58"/>
      <c r="B708" s="63"/>
      <c r="C708" s="25"/>
      <c r="D708" s="36"/>
      <c r="E708" s="24"/>
      <c r="F708" s="24"/>
    </row>
    <row r="709">
      <c r="A709" s="58"/>
      <c r="B709" s="63"/>
      <c r="C709" s="25"/>
      <c r="D709" s="36"/>
      <c r="E709" s="24"/>
      <c r="F709" s="24"/>
    </row>
    <row r="710">
      <c r="A710" s="58"/>
      <c r="B710" s="63"/>
      <c r="C710" s="25"/>
      <c r="D710" s="36"/>
      <c r="E710" s="24"/>
      <c r="F710" s="24"/>
    </row>
    <row r="711">
      <c r="A711" s="58"/>
      <c r="B711" s="63"/>
      <c r="C711" s="25"/>
      <c r="D711" s="36"/>
      <c r="E711" s="24"/>
      <c r="F711" s="24"/>
    </row>
    <row r="712">
      <c r="A712" s="58"/>
      <c r="B712" s="63"/>
      <c r="C712" s="25"/>
      <c r="D712" s="36"/>
      <c r="E712" s="24"/>
      <c r="F712" s="24"/>
    </row>
    <row r="713">
      <c r="A713" s="58"/>
      <c r="B713" s="63"/>
      <c r="C713" s="25"/>
      <c r="D713" s="36"/>
      <c r="E713" s="24"/>
      <c r="F713" s="24"/>
    </row>
    <row r="714">
      <c r="A714" s="58"/>
      <c r="B714" s="63"/>
      <c r="C714" s="25"/>
      <c r="D714" s="36"/>
      <c r="E714" s="24"/>
      <c r="F714" s="24"/>
    </row>
    <row r="715">
      <c r="A715" s="58"/>
      <c r="B715" s="63"/>
      <c r="C715" s="25"/>
      <c r="D715" s="36"/>
      <c r="E715" s="24"/>
      <c r="F715" s="24"/>
    </row>
    <row r="716">
      <c r="A716" s="58"/>
      <c r="B716" s="63"/>
      <c r="C716" s="25"/>
      <c r="D716" s="36"/>
      <c r="E716" s="24"/>
      <c r="F716" s="24"/>
    </row>
    <row r="717">
      <c r="A717" s="58"/>
      <c r="B717" s="63"/>
      <c r="C717" s="25"/>
      <c r="D717" s="36"/>
      <c r="E717" s="24"/>
      <c r="F717" s="24"/>
    </row>
    <row r="718">
      <c r="A718" s="58"/>
      <c r="B718" s="63"/>
      <c r="C718" s="25"/>
      <c r="D718" s="36"/>
      <c r="E718" s="24"/>
      <c r="F718" s="24"/>
    </row>
    <row r="719">
      <c r="A719" s="58"/>
      <c r="B719" s="63"/>
      <c r="C719" s="25"/>
      <c r="D719" s="36"/>
      <c r="E719" s="24"/>
      <c r="F719" s="24"/>
    </row>
    <row r="720">
      <c r="A720" s="58"/>
      <c r="B720" s="63"/>
      <c r="C720" s="25"/>
      <c r="D720" s="36"/>
      <c r="E720" s="24"/>
      <c r="F720" s="24"/>
    </row>
    <row r="721">
      <c r="A721" s="58"/>
      <c r="B721" s="63"/>
      <c r="C721" s="25"/>
      <c r="D721" s="36"/>
      <c r="E721" s="24"/>
      <c r="F721" s="24"/>
    </row>
    <row r="722">
      <c r="A722" s="58"/>
      <c r="B722" s="63"/>
      <c r="C722" s="25"/>
      <c r="D722" s="36"/>
      <c r="E722" s="24"/>
      <c r="F722" s="24"/>
    </row>
    <row r="723">
      <c r="A723" s="58"/>
      <c r="B723" s="63"/>
      <c r="C723" s="25"/>
      <c r="D723" s="36"/>
      <c r="E723" s="24"/>
      <c r="F723" s="24"/>
    </row>
    <row r="724">
      <c r="A724" s="58"/>
      <c r="B724" s="63"/>
      <c r="C724" s="25"/>
      <c r="D724" s="36"/>
      <c r="E724" s="24"/>
      <c r="F724" s="24"/>
    </row>
    <row r="725">
      <c r="A725" s="58"/>
      <c r="B725" s="63"/>
      <c r="C725" s="25"/>
      <c r="D725" s="36"/>
      <c r="E725" s="24"/>
      <c r="F725" s="24"/>
    </row>
    <row r="726">
      <c r="A726" s="58"/>
      <c r="B726" s="63"/>
      <c r="C726" s="25"/>
      <c r="D726" s="36"/>
      <c r="E726" s="24"/>
      <c r="F726" s="24"/>
    </row>
    <row r="727">
      <c r="A727" s="58"/>
      <c r="B727" s="63"/>
      <c r="C727" s="25"/>
      <c r="D727" s="36"/>
      <c r="E727" s="24"/>
      <c r="F727" s="24"/>
    </row>
    <row r="728">
      <c r="A728" s="58"/>
      <c r="B728" s="63"/>
      <c r="C728" s="25"/>
      <c r="D728" s="36"/>
      <c r="E728" s="24"/>
      <c r="F728" s="24"/>
    </row>
    <row r="729">
      <c r="A729" s="58"/>
      <c r="B729" s="63"/>
      <c r="C729" s="25"/>
      <c r="D729" s="36"/>
      <c r="E729" s="24"/>
      <c r="F729" s="24"/>
    </row>
    <row r="730">
      <c r="A730" s="58"/>
      <c r="B730" s="63"/>
      <c r="C730" s="25"/>
      <c r="D730" s="36"/>
      <c r="E730" s="24"/>
      <c r="F730" s="24"/>
    </row>
    <row r="731">
      <c r="A731" s="58"/>
      <c r="B731" s="63"/>
      <c r="C731" s="25"/>
      <c r="D731" s="36"/>
      <c r="E731" s="24"/>
      <c r="F731" s="24"/>
    </row>
    <row r="732">
      <c r="A732" s="58"/>
      <c r="B732" s="63"/>
      <c r="C732" s="25"/>
      <c r="D732" s="36"/>
      <c r="E732" s="24"/>
      <c r="F732" s="24"/>
    </row>
    <row r="733">
      <c r="A733" s="58"/>
      <c r="B733" s="63"/>
      <c r="C733" s="25"/>
      <c r="D733" s="36"/>
      <c r="E733" s="24"/>
      <c r="F733" s="24"/>
    </row>
    <row r="734">
      <c r="A734" s="58"/>
      <c r="B734" s="63"/>
      <c r="C734" s="25"/>
      <c r="D734" s="36"/>
      <c r="E734" s="24"/>
      <c r="F734" s="24"/>
    </row>
    <row r="735">
      <c r="A735" s="58"/>
      <c r="B735" s="63"/>
      <c r="C735" s="25"/>
      <c r="D735" s="36"/>
      <c r="E735" s="24"/>
      <c r="F735" s="24"/>
    </row>
    <row r="736">
      <c r="A736" s="58"/>
      <c r="B736" s="63"/>
      <c r="C736" s="25"/>
      <c r="D736" s="36"/>
      <c r="E736" s="24"/>
      <c r="F736" s="24"/>
    </row>
    <row r="737">
      <c r="A737" s="58"/>
      <c r="B737" s="63"/>
      <c r="C737" s="25"/>
      <c r="D737" s="36"/>
      <c r="E737" s="24"/>
      <c r="F737" s="24"/>
    </row>
    <row r="738">
      <c r="A738" s="58"/>
      <c r="B738" s="63"/>
      <c r="C738" s="25"/>
      <c r="D738" s="36"/>
      <c r="E738" s="24"/>
      <c r="F738" s="24"/>
    </row>
    <row r="739">
      <c r="A739" s="58"/>
      <c r="B739" s="63"/>
      <c r="C739" s="25"/>
      <c r="D739" s="36"/>
      <c r="E739" s="24"/>
      <c r="F739" s="24"/>
    </row>
    <row r="740">
      <c r="A740" s="58"/>
      <c r="B740" s="63"/>
      <c r="C740" s="25"/>
      <c r="D740" s="36"/>
      <c r="E740" s="24"/>
      <c r="F740" s="24"/>
    </row>
    <row r="741">
      <c r="A741" s="58"/>
      <c r="B741" s="63"/>
      <c r="C741" s="25"/>
      <c r="D741" s="36"/>
      <c r="E741" s="24"/>
      <c r="F741" s="24"/>
    </row>
    <row r="742">
      <c r="A742" s="58"/>
      <c r="B742" s="63"/>
      <c r="C742" s="25"/>
      <c r="D742" s="36"/>
      <c r="E742" s="24"/>
      <c r="F742" s="24"/>
    </row>
    <row r="743">
      <c r="A743" s="58"/>
      <c r="B743" s="63"/>
      <c r="C743" s="25"/>
      <c r="D743" s="36"/>
      <c r="E743" s="24"/>
      <c r="F743" s="24"/>
    </row>
    <row r="744">
      <c r="A744" s="58"/>
      <c r="B744" s="63"/>
      <c r="C744" s="25"/>
      <c r="D744" s="36"/>
      <c r="E744" s="24"/>
      <c r="F744" s="24"/>
    </row>
    <row r="745">
      <c r="A745" s="58"/>
      <c r="B745" s="63"/>
      <c r="C745" s="25"/>
      <c r="D745" s="36"/>
      <c r="E745" s="24"/>
      <c r="F745" s="24"/>
    </row>
    <row r="746">
      <c r="A746" s="58"/>
      <c r="B746" s="63"/>
      <c r="C746" s="25"/>
      <c r="D746" s="36"/>
      <c r="E746" s="24"/>
      <c r="F746" s="24"/>
    </row>
    <row r="747">
      <c r="A747" s="58"/>
      <c r="B747" s="63"/>
      <c r="C747" s="25"/>
      <c r="D747" s="36"/>
      <c r="E747" s="24"/>
      <c r="F747" s="24"/>
    </row>
    <row r="748">
      <c r="A748" s="58"/>
      <c r="B748" s="63"/>
      <c r="C748" s="25"/>
      <c r="D748" s="36"/>
      <c r="E748" s="24"/>
      <c r="F748" s="24"/>
    </row>
    <row r="749">
      <c r="A749" s="58"/>
      <c r="B749" s="63"/>
      <c r="C749" s="25"/>
      <c r="D749" s="36"/>
      <c r="E749" s="24"/>
      <c r="F749" s="24"/>
    </row>
    <row r="750">
      <c r="A750" s="58"/>
      <c r="B750" s="63"/>
      <c r="C750" s="25"/>
      <c r="D750" s="36"/>
      <c r="E750" s="24"/>
      <c r="F750" s="24"/>
    </row>
    <row r="751">
      <c r="A751" s="58"/>
      <c r="B751" s="63"/>
      <c r="C751" s="25"/>
      <c r="D751" s="36"/>
      <c r="E751" s="24"/>
      <c r="F751" s="24"/>
    </row>
    <row r="752">
      <c r="A752" s="58"/>
      <c r="B752" s="63"/>
      <c r="C752" s="25"/>
      <c r="D752" s="36"/>
      <c r="E752" s="24"/>
      <c r="F752" s="24"/>
    </row>
    <row r="753">
      <c r="A753" s="58"/>
      <c r="B753" s="63"/>
      <c r="C753" s="25"/>
      <c r="D753" s="36"/>
      <c r="E753" s="24"/>
      <c r="F753" s="24"/>
    </row>
    <row r="754">
      <c r="A754" s="58"/>
      <c r="B754" s="63"/>
      <c r="C754" s="25"/>
      <c r="D754" s="36"/>
      <c r="E754" s="24"/>
      <c r="F754" s="24"/>
    </row>
    <row r="755">
      <c r="A755" s="58"/>
      <c r="B755" s="63"/>
      <c r="C755" s="25"/>
      <c r="D755" s="36"/>
      <c r="E755" s="24"/>
      <c r="F755" s="24"/>
    </row>
    <row r="756">
      <c r="A756" s="58"/>
      <c r="B756" s="63"/>
      <c r="C756" s="25"/>
      <c r="D756" s="36"/>
      <c r="E756" s="24"/>
      <c r="F756" s="24"/>
    </row>
    <row r="757">
      <c r="A757" s="58"/>
      <c r="B757" s="63"/>
      <c r="C757" s="25"/>
      <c r="D757" s="36"/>
      <c r="E757" s="24"/>
      <c r="F757" s="24"/>
    </row>
    <row r="758">
      <c r="A758" s="58"/>
      <c r="B758" s="63"/>
      <c r="C758" s="25"/>
      <c r="D758" s="36"/>
      <c r="E758" s="24"/>
      <c r="F758" s="24"/>
    </row>
    <row r="759">
      <c r="A759" s="58"/>
      <c r="B759" s="63"/>
      <c r="C759" s="25"/>
      <c r="D759" s="36"/>
      <c r="E759" s="24"/>
      <c r="F759" s="24"/>
    </row>
    <row r="760">
      <c r="A760" s="58"/>
      <c r="B760" s="63"/>
      <c r="C760" s="25"/>
      <c r="D760" s="36"/>
      <c r="E760" s="24"/>
      <c r="F760" s="24"/>
    </row>
    <row r="761">
      <c r="A761" s="58"/>
      <c r="B761" s="63"/>
      <c r="C761" s="25"/>
      <c r="D761" s="36"/>
      <c r="E761" s="24"/>
      <c r="F761" s="24"/>
    </row>
    <row r="762">
      <c r="A762" s="58"/>
      <c r="B762" s="63"/>
      <c r="C762" s="25"/>
      <c r="D762" s="36"/>
      <c r="E762" s="24"/>
      <c r="F762" s="24"/>
    </row>
    <row r="763">
      <c r="A763" s="58"/>
      <c r="B763" s="63"/>
      <c r="C763" s="25"/>
      <c r="D763" s="36"/>
      <c r="E763" s="24"/>
      <c r="F763" s="24"/>
    </row>
    <row r="764">
      <c r="A764" s="58"/>
      <c r="B764" s="63"/>
      <c r="C764" s="25"/>
      <c r="D764" s="36"/>
      <c r="E764" s="24"/>
      <c r="F764" s="24"/>
    </row>
    <row r="765">
      <c r="A765" s="58"/>
      <c r="B765" s="63"/>
      <c r="C765" s="25"/>
      <c r="D765" s="36"/>
      <c r="E765" s="24"/>
      <c r="F765" s="24"/>
    </row>
    <row r="766">
      <c r="A766" s="58"/>
      <c r="B766" s="63"/>
      <c r="C766" s="25"/>
      <c r="D766" s="36"/>
      <c r="E766" s="24"/>
      <c r="F766" s="24"/>
    </row>
    <row r="767">
      <c r="A767" s="58"/>
      <c r="B767" s="63"/>
      <c r="C767" s="25"/>
      <c r="D767" s="36"/>
      <c r="E767" s="24"/>
      <c r="F767" s="24"/>
    </row>
    <row r="768">
      <c r="A768" s="58"/>
      <c r="B768" s="63"/>
      <c r="C768" s="25"/>
      <c r="D768" s="36"/>
      <c r="E768" s="24"/>
      <c r="F768" s="24"/>
    </row>
    <row r="769">
      <c r="A769" s="58"/>
      <c r="B769" s="63"/>
      <c r="C769" s="25"/>
      <c r="D769" s="36"/>
      <c r="E769" s="24"/>
      <c r="F769" s="24"/>
    </row>
    <row r="770">
      <c r="A770" s="58"/>
      <c r="B770" s="63"/>
      <c r="C770" s="25"/>
      <c r="D770" s="36"/>
      <c r="E770" s="24"/>
      <c r="F770" s="24"/>
    </row>
    <row r="771">
      <c r="A771" s="58"/>
      <c r="B771" s="63"/>
      <c r="C771" s="25"/>
      <c r="D771" s="36"/>
      <c r="E771" s="24"/>
      <c r="F771" s="24"/>
    </row>
    <row r="772">
      <c r="A772" s="58"/>
      <c r="B772" s="63"/>
      <c r="C772" s="25"/>
      <c r="D772" s="36"/>
      <c r="E772" s="24"/>
      <c r="F772" s="24"/>
    </row>
    <row r="773">
      <c r="A773" s="58"/>
      <c r="B773" s="63"/>
      <c r="C773" s="25"/>
      <c r="D773" s="36"/>
      <c r="E773" s="24"/>
      <c r="F773" s="24"/>
    </row>
    <row r="774">
      <c r="A774" s="58"/>
      <c r="B774" s="63"/>
      <c r="C774" s="25"/>
      <c r="D774" s="36"/>
      <c r="E774" s="24"/>
      <c r="F774" s="24"/>
    </row>
    <row r="775">
      <c r="A775" s="58"/>
      <c r="B775" s="63"/>
      <c r="C775" s="25"/>
      <c r="D775" s="36"/>
      <c r="E775" s="24"/>
      <c r="F775" s="24"/>
    </row>
    <row r="776">
      <c r="A776" s="58"/>
      <c r="B776" s="63"/>
      <c r="C776" s="25"/>
      <c r="D776" s="36"/>
      <c r="E776" s="24"/>
      <c r="F776" s="24"/>
    </row>
    <row r="777">
      <c r="A777" s="58"/>
      <c r="B777" s="63"/>
      <c r="C777" s="25"/>
      <c r="D777" s="36"/>
      <c r="E777" s="24"/>
      <c r="F777" s="24"/>
    </row>
    <row r="778">
      <c r="A778" s="58"/>
      <c r="B778" s="63"/>
      <c r="C778" s="25"/>
      <c r="D778" s="36"/>
      <c r="E778" s="24"/>
      <c r="F778" s="24"/>
    </row>
    <row r="779">
      <c r="A779" s="58"/>
      <c r="B779" s="63"/>
      <c r="C779" s="25"/>
      <c r="D779" s="36"/>
      <c r="E779" s="24"/>
      <c r="F779" s="24"/>
    </row>
    <row r="780">
      <c r="A780" s="58"/>
      <c r="B780" s="63"/>
      <c r="C780" s="25"/>
      <c r="D780" s="36"/>
      <c r="E780" s="24"/>
      <c r="F780" s="24"/>
    </row>
    <row r="781">
      <c r="A781" s="58"/>
      <c r="B781" s="63"/>
      <c r="C781" s="25"/>
      <c r="D781" s="36"/>
      <c r="E781" s="24"/>
      <c r="F781" s="24"/>
    </row>
    <row r="782">
      <c r="A782" s="58"/>
      <c r="B782" s="63"/>
      <c r="C782" s="25"/>
      <c r="D782" s="36"/>
      <c r="E782" s="24"/>
      <c r="F782" s="24"/>
    </row>
    <row r="783">
      <c r="A783" s="58"/>
      <c r="B783" s="63"/>
      <c r="C783" s="25"/>
      <c r="D783" s="36"/>
      <c r="E783" s="24"/>
      <c r="F783" s="24"/>
    </row>
    <row r="784">
      <c r="A784" s="58"/>
      <c r="B784" s="63"/>
      <c r="C784" s="25"/>
      <c r="D784" s="36"/>
      <c r="E784" s="24"/>
      <c r="F784" s="24"/>
    </row>
    <row r="785">
      <c r="A785" s="58"/>
      <c r="B785" s="63"/>
      <c r="C785" s="25"/>
      <c r="D785" s="36"/>
      <c r="E785" s="24"/>
      <c r="F785" s="24"/>
    </row>
    <row r="786">
      <c r="A786" s="58"/>
      <c r="B786" s="63"/>
      <c r="C786" s="25"/>
      <c r="D786" s="36"/>
      <c r="E786" s="24"/>
      <c r="F786" s="24"/>
    </row>
    <row r="787">
      <c r="A787" s="58"/>
      <c r="B787" s="63"/>
      <c r="C787" s="25"/>
      <c r="D787" s="36"/>
      <c r="E787" s="24"/>
      <c r="F787" s="24"/>
    </row>
    <row r="788">
      <c r="A788" s="58"/>
      <c r="B788" s="63"/>
      <c r="C788" s="25"/>
      <c r="D788" s="36"/>
      <c r="E788" s="24"/>
      <c r="F788" s="24"/>
    </row>
    <row r="789">
      <c r="A789" s="58"/>
      <c r="B789" s="63"/>
      <c r="C789" s="25"/>
      <c r="D789" s="36"/>
      <c r="E789" s="24"/>
      <c r="F789" s="24"/>
    </row>
    <row r="790">
      <c r="A790" s="58"/>
      <c r="B790" s="63"/>
      <c r="C790" s="25"/>
      <c r="D790" s="36"/>
      <c r="E790" s="24"/>
      <c r="F790" s="24"/>
    </row>
    <row r="791">
      <c r="A791" s="58"/>
      <c r="B791" s="63"/>
      <c r="C791" s="25"/>
      <c r="D791" s="36"/>
      <c r="E791" s="24"/>
      <c r="F791" s="24"/>
    </row>
    <row r="792">
      <c r="A792" s="58"/>
      <c r="B792" s="63"/>
      <c r="C792" s="25"/>
      <c r="D792" s="36"/>
      <c r="E792" s="24"/>
      <c r="F792" s="24"/>
    </row>
    <row r="793">
      <c r="A793" s="58"/>
      <c r="B793" s="63"/>
      <c r="C793" s="25"/>
      <c r="D793" s="36"/>
      <c r="E793" s="24"/>
      <c r="F793" s="24"/>
    </row>
    <row r="794">
      <c r="A794" s="58"/>
      <c r="B794" s="63"/>
      <c r="C794" s="25"/>
      <c r="D794" s="36"/>
      <c r="E794" s="24"/>
      <c r="F794" s="24"/>
    </row>
    <row r="795">
      <c r="A795" s="58"/>
      <c r="B795" s="63"/>
      <c r="C795" s="25"/>
      <c r="D795" s="36"/>
      <c r="E795" s="24"/>
      <c r="F795" s="24"/>
    </row>
    <row r="796">
      <c r="A796" s="58"/>
      <c r="B796" s="63"/>
      <c r="C796" s="25"/>
      <c r="D796" s="36"/>
      <c r="E796" s="24"/>
      <c r="F796" s="24"/>
    </row>
    <row r="797">
      <c r="A797" s="58"/>
      <c r="B797" s="63"/>
      <c r="C797" s="25"/>
      <c r="D797" s="36"/>
      <c r="E797" s="24"/>
      <c r="F797" s="24"/>
    </row>
    <row r="798">
      <c r="A798" s="58"/>
      <c r="B798" s="63"/>
      <c r="C798" s="25"/>
      <c r="D798" s="36"/>
      <c r="E798" s="24"/>
      <c r="F798" s="24"/>
    </row>
    <row r="799">
      <c r="A799" s="58"/>
      <c r="B799" s="63"/>
      <c r="C799" s="25"/>
      <c r="D799" s="36"/>
      <c r="E799" s="24"/>
      <c r="F799" s="24"/>
    </row>
    <row r="800">
      <c r="A800" s="58"/>
      <c r="B800" s="63"/>
      <c r="C800" s="25"/>
      <c r="D800" s="36"/>
      <c r="E800" s="24"/>
      <c r="F800" s="24"/>
    </row>
    <row r="801">
      <c r="A801" s="58"/>
      <c r="B801" s="63"/>
      <c r="C801" s="25"/>
      <c r="D801" s="36"/>
      <c r="E801" s="24"/>
      <c r="F801" s="24"/>
    </row>
    <row r="802">
      <c r="A802" s="58"/>
      <c r="B802" s="63"/>
      <c r="C802" s="25"/>
      <c r="D802" s="36"/>
      <c r="E802" s="24"/>
      <c r="F802" s="24"/>
    </row>
    <row r="803">
      <c r="A803" s="58"/>
      <c r="B803" s="63"/>
      <c r="C803" s="25"/>
      <c r="D803" s="36"/>
      <c r="E803" s="24"/>
      <c r="F803" s="24"/>
    </row>
    <row r="804">
      <c r="A804" s="58"/>
      <c r="B804" s="63"/>
      <c r="C804" s="25"/>
      <c r="D804" s="36"/>
      <c r="E804" s="24"/>
      <c r="F804" s="24"/>
    </row>
    <row r="805">
      <c r="A805" s="58"/>
      <c r="B805" s="63"/>
      <c r="C805" s="25"/>
      <c r="D805" s="36"/>
      <c r="E805" s="24"/>
      <c r="F805" s="24"/>
    </row>
    <row r="806">
      <c r="A806" s="58"/>
      <c r="B806" s="63"/>
      <c r="C806" s="25"/>
      <c r="D806" s="36"/>
      <c r="E806" s="24"/>
      <c r="F806" s="24"/>
    </row>
    <row r="807">
      <c r="A807" s="58"/>
      <c r="B807" s="63"/>
      <c r="C807" s="25"/>
      <c r="D807" s="36"/>
      <c r="E807" s="24"/>
      <c r="F807" s="24"/>
    </row>
    <row r="808">
      <c r="A808" s="58"/>
      <c r="B808" s="63"/>
      <c r="C808" s="25"/>
      <c r="D808" s="36"/>
      <c r="E808" s="24"/>
      <c r="F808" s="24"/>
    </row>
    <row r="809">
      <c r="A809" s="58"/>
      <c r="B809" s="63"/>
      <c r="C809" s="25"/>
      <c r="D809" s="36"/>
      <c r="E809" s="24"/>
      <c r="F809" s="24"/>
    </row>
    <row r="810">
      <c r="A810" s="58"/>
      <c r="B810" s="63"/>
      <c r="C810" s="25"/>
      <c r="D810" s="36"/>
      <c r="E810" s="24"/>
      <c r="F810" s="24"/>
    </row>
    <row r="811">
      <c r="A811" s="58"/>
      <c r="B811" s="63"/>
      <c r="C811" s="25"/>
      <c r="D811" s="36"/>
      <c r="E811" s="24"/>
      <c r="F811" s="24"/>
    </row>
    <row r="812">
      <c r="A812" s="58"/>
      <c r="B812" s="63"/>
      <c r="C812" s="25"/>
      <c r="D812" s="36"/>
      <c r="E812" s="24"/>
      <c r="F812" s="24"/>
    </row>
    <row r="813">
      <c r="A813" s="58"/>
      <c r="B813" s="63"/>
      <c r="C813" s="25"/>
      <c r="D813" s="36"/>
      <c r="E813" s="24"/>
      <c r="F813" s="24"/>
    </row>
    <row r="814">
      <c r="A814" s="58"/>
      <c r="B814" s="63"/>
      <c r="C814" s="25"/>
      <c r="D814" s="36"/>
      <c r="E814" s="24"/>
      <c r="F814" s="24"/>
    </row>
    <row r="815">
      <c r="A815" s="58"/>
      <c r="B815" s="63"/>
      <c r="C815" s="25"/>
      <c r="D815" s="36"/>
      <c r="E815" s="24"/>
      <c r="F815" s="24"/>
    </row>
    <row r="816">
      <c r="A816" s="58"/>
      <c r="B816" s="63"/>
      <c r="C816" s="25"/>
      <c r="D816" s="36"/>
      <c r="E816" s="24"/>
      <c r="F816" s="24"/>
    </row>
    <row r="817">
      <c r="A817" s="58"/>
      <c r="B817" s="63"/>
      <c r="C817" s="25"/>
      <c r="D817" s="36"/>
      <c r="E817" s="24"/>
      <c r="F817" s="24"/>
    </row>
    <row r="818">
      <c r="A818" s="58"/>
      <c r="B818" s="63"/>
      <c r="C818" s="25"/>
      <c r="D818" s="36"/>
      <c r="E818" s="24"/>
      <c r="F818" s="24"/>
    </row>
    <row r="819">
      <c r="A819" s="58"/>
      <c r="B819" s="63"/>
      <c r="C819" s="25"/>
      <c r="D819" s="36"/>
      <c r="E819" s="24"/>
      <c r="F819" s="24"/>
    </row>
    <row r="820">
      <c r="A820" s="58"/>
      <c r="B820" s="63"/>
      <c r="C820" s="25"/>
      <c r="D820" s="36"/>
      <c r="E820" s="24"/>
      <c r="F820" s="24"/>
    </row>
    <row r="821">
      <c r="A821" s="58"/>
      <c r="B821" s="63"/>
      <c r="C821" s="25"/>
      <c r="D821" s="36"/>
      <c r="E821" s="24"/>
      <c r="F821" s="24"/>
    </row>
    <row r="822">
      <c r="A822" s="58"/>
      <c r="B822" s="63"/>
      <c r="C822" s="25"/>
      <c r="D822" s="36"/>
      <c r="E822" s="24"/>
      <c r="F822" s="24"/>
    </row>
    <row r="823">
      <c r="A823" s="58"/>
      <c r="B823" s="63"/>
      <c r="C823" s="25"/>
      <c r="D823" s="36"/>
      <c r="E823" s="24"/>
      <c r="F823" s="24"/>
    </row>
    <row r="824">
      <c r="A824" s="58"/>
      <c r="B824" s="63"/>
      <c r="C824" s="25"/>
      <c r="D824" s="36"/>
      <c r="E824" s="24"/>
      <c r="F824" s="24"/>
    </row>
    <row r="825">
      <c r="A825" s="58"/>
      <c r="B825" s="63"/>
      <c r="C825" s="25"/>
      <c r="D825" s="36"/>
      <c r="E825" s="24"/>
      <c r="F825" s="24"/>
    </row>
    <row r="826">
      <c r="A826" s="58"/>
      <c r="B826" s="63"/>
      <c r="C826" s="25"/>
      <c r="D826" s="36"/>
      <c r="E826" s="24"/>
      <c r="F826" s="24"/>
    </row>
    <row r="827">
      <c r="A827" s="58"/>
      <c r="B827" s="63"/>
      <c r="C827" s="25"/>
      <c r="D827" s="36"/>
      <c r="E827" s="24"/>
      <c r="F827" s="24"/>
    </row>
    <row r="828">
      <c r="A828" s="58"/>
      <c r="B828" s="63"/>
      <c r="C828" s="25"/>
      <c r="D828" s="36"/>
      <c r="E828" s="24"/>
      <c r="F828" s="24"/>
    </row>
    <row r="829">
      <c r="A829" s="58"/>
      <c r="B829" s="63"/>
      <c r="C829" s="25"/>
      <c r="D829" s="36"/>
      <c r="E829" s="24"/>
      <c r="F829" s="24"/>
    </row>
    <row r="830">
      <c r="A830" s="58"/>
      <c r="B830" s="63"/>
      <c r="C830" s="25"/>
      <c r="D830" s="36"/>
      <c r="E830" s="24"/>
      <c r="F830" s="24"/>
    </row>
    <row r="831">
      <c r="A831" s="58"/>
      <c r="B831" s="63"/>
      <c r="C831" s="25"/>
      <c r="D831" s="36"/>
      <c r="E831" s="24"/>
      <c r="F831" s="24"/>
    </row>
    <row r="832">
      <c r="A832" s="58"/>
      <c r="B832" s="63"/>
      <c r="C832" s="25"/>
      <c r="D832" s="36"/>
      <c r="E832" s="24"/>
      <c r="F832" s="24"/>
    </row>
    <row r="833">
      <c r="A833" s="58"/>
      <c r="B833" s="63"/>
      <c r="C833" s="25"/>
      <c r="D833" s="36"/>
      <c r="E833" s="24"/>
      <c r="F833" s="24"/>
    </row>
    <row r="834">
      <c r="A834" s="58"/>
      <c r="B834" s="63"/>
      <c r="C834" s="25"/>
      <c r="D834" s="36"/>
      <c r="E834" s="24"/>
      <c r="F834" s="24"/>
    </row>
    <row r="835">
      <c r="A835" s="58"/>
      <c r="B835" s="63"/>
      <c r="C835" s="25"/>
      <c r="D835" s="36"/>
      <c r="E835" s="24"/>
      <c r="F835" s="24"/>
    </row>
    <row r="836">
      <c r="A836" s="58"/>
      <c r="B836" s="63"/>
      <c r="C836" s="25"/>
      <c r="D836" s="36"/>
      <c r="E836" s="24"/>
      <c r="F836" s="24"/>
    </row>
    <row r="837">
      <c r="A837" s="58"/>
      <c r="B837" s="63"/>
      <c r="C837" s="25"/>
      <c r="D837" s="36"/>
      <c r="E837" s="24"/>
      <c r="F837" s="24"/>
    </row>
    <row r="838">
      <c r="A838" s="58"/>
      <c r="B838" s="63"/>
      <c r="C838" s="25"/>
      <c r="D838" s="36"/>
      <c r="E838" s="24"/>
      <c r="F838" s="24"/>
    </row>
    <row r="839">
      <c r="A839" s="58"/>
      <c r="B839" s="63"/>
      <c r="C839" s="25"/>
      <c r="D839" s="36"/>
      <c r="E839" s="24"/>
      <c r="F839" s="24"/>
    </row>
    <row r="840">
      <c r="A840" s="58"/>
      <c r="B840" s="63"/>
      <c r="C840" s="25"/>
      <c r="D840" s="36"/>
      <c r="E840" s="24"/>
      <c r="F840" s="24"/>
    </row>
    <row r="841">
      <c r="A841" s="58"/>
      <c r="B841" s="63"/>
      <c r="C841" s="25"/>
      <c r="D841" s="36"/>
      <c r="E841" s="24"/>
      <c r="F841" s="24"/>
    </row>
    <row r="842">
      <c r="A842" s="58"/>
      <c r="B842" s="63"/>
      <c r="C842" s="25"/>
      <c r="D842" s="36"/>
      <c r="E842" s="24"/>
      <c r="F842" s="24"/>
    </row>
    <row r="843">
      <c r="A843" s="58"/>
      <c r="B843" s="63"/>
      <c r="C843" s="25"/>
      <c r="D843" s="36"/>
      <c r="E843" s="24"/>
      <c r="F843" s="24"/>
    </row>
    <row r="844">
      <c r="A844" s="58"/>
      <c r="B844" s="63"/>
      <c r="C844" s="25"/>
      <c r="D844" s="36"/>
      <c r="E844" s="24"/>
      <c r="F844" s="24"/>
    </row>
    <row r="845">
      <c r="A845" s="58"/>
      <c r="B845" s="63"/>
      <c r="C845" s="25"/>
      <c r="D845" s="36"/>
      <c r="E845" s="24"/>
      <c r="F845" s="24"/>
    </row>
    <row r="846">
      <c r="A846" s="58"/>
      <c r="B846" s="63"/>
      <c r="C846" s="25"/>
      <c r="D846" s="36"/>
      <c r="E846" s="24"/>
      <c r="F846" s="24"/>
    </row>
    <row r="847">
      <c r="A847" s="58"/>
      <c r="B847" s="63"/>
      <c r="C847" s="25"/>
      <c r="D847" s="36"/>
      <c r="E847" s="24"/>
      <c r="F847" s="24"/>
    </row>
    <row r="848">
      <c r="A848" s="58"/>
      <c r="B848" s="63"/>
      <c r="C848" s="25"/>
      <c r="D848" s="36"/>
      <c r="E848" s="24"/>
      <c r="F848" s="24"/>
    </row>
    <row r="849">
      <c r="A849" s="58"/>
      <c r="B849" s="63"/>
      <c r="C849" s="25"/>
      <c r="D849" s="36"/>
      <c r="E849" s="24"/>
      <c r="F849" s="24"/>
    </row>
    <row r="850">
      <c r="A850" s="58"/>
      <c r="B850" s="63"/>
      <c r="C850" s="25"/>
      <c r="D850" s="36"/>
      <c r="E850" s="24"/>
      <c r="F850" s="24"/>
    </row>
    <row r="851">
      <c r="A851" s="58"/>
      <c r="B851" s="63"/>
      <c r="C851" s="25"/>
      <c r="D851" s="36"/>
      <c r="E851" s="24"/>
      <c r="F851" s="24"/>
    </row>
    <row r="852">
      <c r="A852" s="58"/>
      <c r="B852" s="63"/>
      <c r="C852" s="25"/>
      <c r="D852" s="36"/>
      <c r="E852" s="24"/>
      <c r="F852" s="24"/>
    </row>
    <row r="853">
      <c r="A853" s="58"/>
      <c r="B853" s="63"/>
      <c r="C853" s="25"/>
      <c r="D853" s="36"/>
      <c r="E853" s="24"/>
      <c r="F853" s="24"/>
    </row>
    <row r="854">
      <c r="A854" s="58"/>
      <c r="B854" s="63"/>
      <c r="C854" s="25"/>
      <c r="D854" s="36"/>
      <c r="E854" s="24"/>
      <c r="F854" s="24"/>
    </row>
    <row r="855">
      <c r="A855" s="58"/>
      <c r="B855" s="63"/>
      <c r="C855" s="25"/>
      <c r="D855" s="36"/>
      <c r="E855" s="24"/>
      <c r="F855" s="24"/>
    </row>
    <row r="856">
      <c r="A856" s="58"/>
      <c r="B856" s="63"/>
      <c r="C856" s="25"/>
      <c r="D856" s="36"/>
      <c r="E856" s="24"/>
      <c r="F856" s="24"/>
    </row>
    <row r="857">
      <c r="A857" s="58"/>
      <c r="B857" s="63"/>
      <c r="C857" s="25"/>
      <c r="D857" s="36"/>
      <c r="E857" s="24"/>
      <c r="F857" s="24"/>
    </row>
    <row r="858">
      <c r="A858" s="58"/>
      <c r="B858" s="63"/>
      <c r="C858" s="25"/>
      <c r="D858" s="36"/>
      <c r="E858" s="24"/>
      <c r="F858" s="24"/>
    </row>
    <row r="859">
      <c r="A859" s="58"/>
      <c r="B859" s="63"/>
      <c r="C859" s="25"/>
      <c r="D859" s="36"/>
      <c r="E859" s="24"/>
      <c r="F859" s="24"/>
    </row>
    <row r="860">
      <c r="A860" s="58"/>
      <c r="B860" s="63"/>
      <c r="C860" s="25"/>
      <c r="D860" s="36"/>
      <c r="E860" s="24"/>
      <c r="F860" s="24"/>
    </row>
    <row r="861">
      <c r="A861" s="58"/>
      <c r="B861" s="63"/>
      <c r="C861" s="25"/>
      <c r="D861" s="36"/>
      <c r="E861" s="24"/>
      <c r="F861" s="24"/>
    </row>
    <row r="862">
      <c r="A862" s="58"/>
      <c r="B862" s="63"/>
      <c r="C862" s="25"/>
      <c r="D862" s="36"/>
      <c r="E862" s="24"/>
      <c r="F862" s="24"/>
    </row>
    <row r="863">
      <c r="A863" s="58"/>
      <c r="B863" s="63"/>
      <c r="C863" s="25"/>
      <c r="D863" s="36"/>
      <c r="E863" s="24"/>
      <c r="F863" s="24"/>
    </row>
    <row r="864">
      <c r="A864" s="58"/>
      <c r="B864" s="63"/>
      <c r="C864" s="25"/>
      <c r="D864" s="36"/>
      <c r="E864" s="24"/>
      <c r="F864" s="24"/>
    </row>
    <row r="865">
      <c r="A865" s="58"/>
      <c r="B865" s="63"/>
      <c r="C865" s="25"/>
      <c r="D865" s="36"/>
      <c r="E865" s="24"/>
      <c r="F865" s="24"/>
    </row>
    <row r="866">
      <c r="A866" s="58"/>
      <c r="B866" s="63"/>
      <c r="C866" s="25"/>
      <c r="D866" s="36"/>
      <c r="E866" s="24"/>
      <c r="F866" s="24"/>
    </row>
    <row r="867">
      <c r="A867" s="58"/>
      <c r="B867" s="63"/>
      <c r="C867" s="25"/>
      <c r="D867" s="36"/>
      <c r="E867" s="24"/>
      <c r="F867" s="24"/>
    </row>
    <row r="868">
      <c r="A868" s="58"/>
      <c r="B868" s="63"/>
      <c r="C868" s="25"/>
      <c r="D868" s="36"/>
      <c r="E868" s="24"/>
      <c r="F868" s="24"/>
    </row>
    <row r="869">
      <c r="A869" s="58"/>
      <c r="B869" s="63"/>
      <c r="C869" s="25"/>
      <c r="D869" s="36"/>
      <c r="E869" s="24"/>
      <c r="F869" s="24"/>
    </row>
    <row r="870">
      <c r="A870" s="58"/>
      <c r="B870" s="63"/>
      <c r="C870" s="25"/>
      <c r="D870" s="36"/>
      <c r="E870" s="24"/>
      <c r="F870" s="24"/>
    </row>
    <row r="871">
      <c r="A871" s="58"/>
      <c r="B871" s="63"/>
      <c r="C871" s="25"/>
      <c r="D871" s="36"/>
      <c r="E871" s="24"/>
      <c r="F871" s="24"/>
    </row>
    <row r="872">
      <c r="A872" s="58"/>
      <c r="B872" s="63"/>
      <c r="C872" s="25"/>
      <c r="D872" s="36"/>
      <c r="E872" s="24"/>
      <c r="F872" s="24"/>
    </row>
    <row r="873">
      <c r="A873" s="58"/>
      <c r="B873" s="63"/>
      <c r="C873" s="25"/>
      <c r="D873" s="36"/>
      <c r="E873" s="24"/>
      <c r="F873" s="24"/>
    </row>
    <row r="874">
      <c r="A874" s="58"/>
      <c r="B874" s="63"/>
      <c r="C874" s="25"/>
      <c r="D874" s="36"/>
      <c r="E874" s="24"/>
      <c r="F874" s="24"/>
    </row>
    <row r="875">
      <c r="A875" s="58"/>
      <c r="B875" s="63"/>
      <c r="C875" s="25"/>
      <c r="D875" s="36"/>
      <c r="E875" s="24"/>
      <c r="F875" s="24"/>
    </row>
    <row r="876">
      <c r="A876" s="58"/>
      <c r="B876" s="63"/>
      <c r="C876" s="25"/>
      <c r="D876" s="36"/>
      <c r="E876" s="24"/>
      <c r="F876" s="24"/>
    </row>
    <row r="877">
      <c r="A877" s="58"/>
      <c r="B877" s="63"/>
      <c r="C877" s="25"/>
      <c r="D877" s="36"/>
      <c r="E877" s="24"/>
      <c r="F877" s="24"/>
    </row>
    <row r="878">
      <c r="A878" s="58"/>
      <c r="B878" s="63"/>
      <c r="C878" s="25"/>
      <c r="D878" s="36"/>
      <c r="E878" s="24"/>
      <c r="F878" s="24"/>
    </row>
    <row r="879">
      <c r="A879" s="58"/>
      <c r="B879" s="63"/>
      <c r="C879" s="25"/>
      <c r="D879" s="36"/>
      <c r="E879" s="24"/>
      <c r="F879" s="24"/>
    </row>
    <row r="880">
      <c r="A880" s="58"/>
      <c r="B880" s="63"/>
      <c r="C880" s="25"/>
      <c r="D880" s="36"/>
      <c r="E880" s="24"/>
      <c r="F880" s="24"/>
    </row>
    <row r="881">
      <c r="A881" s="58"/>
      <c r="B881" s="63"/>
      <c r="C881" s="25"/>
      <c r="D881" s="36"/>
      <c r="E881" s="24"/>
      <c r="F881" s="24"/>
    </row>
    <row r="882">
      <c r="A882" s="58"/>
      <c r="B882" s="63"/>
      <c r="C882" s="25"/>
      <c r="D882" s="36"/>
      <c r="E882" s="24"/>
      <c r="F882" s="24"/>
    </row>
    <row r="883">
      <c r="A883" s="58"/>
      <c r="B883" s="63"/>
      <c r="C883" s="25"/>
      <c r="D883" s="36"/>
      <c r="E883" s="24"/>
      <c r="F883" s="24"/>
    </row>
    <row r="884">
      <c r="A884" s="58"/>
      <c r="B884" s="63"/>
      <c r="C884" s="25"/>
      <c r="D884" s="36"/>
      <c r="E884" s="24"/>
      <c r="F884" s="24"/>
    </row>
    <row r="885">
      <c r="A885" s="58"/>
      <c r="B885" s="63"/>
      <c r="C885" s="25"/>
      <c r="D885" s="36"/>
      <c r="E885" s="24"/>
      <c r="F885" s="24"/>
    </row>
    <row r="886">
      <c r="A886" s="58"/>
      <c r="B886" s="63"/>
      <c r="C886" s="25"/>
      <c r="D886" s="36"/>
      <c r="E886" s="24"/>
      <c r="F886" s="24"/>
    </row>
    <row r="887">
      <c r="A887" s="58"/>
      <c r="B887" s="63"/>
      <c r="C887" s="25"/>
      <c r="D887" s="36"/>
      <c r="E887" s="24"/>
      <c r="F887" s="24"/>
    </row>
    <row r="888">
      <c r="A888" s="58"/>
      <c r="B888" s="63"/>
      <c r="C888" s="25"/>
      <c r="D888" s="36"/>
      <c r="E888" s="24"/>
      <c r="F888" s="24"/>
    </row>
    <row r="889">
      <c r="A889" s="58"/>
      <c r="B889" s="63"/>
      <c r="C889" s="25"/>
      <c r="D889" s="36"/>
      <c r="E889" s="24"/>
      <c r="F889" s="24"/>
    </row>
    <row r="890">
      <c r="A890" s="58"/>
      <c r="B890" s="63"/>
      <c r="C890" s="25"/>
      <c r="D890" s="36"/>
      <c r="E890" s="24"/>
      <c r="F890" s="24"/>
    </row>
    <row r="891">
      <c r="A891" s="58"/>
      <c r="B891" s="63"/>
      <c r="C891" s="25"/>
      <c r="D891" s="36"/>
      <c r="E891" s="24"/>
      <c r="F891" s="24"/>
    </row>
    <row r="892">
      <c r="A892" s="58"/>
      <c r="B892" s="63"/>
      <c r="C892" s="25"/>
      <c r="D892" s="36"/>
      <c r="E892" s="24"/>
      <c r="F892" s="24"/>
    </row>
    <row r="893">
      <c r="A893" s="58"/>
      <c r="B893" s="63"/>
      <c r="C893" s="25"/>
      <c r="D893" s="36"/>
      <c r="E893" s="24"/>
      <c r="F893" s="24"/>
    </row>
    <row r="894">
      <c r="A894" s="58"/>
      <c r="B894" s="63"/>
      <c r="C894" s="25"/>
      <c r="D894" s="36"/>
      <c r="E894" s="24"/>
      <c r="F894" s="24"/>
    </row>
    <row r="895">
      <c r="A895" s="58"/>
      <c r="B895" s="63"/>
      <c r="C895" s="25"/>
      <c r="D895" s="36"/>
      <c r="E895" s="24"/>
      <c r="F895" s="24"/>
    </row>
    <row r="896">
      <c r="A896" s="58"/>
      <c r="B896" s="63"/>
      <c r="C896" s="25"/>
      <c r="D896" s="36"/>
      <c r="E896" s="24"/>
      <c r="F896" s="24"/>
    </row>
    <row r="897">
      <c r="A897" s="58"/>
      <c r="B897" s="63"/>
      <c r="C897" s="25"/>
      <c r="D897" s="36"/>
      <c r="E897" s="24"/>
      <c r="F897" s="24"/>
    </row>
    <row r="898">
      <c r="A898" s="58"/>
      <c r="B898" s="63"/>
      <c r="C898" s="25"/>
      <c r="D898" s="36"/>
      <c r="E898" s="24"/>
      <c r="F898" s="24"/>
    </row>
    <row r="899">
      <c r="A899" s="58"/>
      <c r="B899" s="63"/>
      <c r="C899" s="25"/>
      <c r="D899" s="36"/>
      <c r="E899" s="24"/>
      <c r="F899" s="24"/>
    </row>
    <row r="900">
      <c r="A900" s="58"/>
      <c r="B900" s="63"/>
      <c r="C900" s="25"/>
      <c r="D900" s="36"/>
      <c r="E900" s="24"/>
      <c r="F900" s="24"/>
    </row>
    <row r="901">
      <c r="A901" s="58"/>
      <c r="B901" s="63"/>
      <c r="C901" s="25"/>
      <c r="D901" s="36"/>
      <c r="E901" s="24"/>
      <c r="F901" s="24"/>
    </row>
    <row r="902">
      <c r="A902" s="58"/>
      <c r="B902" s="63"/>
      <c r="C902" s="25"/>
      <c r="D902" s="36"/>
      <c r="E902" s="24"/>
      <c r="F902" s="24"/>
    </row>
    <row r="903">
      <c r="A903" s="58"/>
      <c r="B903" s="63"/>
      <c r="C903" s="25"/>
      <c r="D903" s="36"/>
      <c r="E903" s="24"/>
      <c r="F903" s="24"/>
    </row>
    <row r="904">
      <c r="A904" s="58"/>
      <c r="B904" s="63"/>
      <c r="C904" s="25"/>
      <c r="D904" s="36"/>
      <c r="E904" s="24"/>
      <c r="F904" s="24"/>
    </row>
    <row r="905">
      <c r="A905" s="58"/>
      <c r="B905" s="63"/>
      <c r="C905" s="25"/>
      <c r="D905" s="36"/>
      <c r="E905" s="24"/>
      <c r="F905" s="24"/>
    </row>
    <row r="906">
      <c r="A906" s="58"/>
      <c r="B906" s="63"/>
      <c r="C906" s="25"/>
      <c r="D906" s="36"/>
      <c r="E906" s="24"/>
      <c r="F906" s="24"/>
    </row>
    <row r="907">
      <c r="A907" s="58"/>
      <c r="B907" s="63"/>
      <c r="C907" s="25"/>
      <c r="D907" s="36"/>
      <c r="E907" s="24"/>
      <c r="F907" s="24"/>
    </row>
    <row r="908">
      <c r="A908" s="58"/>
      <c r="B908" s="63"/>
      <c r="C908" s="25"/>
      <c r="D908" s="36"/>
      <c r="E908" s="24"/>
      <c r="F908" s="24"/>
    </row>
    <row r="909">
      <c r="A909" s="58"/>
      <c r="B909" s="63"/>
      <c r="C909" s="25"/>
      <c r="D909" s="36"/>
      <c r="E909" s="24"/>
      <c r="F909" s="24"/>
    </row>
    <row r="910">
      <c r="A910" s="58"/>
      <c r="B910" s="63"/>
      <c r="C910" s="25"/>
      <c r="D910" s="36"/>
      <c r="E910" s="24"/>
      <c r="F910" s="24"/>
    </row>
    <row r="911">
      <c r="A911" s="58"/>
      <c r="B911" s="63"/>
      <c r="C911" s="25"/>
      <c r="D911" s="36"/>
      <c r="E911" s="24"/>
      <c r="F911" s="24"/>
    </row>
    <row r="912">
      <c r="A912" s="58"/>
      <c r="B912" s="63"/>
      <c r="C912" s="25"/>
      <c r="D912" s="36"/>
      <c r="E912" s="24"/>
      <c r="F912" s="24"/>
    </row>
    <row r="913">
      <c r="A913" s="58"/>
      <c r="B913" s="63"/>
      <c r="C913" s="25"/>
      <c r="D913" s="36"/>
      <c r="E913" s="24"/>
      <c r="F913" s="24"/>
    </row>
    <row r="914">
      <c r="A914" s="58"/>
      <c r="B914" s="63"/>
      <c r="C914" s="25"/>
      <c r="D914" s="36"/>
      <c r="E914" s="24"/>
      <c r="F914" s="24"/>
    </row>
    <row r="915">
      <c r="A915" s="58"/>
      <c r="B915" s="63"/>
      <c r="C915" s="25"/>
      <c r="D915" s="36"/>
      <c r="E915" s="24"/>
      <c r="F915" s="24"/>
    </row>
    <row r="916">
      <c r="A916" s="58"/>
      <c r="B916" s="63"/>
      <c r="C916" s="25"/>
      <c r="D916" s="36"/>
      <c r="E916" s="24"/>
      <c r="F916" s="24"/>
    </row>
    <row r="917">
      <c r="A917" s="58"/>
      <c r="B917" s="63"/>
      <c r="C917" s="25"/>
      <c r="D917" s="36"/>
      <c r="E917" s="24"/>
      <c r="F917" s="24"/>
    </row>
    <row r="918">
      <c r="A918" s="58"/>
      <c r="B918" s="63"/>
      <c r="C918" s="25"/>
      <c r="D918" s="36"/>
      <c r="E918" s="24"/>
      <c r="F918" s="24"/>
    </row>
    <row r="919">
      <c r="A919" s="58"/>
      <c r="B919" s="63"/>
      <c r="C919" s="25"/>
      <c r="D919" s="36"/>
      <c r="E919" s="24"/>
      <c r="F919" s="24"/>
    </row>
    <row r="920">
      <c r="A920" s="58"/>
      <c r="B920" s="63"/>
      <c r="C920" s="25"/>
      <c r="D920" s="36"/>
      <c r="E920" s="24"/>
      <c r="F920" s="24"/>
    </row>
    <row r="921">
      <c r="A921" s="58"/>
      <c r="B921" s="63"/>
      <c r="C921" s="25"/>
      <c r="D921" s="36"/>
      <c r="E921" s="24"/>
      <c r="F921" s="24"/>
    </row>
    <row r="922">
      <c r="A922" s="58"/>
      <c r="B922" s="63"/>
      <c r="C922" s="25"/>
      <c r="D922" s="36"/>
      <c r="E922" s="24"/>
      <c r="F922" s="24"/>
    </row>
    <row r="923">
      <c r="A923" s="58"/>
      <c r="B923" s="63"/>
      <c r="C923" s="25"/>
      <c r="D923" s="36"/>
      <c r="E923" s="24"/>
      <c r="F923" s="24"/>
    </row>
    <row r="924">
      <c r="A924" s="58"/>
      <c r="B924" s="63"/>
      <c r="C924" s="25"/>
      <c r="D924" s="36"/>
      <c r="E924" s="24"/>
      <c r="F924" s="24"/>
    </row>
    <row r="925">
      <c r="A925" s="58"/>
      <c r="B925" s="63"/>
      <c r="C925" s="25"/>
      <c r="D925" s="36"/>
      <c r="E925" s="24"/>
      <c r="F925" s="24"/>
    </row>
    <row r="926">
      <c r="A926" s="58"/>
      <c r="B926" s="63"/>
      <c r="C926" s="25"/>
      <c r="D926" s="36"/>
      <c r="E926" s="24"/>
      <c r="F926" s="24"/>
    </row>
    <row r="927">
      <c r="A927" s="58"/>
      <c r="B927" s="63"/>
      <c r="C927" s="25"/>
      <c r="D927" s="36"/>
      <c r="E927" s="24"/>
      <c r="F927" s="24"/>
    </row>
    <row r="928">
      <c r="A928" s="58"/>
      <c r="B928" s="63"/>
      <c r="C928" s="25"/>
      <c r="D928" s="36"/>
      <c r="E928" s="24"/>
      <c r="F928" s="24"/>
    </row>
    <row r="929">
      <c r="A929" s="58"/>
      <c r="B929" s="63"/>
      <c r="C929" s="25"/>
      <c r="D929" s="36"/>
      <c r="E929" s="24"/>
      <c r="F929" s="24"/>
    </row>
    <row r="930">
      <c r="A930" s="58"/>
      <c r="B930" s="63"/>
      <c r="C930" s="25"/>
      <c r="D930" s="36"/>
      <c r="E930" s="24"/>
      <c r="F930" s="24"/>
    </row>
    <row r="931">
      <c r="A931" s="58"/>
      <c r="B931" s="63"/>
      <c r="C931" s="25"/>
      <c r="D931" s="36"/>
      <c r="E931" s="24"/>
      <c r="F931" s="24"/>
    </row>
    <row r="932">
      <c r="A932" s="58"/>
      <c r="B932" s="63"/>
      <c r="C932" s="25"/>
      <c r="D932" s="36"/>
      <c r="E932" s="24"/>
      <c r="F932" s="24"/>
    </row>
    <row r="933">
      <c r="A933" s="58"/>
      <c r="B933" s="63"/>
      <c r="C933" s="25"/>
      <c r="D933" s="36"/>
      <c r="E933" s="24"/>
      <c r="F933" s="24"/>
    </row>
    <row r="934">
      <c r="A934" s="58"/>
      <c r="B934" s="63"/>
      <c r="C934" s="25"/>
      <c r="D934" s="36"/>
      <c r="E934" s="24"/>
      <c r="F934" s="24"/>
    </row>
    <row r="935">
      <c r="A935" s="58"/>
      <c r="B935" s="63"/>
      <c r="C935" s="25"/>
      <c r="D935" s="36"/>
      <c r="E935" s="24"/>
      <c r="F935" s="24"/>
    </row>
    <row r="936">
      <c r="A936" s="58"/>
      <c r="B936" s="63"/>
      <c r="C936" s="25"/>
      <c r="D936" s="36"/>
      <c r="E936" s="24"/>
      <c r="F936" s="24"/>
    </row>
    <row r="937">
      <c r="A937" s="58"/>
      <c r="B937" s="63"/>
      <c r="C937" s="25"/>
      <c r="D937" s="36"/>
      <c r="E937" s="24"/>
      <c r="F937" s="24"/>
    </row>
    <row r="938">
      <c r="A938" s="58"/>
      <c r="B938" s="63"/>
      <c r="C938" s="25"/>
      <c r="D938" s="36"/>
      <c r="E938" s="24"/>
      <c r="F938" s="24"/>
    </row>
    <row r="939">
      <c r="A939" s="58"/>
      <c r="B939" s="63"/>
      <c r="C939" s="25"/>
      <c r="D939" s="36"/>
      <c r="E939" s="24"/>
      <c r="F939" s="24"/>
    </row>
    <row r="940">
      <c r="A940" s="58"/>
      <c r="B940" s="63"/>
      <c r="C940" s="25"/>
      <c r="D940" s="36"/>
      <c r="E940" s="24"/>
      <c r="F940" s="24"/>
    </row>
    <row r="941">
      <c r="A941" s="58"/>
      <c r="B941" s="63"/>
      <c r="C941" s="25"/>
      <c r="D941" s="36"/>
      <c r="E941" s="24"/>
      <c r="F941" s="24"/>
    </row>
    <row r="942">
      <c r="A942" s="58"/>
      <c r="B942" s="63"/>
      <c r="C942" s="25"/>
      <c r="D942" s="36"/>
      <c r="E942" s="24"/>
      <c r="F942" s="24"/>
    </row>
    <row r="943">
      <c r="A943" s="58"/>
      <c r="B943" s="63"/>
      <c r="C943" s="25"/>
      <c r="D943" s="36"/>
      <c r="E943" s="24"/>
      <c r="F943" s="24"/>
    </row>
    <row r="944">
      <c r="A944" s="58"/>
      <c r="B944" s="63"/>
      <c r="C944" s="25"/>
      <c r="D944" s="36"/>
      <c r="E944" s="24"/>
      <c r="F944" s="24"/>
    </row>
    <row r="945">
      <c r="A945" s="58"/>
      <c r="B945" s="63"/>
      <c r="C945" s="25"/>
      <c r="D945" s="36"/>
      <c r="E945" s="24"/>
      <c r="F945" s="24"/>
    </row>
    <row r="946">
      <c r="A946" s="58"/>
      <c r="B946" s="63"/>
      <c r="C946" s="25"/>
      <c r="D946" s="36"/>
      <c r="E946" s="24"/>
      <c r="F946" s="24"/>
    </row>
    <row r="947">
      <c r="A947" s="58"/>
      <c r="B947" s="63"/>
      <c r="C947" s="25"/>
      <c r="D947" s="36"/>
      <c r="E947" s="24"/>
      <c r="F947" s="24"/>
    </row>
    <row r="948">
      <c r="A948" s="58"/>
      <c r="B948" s="63"/>
      <c r="C948" s="25"/>
      <c r="D948" s="36"/>
      <c r="E948" s="24"/>
      <c r="F948" s="24"/>
    </row>
    <row r="949">
      <c r="A949" s="58"/>
      <c r="B949" s="63"/>
      <c r="C949" s="25"/>
      <c r="D949" s="36"/>
      <c r="E949" s="24"/>
      <c r="F949" s="24"/>
    </row>
  </sheetData>
  <autoFilter ref="$A$1:$E$292">
    <sortState ref="A1:E292">
      <sortCondition ref="B1:B292"/>
    </sortState>
  </autoFilter>
  <customSheetViews>
    <customSheetView guid="{F52AD596-39B8-45F4-BC83-8171542E2871}" filter="1" showAutoFilter="1">
      <autoFilter ref="$G$2"/>
    </customSheetView>
  </customSheetViews>
  <conditionalFormatting sqref="A1:D1 E1:F949">
    <cfRule type="containsText" dxfId="0" priority="1" operator="containsText" text="DISPONIBLE">
      <formula>NOT(ISERROR(SEARCH(("DISPONIBLE"),(A1))))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88"/>
    <col customWidth="1" min="2" max="2" width="10.0"/>
    <col customWidth="1" min="3" max="3" width="22.25"/>
  </cols>
  <sheetData>
    <row r="1">
      <c r="A1" s="64" t="s">
        <v>581</v>
      </c>
      <c r="B1" s="64" t="s">
        <v>582</v>
      </c>
      <c r="C1" s="64" t="s">
        <v>583</v>
      </c>
    </row>
    <row r="2">
      <c r="A2" s="22" t="str">
        <f>IFERROR(__xludf.DUMMYFUNCTION("FILTER(DOTACIONES!B:B,DOTACIONES!$E:$E=""DOTACION DISPONIBLE"")"),"006")</f>
        <v>006</v>
      </c>
      <c r="B2" s="65" t="str">
        <f>IFERROR(__xludf.DUMMYFUNCTION("FILTER(DOTACIONES!D:D,DOTACIONES!$E:$E=""DOTACION DISPONIBLE"")"),"XXL")</f>
        <v>XXL</v>
      </c>
      <c r="C2" s="66">
        <f>IFERROR(__xludf.DUMMYFUNCTION("FILTER(DOTACIONES!A:A,DOTACIONES!$E:$E=""DOTACION DISPONIBLE"")"),3.0)</f>
        <v>3</v>
      </c>
    </row>
    <row r="3">
      <c r="A3" s="22" t="str">
        <f>IFERROR(__xludf.DUMMYFUNCTION("""COMPUTED_VALUE"""),"011")</f>
        <v>011</v>
      </c>
      <c r="B3" s="65" t="str">
        <f>IFERROR(__xludf.DUMMYFUNCTION("""COMPUTED_VALUE"""),"S")</f>
        <v>S</v>
      </c>
      <c r="C3" s="66">
        <f>IFERROR(__xludf.DUMMYFUNCTION("""COMPUTED_VALUE"""),1.0)</f>
        <v>1</v>
      </c>
    </row>
    <row r="4">
      <c r="A4" s="22" t="str">
        <f>IFERROR(__xludf.DUMMYFUNCTION("""COMPUTED_VALUE"""),"012")</f>
        <v>012</v>
      </c>
      <c r="B4" s="65" t="str">
        <f>IFERROR(__xludf.DUMMYFUNCTION("""COMPUTED_VALUE"""),"M")</f>
        <v>M</v>
      </c>
      <c r="C4" s="66">
        <f>IFERROR(__xludf.DUMMYFUNCTION("""COMPUTED_VALUE"""),2.0)</f>
        <v>2</v>
      </c>
    </row>
    <row r="5">
      <c r="A5" s="22" t="str">
        <f>IFERROR(__xludf.DUMMYFUNCTION("""COMPUTED_VALUE"""),"015")</f>
        <v>015</v>
      </c>
      <c r="B5" s="65" t="str">
        <f>IFERROR(__xludf.DUMMYFUNCTION("""COMPUTED_VALUE"""),"M")</f>
        <v>M</v>
      </c>
      <c r="C5" s="66">
        <f>IFERROR(__xludf.DUMMYFUNCTION("""COMPUTED_VALUE"""),3.0)</f>
        <v>3</v>
      </c>
    </row>
    <row r="6">
      <c r="A6" s="22" t="str">
        <f>IFERROR(__xludf.DUMMYFUNCTION("""COMPUTED_VALUE"""),"016")</f>
        <v>016</v>
      </c>
      <c r="B6" s="65" t="str">
        <f>IFERROR(__xludf.DUMMYFUNCTION("""COMPUTED_VALUE"""),"L")</f>
        <v>L</v>
      </c>
      <c r="C6" s="66">
        <f>IFERROR(__xludf.DUMMYFUNCTION("""COMPUTED_VALUE"""),3.0)</f>
        <v>3</v>
      </c>
    </row>
    <row r="7">
      <c r="A7" s="22" t="str">
        <f>IFERROR(__xludf.DUMMYFUNCTION("""COMPUTED_VALUE"""),"024")</f>
        <v>024</v>
      </c>
      <c r="B7" s="65" t="str">
        <f>IFERROR(__xludf.DUMMYFUNCTION("""COMPUTED_VALUE"""),"L")</f>
        <v>L</v>
      </c>
      <c r="C7" s="66">
        <f>IFERROR(__xludf.DUMMYFUNCTION("""COMPUTED_VALUE"""),1.0)</f>
        <v>1</v>
      </c>
    </row>
    <row r="8">
      <c r="A8" s="22" t="str">
        <f>IFERROR(__xludf.DUMMYFUNCTION("""COMPUTED_VALUE"""),"026")</f>
        <v>026</v>
      </c>
      <c r="B8" s="65" t="str">
        <f>IFERROR(__xludf.DUMMYFUNCTION("""COMPUTED_VALUE"""),"M")</f>
        <v>M</v>
      </c>
      <c r="C8" s="66">
        <f>IFERROR(__xludf.DUMMYFUNCTION("""COMPUTED_VALUE"""),3.0)</f>
        <v>3</v>
      </c>
    </row>
    <row r="9">
      <c r="A9" s="22" t="str">
        <f>IFERROR(__xludf.DUMMYFUNCTION("""COMPUTED_VALUE"""),"031")</f>
        <v>031</v>
      </c>
      <c r="B9" s="65" t="str">
        <f>IFERROR(__xludf.DUMMYFUNCTION("""COMPUTED_VALUE"""),"M")</f>
        <v>M</v>
      </c>
      <c r="C9" s="66">
        <f>IFERROR(__xludf.DUMMYFUNCTION("""COMPUTED_VALUE"""),3.0)</f>
        <v>3</v>
      </c>
    </row>
    <row r="10">
      <c r="A10" s="22" t="str">
        <f>IFERROR(__xludf.DUMMYFUNCTION("""COMPUTED_VALUE"""),"032")</f>
        <v>032</v>
      </c>
      <c r="B10" s="65" t="str">
        <f>IFERROR(__xludf.DUMMYFUNCTION("""COMPUTED_VALUE"""),"M")</f>
        <v>M</v>
      </c>
      <c r="C10" s="66">
        <f>IFERROR(__xludf.DUMMYFUNCTION("""COMPUTED_VALUE"""),3.0)</f>
        <v>3</v>
      </c>
    </row>
    <row r="11">
      <c r="A11" s="22" t="str">
        <f>IFERROR(__xludf.DUMMYFUNCTION("""COMPUTED_VALUE"""),"034")</f>
        <v>034</v>
      </c>
      <c r="B11" s="65" t="str">
        <f>IFERROR(__xludf.DUMMYFUNCTION("""COMPUTED_VALUE"""),"L")</f>
        <v>L</v>
      </c>
      <c r="C11" s="66">
        <f>IFERROR(__xludf.DUMMYFUNCTION("""COMPUTED_VALUE"""),3.0)</f>
        <v>3</v>
      </c>
    </row>
    <row r="12">
      <c r="A12" s="22" t="str">
        <f>IFERROR(__xludf.DUMMYFUNCTION("""COMPUTED_VALUE"""),"035")</f>
        <v>035</v>
      </c>
      <c r="B12" s="65" t="str">
        <f>IFERROR(__xludf.DUMMYFUNCTION("""COMPUTED_VALUE"""),"L")</f>
        <v>L</v>
      </c>
      <c r="C12" s="66">
        <f>IFERROR(__xludf.DUMMYFUNCTION("""COMPUTED_VALUE"""),3.0)</f>
        <v>3</v>
      </c>
    </row>
    <row r="13">
      <c r="A13" s="22" t="str">
        <f>IFERROR(__xludf.DUMMYFUNCTION("""COMPUTED_VALUE"""),"042")</f>
        <v>042</v>
      </c>
      <c r="B13" s="65" t="str">
        <f>IFERROR(__xludf.DUMMYFUNCTION("""COMPUTED_VALUE"""),"XL")</f>
        <v>XL</v>
      </c>
      <c r="C13" s="66">
        <f>IFERROR(__xludf.DUMMYFUNCTION("""COMPUTED_VALUE"""),3.0)</f>
        <v>3</v>
      </c>
    </row>
    <row r="14">
      <c r="A14" s="22" t="str">
        <f>IFERROR(__xludf.DUMMYFUNCTION("""COMPUTED_VALUE"""),"045")</f>
        <v>045</v>
      </c>
      <c r="B14" s="65" t="str">
        <f>IFERROR(__xludf.DUMMYFUNCTION("""COMPUTED_VALUE"""),"L")</f>
        <v>L</v>
      </c>
      <c r="C14" s="66">
        <f>IFERROR(__xludf.DUMMYFUNCTION("""COMPUTED_VALUE"""),1.0)</f>
        <v>1</v>
      </c>
    </row>
    <row r="15">
      <c r="A15" s="22" t="str">
        <f>IFERROR(__xludf.DUMMYFUNCTION("""COMPUTED_VALUE"""),"053")</f>
        <v>053</v>
      </c>
      <c r="B15" s="65" t="str">
        <f>IFERROR(__xludf.DUMMYFUNCTION("""COMPUTED_VALUE"""),"L")</f>
        <v>L</v>
      </c>
      <c r="C15" s="66">
        <f>IFERROR(__xludf.DUMMYFUNCTION("""COMPUTED_VALUE"""),1.0)</f>
        <v>1</v>
      </c>
    </row>
    <row r="16">
      <c r="A16" s="22" t="str">
        <f>IFERROR(__xludf.DUMMYFUNCTION("""COMPUTED_VALUE"""),"056")</f>
        <v>056</v>
      </c>
      <c r="B16" s="65" t="str">
        <f>IFERROR(__xludf.DUMMYFUNCTION("""COMPUTED_VALUE"""),"XL")</f>
        <v>XL</v>
      </c>
      <c r="C16" s="66">
        <f>IFERROR(__xludf.DUMMYFUNCTION("""COMPUTED_VALUE"""),3.0)</f>
        <v>3</v>
      </c>
    </row>
    <row r="17">
      <c r="A17" s="22" t="str">
        <f>IFERROR(__xludf.DUMMYFUNCTION("""COMPUTED_VALUE"""),"068")</f>
        <v>068</v>
      </c>
      <c r="B17" s="65" t="str">
        <f>IFERROR(__xludf.DUMMYFUNCTION("""COMPUTED_VALUE"""),"L")</f>
        <v>L</v>
      </c>
      <c r="C17" s="66">
        <f>IFERROR(__xludf.DUMMYFUNCTION("""COMPUTED_VALUE"""),3.0)</f>
        <v>3</v>
      </c>
    </row>
    <row r="18">
      <c r="A18" s="22" t="str">
        <f>IFERROR(__xludf.DUMMYFUNCTION("""COMPUTED_VALUE"""),"080")</f>
        <v>080</v>
      </c>
      <c r="B18" s="65" t="str">
        <f>IFERROR(__xludf.DUMMYFUNCTION("""COMPUTED_VALUE"""),"XL")</f>
        <v>XL</v>
      </c>
      <c r="C18" s="66">
        <f>IFERROR(__xludf.DUMMYFUNCTION("""COMPUTED_VALUE"""),3.0)</f>
        <v>3</v>
      </c>
    </row>
    <row r="19">
      <c r="A19" s="22" t="str">
        <f>IFERROR(__xludf.DUMMYFUNCTION("""COMPUTED_VALUE"""),"100")</f>
        <v>100</v>
      </c>
      <c r="B19" s="65" t="str">
        <f>IFERROR(__xludf.DUMMYFUNCTION("""COMPUTED_VALUE"""),"M")</f>
        <v>M</v>
      </c>
      <c r="C19" s="66">
        <f>IFERROR(__xludf.DUMMYFUNCTION("""COMPUTED_VALUE"""),2.0)</f>
        <v>2</v>
      </c>
    </row>
    <row r="20">
      <c r="A20" s="22" t="str">
        <f>IFERROR(__xludf.DUMMYFUNCTION("""COMPUTED_VALUE"""),"102")</f>
        <v>102</v>
      </c>
      <c r="B20" s="65" t="str">
        <f>IFERROR(__xludf.DUMMYFUNCTION("""COMPUTED_VALUE"""),"XXXL")</f>
        <v>XXXL</v>
      </c>
      <c r="C20" s="66">
        <f>IFERROR(__xludf.DUMMYFUNCTION("""COMPUTED_VALUE"""),3.0)</f>
        <v>3</v>
      </c>
    </row>
    <row r="21">
      <c r="A21" s="22" t="str">
        <f>IFERROR(__xludf.DUMMYFUNCTION("""COMPUTED_VALUE"""),"103")</f>
        <v>103</v>
      </c>
      <c r="B21" s="65" t="str">
        <f>IFERROR(__xludf.DUMMYFUNCTION("""COMPUTED_VALUE"""),"M")</f>
        <v>M</v>
      </c>
      <c r="C21" s="66">
        <f>IFERROR(__xludf.DUMMYFUNCTION("""COMPUTED_VALUE"""),3.0)</f>
        <v>3</v>
      </c>
    </row>
    <row r="22">
      <c r="A22" s="22" t="str">
        <f>IFERROR(__xludf.DUMMYFUNCTION("""COMPUTED_VALUE"""),"109")</f>
        <v>109</v>
      </c>
      <c r="B22" s="65" t="str">
        <f>IFERROR(__xludf.DUMMYFUNCTION("""COMPUTED_VALUE"""),"M")</f>
        <v>M</v>
      </c>
      <c r="C22" s="66">
        <f>IFERROR(__xludf.DUMMYFUNCTION("""COMPUTED_VALUE"""),2.0)</f>
        <v>2</v>
      </c>
    </row>
    <row r="23">
      <c r="A23" s="22" t="str">
        <f>IFERROR(__xludf.DUMMYFUNCTION("""COMPUTED_VALUE"""),"110")</f>
        <v>110</v>
      </c>
      <c r="B23" s="20" t="str">
        <f>IFERROR(__xludf.DUMMYFUNCTION("""COMPUTED_VALUE"""),"M")</f>
        <v>M</v>
      </c>
      <c r="C23" s="67">
        <f>IFERROR(__xludf.DUMMYFUNCTION("""COMPUTED_VALUE"""),3.0)</f>
        <v>3</v>
      </c>
    </row>
    <row r="24">
      <c r="A24" s="22" t="str">
        <f>IFERROR(__xludf.DUMMYFUNCTION("""COMPUTED_VALUE"""),"111")</f>
        <v>111</v>
      </c>
      <c r="B24" s="20" t="str">
        <f>IFERROR(__xludf.DUMMYFUNCTION("""COMPUTED_VALUE"""),"S")</f>
        <v>S</v>
      </c>
      <c r="C24" s="67">
        <f>IFERROR(__xludf.DUMMYFUNCTION("""COMPUTED_VALUE"""),1.0)</f>
        <v>1</v>
      </c>
    </row>
    <row r="25">
      <c r="A25" s="22" t="str">
        <f>IFERROR(__xludf.DUMMYFUNCTION("""COMPUTED_VALUE"""),"117")</f>
        <v>117</v>
      </c>
      <c r="B25" s="20" t="str">
        <f>IFERROR(__xludf.DUMMYFUNCTION("""COMPUTED_VALUE"""),"M")</f>
        <v>M</v>
      </c>
      <c r="C25" s="67">
        <f>IFERROR(__xludf.DUMMYFUNCTION("""COMPUTED_VALUE"""),3.0)</f>
        <v>3</v>
      </c>
    </row>
    <row r="26">
      <c r="A26" s="22" t="str">
        <f>IFERROR(__xludf.DUMMYFUNCTION("""COMPUTED_VALUE"""),"118")</f>
        <v>118</v>
      </c>
      <c r="B26" s="20" t="str">
        <f>IFERROR(__xludf.DUMMYFUNCTION("""COMPUTED_VALUE"""),"L")</f>
        <v>L</v>
      </c>
      <c r="C26" s="67">
        <f>IFERROR(__xludf.DUMMYFUNCTION("""COMPUTED_VALUE"""),3.0)</f>
        <v>3</v>
      </c>
    </row>
    <row r="27">
      <c r="A27" s="22" t="str">
        <f>IFERROR(__xludf.DUMMYFUNCTION("""COMPUTED_VALUE"""),"122")</f>
        <v>122</v>
      </c>
      <c r="B27" s="20" t="str">
        <f>IFERROR(__xludf.DUMMYFUNCTION("""COMPUTED_VALUE"""),"M")</f>
        <v>M</v>
      </c>
      <c r="C27" s="67">
        <f>IFERROR(__xludf.DUMMYFUNCTION("""COMPUTED_VALUE"""),2.0)</f>
        <v>2</v>
      </c>
    </row>
    <row r="28">
      <c r="A28" s="22" t="str">
        <f>IFERROR(__xludf.DUMMYFUNCTION("""COMPUTED_VALUE"""),"129")</f>
        <v>129</v>
      </c>
      <c r="B28" s="20" t="str">
        <f>IFERROR(__xludf.DUMMYFUNCTION("""COMPUTED_VALUE"""),"M")</f>
        <v>M</v>
      </c>
      <c r="C28" s="67">
        <f>IFERROR(__xludf.DUMMYFUNCTION("""COMPUTED_VALUE"""),1.0)</f>
        <v>1</v>
      </c>
    </row>
    <row r="29">
      <c r="A29" s="22" t="str">
        <f>IFERROR(__xludf.DUMMYFUNCTION("""COMPUTED_VALUE"""),"130")</f>
        <v>130</v>
      </c>
      <c r="B29" s="25" t="str">
        <f>IFERROR(__xludf.DUMMYFUNCTION("""COMPUTED_VALUE"""),"S")</f>
        <v>S</v>
      </c>
      <c r="C29" s="67">
        <f>IFERROR(__xludf.DUMMYFUNCTION("""COMPUTED_VALUE"""),3.0)</f>
        <v>3</v>
      </c>
    </row>
    <row r="30">
      <c r="A30" s="22" t="str">
        <f>IFERROR(__xludf.DUMMYFUNCTION("""COMPUTED_VALUE"""),"131")</f>
        <v>131</v>
      </c>
      <c r="B30" s="25" t="str">
        <f>IFERROR(__xludf.DUMMYFUNCTION("""COMPUTED_VALUE"""),"S")</f>
        <v>S</v>
      </c>
      <c r="C30" s="67">
        <f>IFERROR(__xludf.DUMMYFUNCTION("""COMPUTED_VALUE"""),2.0)</f>
        <v>2</v>
      </c>
    </row>
    <row r="31">
      <c r="A31" s="22" t="str">
        <f>IFERROR(__xludf.DUMMYFUNCTION("""COMPUTED_VALUE"""),"167")</f>
        <v>167</v>
      </c>
      <c r="B31" s="25" t="str">
        <f>IFERROR(__xludf.DUMMYFUNCTION("""COMPUTED_VALUE"""),"M")</f>
        <v>M</v>
      </c>
      <c r="C31" s="67">
        <f>IFERROR(__xludf.DUMMYFUNCTION("""COMPUTED_VALUE"""),3.0)</f>
        <v>3</v>
      </c>
    </row>
    <row r="32">
      <c r="A32" s="22"/>
      <c r="B32" s="25"/>
      <c r="C32" s="20"/>
    </row>
    <row r="33">
      <c r="A33" s="22"/>
      <c r="B33" s="20"/>
      <c r="C33" s="20"/>
    </row>
    <row r="34">
      <c r="A34" s="22"/>
      <c r="B34" s="20"/>
      <c r="C34" s="20"/>
    </row>
    <row r="35">
      <c r="A35" s="22"/>
      <c r="B35" s="20"/>
      <c r="C35" s="20"/>
    </row>
    <row r="36">
      <c r="A36" s="22"/>
      <c r="B36" s="20"/>
      <c r="C36" s="20"/>
    </row>
    <row r="37">
      <c r="A37" s="22"/>
      <c r="B37" s="20"/>
      <c r="C37" s="20"/>
    </row>
    <row r="38">
      <c r="A38" s="22"/>
      <c r="B38" s="20"/>
      <c r="C38" s="20"/>
    </row>
    <row r="39">
      <c r="A39" s="22"/>
      <c r="B39" s="20"/>
      <c r="C39" s="20"/>
    </row>
    <row r="40">
      <c r="A40" s="22"/>
      <c r="B40" s="20"/>
      <c r="C40" s="20"/>
    </row>
    <row r="41">
      <c r="A41" s="22"/>
      <c r="B41" s="20"/>
      <c r="C41" s="20"/>
    </row>
    <row r="42">
      <c r="A42" s="22"/>
      <c r="B42" s="20"/>
      <c r="C42" s="20"/>
    </row>
    <row r="43">
      <c r="A43" s="22"/>
      <c r="B43" s="20"/>
      <c r="C43" s="20"/>
    </row>
    <row r="44">
      <c r="A44" s="22"/>
      <c r="B44" s="20"/>
      <c r="C44" s="20"/>
    </row>
    <row r="45">
      <c r="A45" s="22"/>
      <c r="B45" s="20"/>
      <c r="C45" s="20"/>
    </row>
    <row r="46">
      <c r="A46" s="22"/>
      <c r="B46" s="20"/>
      <c r="C46" s="20"/>
    </row>
    <row r="47">
      <c r="A47" s="22"/>
      <c r="B47" s="20"/>
      <c r="C47" s="20"/>
    </row>
    <row r="48">
      <c r="A48" s="22"/>
      <c r="B48" s="20"/>
      <c r="C48" s="20"/>
    </row>
    <row r="49">
      <c r="A49" s="22"/>
      <c r="B49" s="20"/>
      <c r="C49" s="20"/>
    </row>
    <row r="50">
      <c r="A50" s="22"/>
      <c r="B50" s="20"/>
      <c r="C50" s="20"/>
    </row>
    <row r="51">
      <c r="A51" s="22"/>
      <c r="B51" s="20"/>
      <c r="C51" s="20"/>
    </row>
    <row r="52">
      <c r="A52" s="22"/>
      <c r="B52" s="20"/>
      <c r="C52" s="20"/>
    </row>
    <row r="53">
      <c r="A53" s="22"/>
      <c r="B53" s="20"/>
      <c r="C53" s="20"/>
    </row>
    <row r="54">
      <c r="A54" s="22"/>
      <c r="B54" s="20"/>
      <c r="C54" s="20"/>
    </row>
    <row r="55">
      <c r="A55" s="22"/>
      <c r="B55" s="20"/>
      <c r="C55" s="20"/>
    </row>
    <row r="56">
      <c r="A56" s="22"/>
      <c r="B56" s="20"/>
      <c r="C56" s="20"/>
    </row>
    <row r="57">
      <c r="A57" s="22"/>
      <c r="B57" s="20"/>
      <c r="C57" s="20"/>
    </row>
    <row r="58">
      <c r="A58" s="22"/>
      <c r="B58" s="20"/>
      <c r="C58" s="20"/>
    </row>
    <row r="59">
      <c r="A59" s="22"/>
      <c r="B59" s="20"/>
      <c r="C59" s="20"/>
    </row>
    <row r="60">
      <c r="A60" s="22"/>
      <c r="B60" s="20"/>
      <c r="C60" s="20"/>
    </row>
    <row r="61">
      <c r="A61" s="22"/>
      <c r="B61" s="20"/>
      <c r="C61" s="20"/>
    </row>
    <row r="62">
      <c r="A62" s="22"/>
      <c r="B62" s="20"/>
      <c r="C62" s="20"/>
    </row>
    <row r="63">
      <c r="A63" s="22"/>
      <c r="B63" s="20"/>
      <c r="C63" s="20"/>
    </row>
    <row r="64">
      <c r="A64" s="22"/>
      <c r="B64" s="20"/>
      <c r="C64" s="20"/>
    </row>
    <row r="65">
      <c r="A65" s="22"/>
      <c r="B65" s="20"/>
      <c r="C65" s="20"/>
    </row>
    <row r="66">
      <c r="A66" s="22"/>
      <c r="B66" s="20"/>
      <c r="C66" s="20"/>
    </row>
    <row r="67">
      <c r="A67" s="22"/>
      <c r="B67" s="20"/>
      <c r="C67" s="20"/>
    </row>
    <row r="68">
      <c r="A68" s="22"/>
      <c r="B68" s="20"/>
      <c r="C68" s="20"/>
    </row>
    <row r="69">
      <c r="A69" s="22"/>
      <c r="B69" s="20"/>
      <c r="C69" s="20"/>
    </row>
    <row r="70">
      <c r="A70" s="22"/>
      <c r="B70" s="20"/>
      <c r="C70" s="20"/>
    </row>
    <row r="71">
      <c r="A71" s="22"/>
      <c r="B71" s="20"/>
      <c r="C71" s="20"/>
    </row>
    <row r="72">
      <c r="A72" s="22"/>
      <c r="B72" s="20"/>
      <c r="C72" s="20"/>
    </row>
    <row r="73">
      <c r="A73" s="22"/>
      <c r="B73" s="20"/>
      <c r="C73" s="20"/>
    </row>
    <row r="74">
      <c r="A74" s="22"/>
      <c r="B74" s="20"/>
      <c r="C74" s="20"/>
    </row>
    <row r="75">
      <c r="A75" s="22"/>
      <c r="B75" s="20"/>
      <c r="C75" s="20"/>
    </row>
    <row r="76">
      <c r="A76" s="22"/>
      <c r="B76" s="20"/>
      <c r="C76" s="20"/>
    </row>
    <row r="77">
      <c r="A77" s="22"/>
      <c r="B77" s="20"/>
      <c r="C77" s="20"/>
    </row>
    <row r="78">
      <c r="A78" s="22"/>
      <c r="B78" s="20"/>
      <c r="C78" s="20"/>
    </row>
    <row r="79">
      <c r="A79" s="22"/>
      <c r="B79" s="20"/>
      <c r="C79" s="20"/>
    </row>
    <row r="80">
      <c r="A80" s="22"/>
      <c r="B80" s="20"/>
      <c r="C80" s="20"/>
    </row>
    <row r="81">
      <c r="A81" s="22"/>
      <c r="B81" s="20"/>
      <c r="C81" s="20"/>
    </row>
    <row r="82">
      <c r="A82" s="22"/>
      <c r="B82" s="20"/>
      <c r="C82" s="20"/>
    </row>
    <row r="83">
      <c r="A83" s="22"/>
      <c r="B83" s="20"/>
      <c r="C83" s="20"/>
    </row>
    <row r="84">
      <c r="A84" s="22"/>
      <c r="B84" s="20"/>
      <c r="C84" s="20"/>
    </row>
    <row r="85">
      <c r="A85" s="22"/>
      <c r="B85" s="20"/>
      <c r="C85" s="20"/>
    </row>
    <row r="86">
      <c r="A86" s="22"/>
      <c r="B86" s="20"/>
      <c r="C86" s="20"/>
    </row>
    <row r="87">
      <c r="A87" s="22"/>
      <c r="B87" s="20"/>
      <c r="C87" s="20"/>
    </row>
    <row r="88">
      <c r="A88" s="22"/>
      <c r="B88" s="20"/>
      <c r="C88" s="20"/>
    </row>
    <row r="89">
      <c r="A89" s="22"/>
      <c r="B89" s="20"/>
      <c r="C89" s="20"/>
    </row>
    <row r="90">
      <c r="A90" s="22"/>
      <c r="B90" s="20"/>
      <c r="C90" s="20"/>
    </row>
    <row r="91">
      <c r="A91" s="22"/>
      <c r="B91" s="20"/>
      <c r="C91" s="20"/>
    </row>
    <row r="92">
      <c r="A92" s="22"/>
      <c r="B92" s="20"/>
      <c r="C92" s="20"/>
    </row>
    <row r="93">
      <c r="A93" s="22"/>
      <c r="B93" s="20"/>
      <c r="C93" s="20"/>
    </row>
    <row r="94">
      <c r="A94" s="22"/>
      <c r="B94" s="20"/>
      <c r="C94" s="20"/>
    </row>
    <row r="95">
      <c r="A95" s="22"/>
      <c r="B95" s="20"/>
      <c r="C95" s="20"/>
    </row>
    <row r="96">
      <c r="A96" s="22"/>
      <c r="B96" s="20"/>
      <c r="C96" s="20"/>
    </row>
    <row r="97">
      <c r="A97" s="22"/>
      <c r="B97" s="20"/>
      <c r="C97" s="20"/>
    </row>
    <row r="98">
      <c r="A98" s="22"/>
      <c r="B98" s="20"/>
      <c r="C98" s="20"/>
    </row>
    <row r="99">
      <c r="A99" s="22"/>
      <c r="B99" s="20"/>
      <c r="C99" s="20"/>
    </row>
    <row r="100">
      <c r="A100" s="22"/>
      <c r="B100" s="20"/>
      <c r="C100" s="20"/>
    </row>
    <row r="101">
      <c r="A101" s="22"/>
      <c r="B101" s="20"/>
      <c r="C101" s="20"/>
    </row>
    <row r="102">
      <c r="A102" s="22"/>
      <c r="B102" s="20"/>
      <c r="C102" s="20"/>
    </row>
    <row r="103">
      <c r="A103" s="22"/>
      <c r="B103" s="20"/>
      <c r="C103" s="20"/>
    </row>
    <row r="104">
      <c r="A104" s="22"/>
      <c r="B104" s="20"/>
      <c r="C104" s="20"/>
    </row>
    <row r="105">
      <c r="A105" s="22"/>
      <c r="B105" s="20"/>
      <c r="C105" s="20"/>
    </row>
    <row r="106">
      <c r="A106" s="22"/>
      <c r="B106" s="20"/>
      <c r="C106" s="20"/>
    </row>
    <row r="107">
      <c r="A107" s="22"/>
      <c r="B107" s="20"/>
      <c r="C107" s="20"/>
    </row>
    <row r="108">
      <c r="A108" s="22"/>
      <c r="B108" s="20"/>
      <c r="C108" s="20"/>
    </row>
    <row r="109">
      <c r="A109" s="22"/>
      <c r="B109" s="20"/>
      <c r="C109" s="20"/>
    </row>
    <row r="110">
      <c r="A110" s="22"/>
      <c r="B110" s="20"/>
      <c r="C110" s="20"/>
    </row>
    <row r="111">
      <c r="A111" s="22"/>
      <c r="B111" s="20"/>
      <c r="C111" s="20"/>
    </row>
    <row r="112">
      <c r="A112" s="22"/>
      <c r="B112" s="20"/>
      <c r="C112" s="20"/>
    </row>
    <row r="113">
      <c r="A113" s="22"/>
      <c r="B113" s="20"/>
      <c r="C113" s="20"/>
    </row>
    <row r="114">
      <c r="A114" s="22"/>
      <c r="B114" s="20"/>
      <c r="C114" s="20"/>
    </row>
    <row r="115">
      <c r="A115" s="22"/>
      <c r="B115" s="20"/>
      <c r="C115" s="20"/>
    </row>
    <row r="116">
      <c r="A116" s="22"/>
      <c r="B116" s="20"/>
      <c r="C116" s="20"/>
    </row>
    <row r="117">
      <c r="A117" s="22"/>
      <c r="B117" s="20"/>
      <c r="C117" s="20"/>
    </row>
    <row r="118">
      <c r="A118" s="22"/>
      <c r="B118" s="20"/>
      <c r="C118" s="20"/>
    </row>
    <row r="119">
      <c r="A119" s="22"/>
      <c r="B119" s="20"/>
      <c r="C119" s="20"/>
    </row>
    <row r="120">
      <c r="A120" s="22"/>
      <c r="B120" s="20"/>
      <c r="C120" s="20"/>
    </row>
    <row r="121">
      <c r="A121" s="22"/>
      <c r="B121" s="20"/>
      <c r="C121" s="20"/>
    </row>
    <row r="122">
      <c r="A122" s="22"/>
      <c r="B122" s="20"/>
      <c r="C122" s="20"/>
    </row>
    <row r="123">
      <c r="A123" s="22"/>
      <c r="B123" s="20"/>
      <c r="C123" s="20"/>
    </row>
    <row r="124">
      <c r="A124" s="22"/>
      <c r="B124" s="20"/>
      <c r="C124" s="20"/>
    </row>
    <row r="125">
      <c r="A125" s="22"/>
      <c r="B125" s="20"/>
      <c r="C125" s="20"/>
    </row>
    <row r="126">
      <c r="A126" s="22"/>
      <c r="B126" s="20"/>
      <c r="C126" s="20"/>
    </row>
    <row r="127">
      <c r="A127" s="22"/>
      <c r="B127" s="20"/>
      <c r="C127" s="20"/>
    </row>
    <row r="128">
      <c r="A128" s="22"/>
      <c r="B128" s="20"/>
      <c r="C128" s="20"/>
    </row>
    <row r="129">
      <c r="A129" s="22"/>
      <c r="B129" s="20"/>
      <c r="C129" s="20"/>
    </row>
    <row r="130">
      <c r="A130" s="22"/>
      <c r="B130" s="20"/>
      <c r="C130" s="20"/>
    </row>
    <row r="131">
      <c r="A131" s="22"/>
      <c r="B131" s="20"/>
      <c r="C131" s="20"/>
    </row>
    <row r="132">
      <c r="A132" s="22"/>
      <c r="B132" s="20"/>
      <c r="C132" s="20"/>
    </row>
    <row r="133">
      <c r="A133" s="22"/>
      <c r="B133" s="20"/>
      <c r="C133" s="20"/>
    </row>
    <row r="134">
      <c r="A134" s="22"/>
      <c r="B134" s="20"/>
      <c r="C134" s="20"/>
    </row>
    <row r="135">
      <c r="A135" s="22"/>
      <c r="B135" s="20"/>
      <c r="C135" s="20"/>
    </row>
    <row r="136">
      <c r="A136" s="22"/>
      <c r="B136" s="20"/>
      <c r="C136" s="20"/>
    </row>
    <row r="137">
      <c r="A137" s="22"/>
      <c r="B137" s="20"/>
      <c r="C137" s="20"/>
    </row>
    <row r="138">
      <c r="A138" s="22"/>
      <c r="B138" s="20"/>
      <c r="C138" s="20"/>
    </row>
    <row r="139">
      <c r="A139" s="22"/>
      <c r="B139" s="20"/>
      <c r="C139" s="20"/>
    </row>
    <row r="140">
      <c r="A140" s="22"/>
      <c r="B140" s="20"/>
      <c r="C140" s="20"/>
    </row>
    <row r="141">
      <c r="A141" s="22"/>
      <c r="B141" s="20"/>
      <c r="C141" s="20"/>
    </row>
    <row r="142">
      <c r="A142" s="22"/>
      <c r="B142" s="20"/>
      <c r="C142" s="20"/>
    </row>
    <row r="143">
      <c r="A143" s="22"/>
      <c r="B143" s="20"/>
      <c r="C143" s="20"/>
    </row>
    <row r="144">
      <c r="A144" s="22"/>
      <c r="B144" s="20"/>
      <c r="C144" s="20"/>
    </row>
    <row r="145">
      <c r="A145" s="22"/>
      <c r="B145" s="20"/>
      <c r="C145" s="20"/>
    </row>
    <row r="146">
      <c r="A146" s="22"/>
      <c r="B146" s="20"/>
      <c r="C146" s="20"/>
    </row>
    <row r="147">
      <c r="A147" s="22"/>
      <c r="B147" s="20"/>
      <c r="C147" s="20"/>
    </row>
    <row r="148">
      <c r="A148" s="22"/>
      <c r="B148" s="20"/>
      <c r="C148" s="20"/>
    </row>
    <row r="149">
      <c r="A149" s="22"/>
      <c r="B149" s="20"/>
      <c r="C149" s="20"/>
    </row>
    <row r="150">
      <c r="A150" s="22"/>
      <c r="B150" s="20"/>
      <c r="C150" s="20"/>
    </row>
    <row r="151">
      <c r="A151" s="22"/>
      <c r="B151" s="20"/>
      <c r="C151" s="20"/>
    </row>
    <row r="152">
      <c r="A152" s="22"/>
      <c r="B152" s="20"/>
      <c r="C152" s="20"/>
    </row>
    <row r="153">
      <c r="A153" s="22"/>
      <c r="B153" s="20"/>
      <c r="C153" s="20"/>
    </row>
    <row r="154">
      <c r="A154" s="22"/>
      <c r="B154" s="20"/>
      <c r="C154" s="20"/>
    </row>
    <row r="155">
      <c r="A155" s="22"/>
      <c r="B155" s="20"/>
      <c r="C155" s="20"/>
    </row>
    <row r="156">
      <c r="A156" s="22"/>
      <c r="B156" s="20"/>
      <c r="C156" s="20"/>
    </row>
    <row r="157">
      <c r="A157" s="22"/>
      <c r="B157" s="20"/>
      <c r="C157" s="20"/>
    </row>
    <row r="158">
      <c r="A158" s="22"/>
      <c r="B158" s="20"/>
      <c r="C158" s="20"/>
    </row>
    <row r="159">
      <c r="A159" s="22"/>
      <c r="B159" s="20"/>
      <c r="C159" s="20"/>
    </row>
    <row r="160">
      <c r="A160" s="22"/>
      <c r="B160" s="20"/>
      <c r="C160" s="20"/>
    </row>
    <row r="161">
      <c r="A161" s="22"/>
      <c r="B161" s="20"/>
      <c r="C161" s="20"/>
    </row>
    <row r="162">
      <c r="A162" s="22"/>
      <c r="B162" s="20"/>
      <c r="C162" s="20"/>
    </row>
    <row r="163">
      <c r="A163" s="22"/>
      <c r="B163" s="20"/>
      <c r="C163" s="20"/>
    </row>
    <row r="164">
      <c r="A164" s="22"/>
      <c r="B164" s="20"/>
      <c r="C164" s="20"/>
    </row>
    <row r="165">
      <c r="A165" s="22"/>
      <c r="B165" s="20"/>
      <c r="C165" s="20"/>
    </row>
    <row r="166">
      <c r="A166" s="22"/>
      <c r="B166" s="20"/>
      <c r="C166" s="20"/>
    </row>
    <row r="167">
      <c r="A167" s="22"/>
      <c r="B167" s="20"/>
      <c r="C167" s="20"/>
    </row>
    <row r="168">
      <c r="A168" s="22"/>
      <c r="B168" s="20"/>
      <c r="C168" s="20"/>
    </row>
    <row r="169">
      <c r="A169" s="22"/>
      <c r="B169" s="20"/>
      <c r="C169" s="20"/>
    </row>
    <row r="170">
      <c r="A170" s="22"/>
      <c r="B170" s="20"/>
      <c r="C170" s="20"/>
    </row>
    <row r="171">
      <c r="A171" s="22"/>
      <c r="B171" s="20"/>
      <c r="C171" s="20"/>
    </row>
    <row r="172">
      <c r="A172" s="22"/>
      <c r="B172" s="20"/>
      <c r="C172" s="20"/>
    </row>
    <row r="173">
      <c r="A173" s="22"/>
      <c r="B173" s="20"/>
      <c r="C173" s="20"/>
    </row>
    <row r="174">
      <c r="A174" s="22"/>
      <c r="B174" s="20"/>
      <c r="C174" s="20"/>
    </row>
    <row r="175">
      <c r="A175" s="22"/>
      <c r="B175" s="20"/>
      <c r="C175" s="20"/>
    </row>
    <row r="176">
      <c r="A176" s="22"/>
      <c r="B176" s="20"/>
      <c r="C176" s="20"/>
    </row>
    <row r="177">
      <c r="A177" s="22"/>
      <c r="B177" s="20"/>
      <c r="C177" s="20"/>
    </row>
    <row r="178">
      <c r="A178" s="22"/>
      <c r="B178" s="20"/>
      <c r="C178" s="20"/>
    </row>
    <row r="179">
      <c r="A179" s="22"/>
      <c r="B179" s="20"/>
      <c r="C179" s="20"/>
    </row>
    <row r="180">
      <c r="A180" s="22"/>
      <c r="B180" s="20"/>
      <c r="C180" s="20"/>
    </row>
    <row r="181">
      <c r="A181" s="22"/>
      <c r="B181" s="20"/>
      <c r="C181" s="20"/>
    </row>
    <row r="182">
      <c r="A182" s="22"/>
      <c r="B182" s="20"/>
      <c r="C182" s="20"/>
    </row>
    <row r="183">
      <c r="A183" s="22"/>
      <c r="B183" s="20"/>
      <c r="C183" s="20"/>
    </row>
    <row r="184">
      <c r="A184" s="20"/>
      <c r="B184" s="20"/>
      <c r="C184" s="20"/>
    </row>
    <row r="185">
      <c r="A185" s="20"/>
      <c r="B185" s="20"/>
      <c r="C185" s="20"/>
    </row>
    <row r="186">
      <c r="A186" s="20"/>
      <c r="B186" s="20"/>
      <c r="C186" s="20"/>
    </row>
    <row r="187">
      <c r="A187" s="20"/>
      <c r="B187" s="20"/>
      <c r="C187" s="20"/>
    </row>
    <row r="188">
      <c r="A188" s="20"/>
      <c r="B188" s="20"/>
      <c r="C188" s="20"/>
    </row>
    <row r="189">
      <c r="A189" s="20"/>
      <c r="B189" s="20"/>
      <c r="C189" s="20"/>
    </row>
    <row r="190">
      <c r="A190" s="20"/>
      <c r="B190" s="20"/>
      <c r="C190" s="20"/>
    </row>
    <row r="191">
      <c r="A191" s="20"/>
      <c r="B191" s="20"/>
      <c r="C191" s="20"/>
    </row>
    <row r="192">
      <c r="A192" s="20"/>
      <c r="B192" s="20"/>
      <c r="C192" s="20"/>
    </row>
    <row r="193">
      <c r="A193" s="20"/>
      <c r="B193" s="20"/>
      <c r="C193" s="20"/>
    </row>
    <row r="194">
      <c r="A194" s="20"/>
      <c r="B194" s="20"/>
      <c r="C194" s="20"/>
    </row>
    <row r="195">
      <c r="A195" s="20"/>
      <c r="B195" s="20"/>
      <c r="C195" s="20"/>
    </row>
    <row r="196">
      <c r="A196" s="20"/>
      <c r="B196" s="20"/>
      <c r="C196" s="20"/>
    </row>
    <row r="197">
      <c r="A197" s="20"/>
      <c r="B197" s="20"/>
      <c r="C197" s="20"/>
    </row>
    <row r="198">
      <c r="A198" s="20"/>
      <c r="B198" s="20"/>
      <c r="C198" s="20"/>
    </row>
    <row r="199">
      <c r="A199" s="20"/>
      <c r="B199" s="20"/>
      <c r="C199" s="20"/>
    </row>
    <row r="200">
      <c r="A200" s="20"/>
      <c r="B200" s="20"/>
      <c r="C200" s="20"/>
    </row>
    <row r="201">
      <c r="A201" s="20"/>
      <c r="B201" s="20"/>
      <c r="C201" s="20"/>
    </row>
    <row r="202">
      <c r="A202" s="20"/>
      <c r="B202" s="20"/>
      <c r="C202" s="20"/>
    </row>
    <row r="203">
      <c r="A203" s="20"/>
      <c r="B203" s="20"/>
      <c r="C203" s="20"/>
    </row>
    <row r="204">
      <c r="A204" s="20"/>
      <c r="B204" s="20"/>
      <c r="C204" s="20"/>
    </row>
    <row r="205">
      <c r="A205" s="20"/>
      <c r="B205" s="20"/>
      <c r="C205" s="20"/>
    </row>
    <row r="206">
      <c r="A206" s="20"/>
      <c r="B206" s="20"/>
      <c r="C206" s="20"/>
    </row>
    <row r="207">
      <c r="A207" s="20"/>
      <c r="B207" s="20"/>
      <c r="C207" s="20"/>
    </row>
    <row r="208">
      <c r="A208" s="20"/>
      <c r="B208" s="20"/>
      <c r="C208" s="20"/>
    </row>
    <row r="209">
      <c r="A209" s="20"/>
      <c r="B209" s="20"/>
      <c r="C209" s="20"/>
    </row>
    <row r="210">
      <c r="A210" s="20"/>
      <c r="B210" s="20"/>
      <c r="C210" s="20"/>
    </row>
    <row r="211">
      <c r="A211" s="20"/>
      <c r="B211" s="20"/>
      <c r="C211" s="20"/>
    </row>
    <row r="212">
      <c r="A212" s="20"/>
      <c r="B212" s="20"/>
      <c r="C212" s="20"/>
    </row>
    <row r="213">
      <c r="A213" s="20"/>
      <c r="B213" s="20"/>
      <c r="C213" s="20"/>
    </row>
    <row r="214">
      <c r="A214" s="20"/>
      <c r="B214" s="20"/>
      <c r="C214" s="20"/>
    </row>
    <row r="215">
      <c r="A215" s="20"/>
      <c r="B215" s="20"/>
      <c r="C215" s="20"/>
    </row>
    <row r="216">
      <c r="A216" s="20"/>
      <c r="B216" s="20"/>
      <c r="C216" s="20"/>
    </row>
    <row r="217">
      <c r="A217" s="20"/>
      <c r="B217" s="20"/>
      <c r="C217" s="20"/>
    </row>
    <row r="218">
      <c r="A218" s="20"/>
      <c r="B218" s="20"/>
      <c r="C218" s="20"/>
    </row>
    <row r="219">
      <c r="A219" s="20"/>
      <c r="B219" s="20"/>
      <c r="C219" s="20"/>
    </row>
    <row r="220">
      <c r="A220" s="20"/>
      <c r="B220" s="20"/>
      <c r="C220" s="20"/>
    </row>
    <row r="221">
      <c r="A221" s="20"/>
      <c r="B221" s="20"/>
      <c r="C221" s="20"/>
    </row>
    <row r="222">
      <c r="A222" s="20"/>
      <c r="B222" s="20"/>
      <c r="C222" s="20"/>
    </row>
    <row r="223">
      <c r="A223" s="20"/>
      <c r="B223" s="20"/>
      <c r="C223" s="20"/>
    </row>
    <row r="224">
      <c r="A224" s="20"/>
      <c r="B224" s="20"/>
      <c r="C224" s="20"/>
    </row>
    <row r="225">
      <c r="A225" s="20"/>
      <c r="B225" s="20"/>
      <c r="C225" s="20"/>
    </row>
    <row r="226">
      <c r="A226" s="20"/>
      <c r="B226" s="20"/>
      <c r="C226" s="20"/>
    </row>
    <row r="227">
      <c r="A227" s="20"/>
      <c r="B227" s="20"/>
      <c r="C227" s="20"/>
    </row>
    <row r="228">
      <c r="A228" s="20"/>
      <c r="B228" s="20"/>
      <c r="C228" s="20"/>
    </row>
    <row r="229">
      <c r="A229" s="20"/>
      <c r="B229" s="20"/>
      <c r="C229" s="20"/>
    </row>
    <row r="230">
      <c r="A230" s="20"/>
      <c r="B230" s="20"/>
      <c r="C230" s="20"/>
    </row>
    <row r="231">
      <c r="A231" s="20"/>
      <c r="B231" s="20"/>
      <c r="C231" s="20"/>
    </row>
    <row r="232">
      <c r="A232" s="20"/>
      <c r="B232" s="20"/>
      <c r="C232" s="20"/>
    </row>
    <row r="233">
      <c r="A233" s="20"/>
      <c r="B233" s="20"/>
      <c r="C233" s="20"/>
    </row>
    <row r="234">
      <c r="A234" s="20"/>
      <c r="B234" s="20"/>
      <c r="C234" s="20"/>
    </row>
    <row r="235">
      <c r="A235" s="20"/>
      <c r="B235" s="20"/>
      <c r="C235" s="20"/>
    </row>
    <row r="236">
      <c r="A236" s="20"/>
      <c r="B236" s="20"/>
      <c r="C236" s="20"/>
    </row>
    <row r="237">
      <c r="A237" s="20"/>
      <c r="B237" s="20"/>
      <c r="C237" s="20"/>
    </row>
    <row r="238">
      <c r="A238" s="20"/>
      <c r="B238" s="20"/>
      <c r="C238" s="20"/>
    </row>
    <row r="239">
      <c r="A239" s="20"/>
      <c r="B239" s="20"/>
      <c r="C239" s="20"/>
    </row>
    <row r="240">
      <c r="A240" s="20"/>
      <c r="B240" s="20"/>
      <c r="C240" s="20"/>
    </row>
    <row r="241">
      <c r="A241" s="20"/>
      <c r="B241" s="20"/>
      <c r="C241" s="20"/>
    </row>
    <row r="242">
      <c r="A242" s="20"/>
      <c r="B242" s="20"/>
      <c r="C242" s="20"/>
    </row>
    <row r="243">
      <c r="A243" s="20"/>
      <c r="B243" s="20"/>
      <c r="C243" s="20"/>
    </row>
    <row r="244">
      <c r="A244" s="20"/>
      <c r="B244" s="20"/>
      <c r="C244" s="20"/>
    </row>
    <row r="245">
      <c r="A245" s="20"/>
      <c r="B245" s="20"/>
      <c r="C245" s="20"/>
    </row>
    <row r="246">
      <c r="A246" s="20"/>
      <c r="B246" s="20"/>
      <c r="C246" s="20"/>
    </row>
    <row r="247">
      <c r="A247" s="20"/>
      <c r="B247" s="20"/>
      <c r="C247" s="20"/>
    </row>
    <row r="248">
      <c r="A248" s="20"/>
      <c r="B248" s="20"/>
      <c r="C248" s="20"/>
    </row>
    <row r="249">
      <c r="A249" s="20"/>
      <c r="B249" s="20"/>
      <c r="C249" s="20"/>
    </row>
    <row r="250">
      <c r="A250" s="20"/>
      <c r="B250" s="20"/>
      <c r="C250" s="20"/>
    </row>
    <row r="251">
      <c r="A251" s="20"/>
      <c r="B251" s="20"/>
      <c r="C251" s="20"/>
    </row>
    <row r="252">
      <c r="A252" s="20"/>
      <c r="B252" s="20"/>
      <c r="C252" s="20"/>
    </row>
    <row r="253">
      <c r="A253" s="20"/>
      <c r="B253" s="20"/>
      <c r="C253" s="20"/>
    </row>
    <row r="254">
      <c r="A254" s="20"/>
      <c r="B254" s="20"/>
      <c r="C254" s="20"/>
    </row>
    <row r="255">
      <c r="A255" s="20"/>
      <c r="B255" s="20"/>
      <c r="C255" s="20"/>
    </row>
    <row r="256">
      <c r="A256" s="20"/>
      <c r="B256" s="20"/>
      <c r="C256" s="20"/>
    </row>
    <row r="257">
      <c r="A257" s="20"/>
      <c r="B257" s="20"/>
      <c r="C257" s="20"/>
    </row>
    <row r="258">
      <c r="A258" s="20"/>
      <c r="B258" s="20"/>
      <c r="C258" s="20"/>
    </row>
    <row r="259">
      <c r="A259" s="20"/>
      <c r="B259" s="20"/>
      <c r="C259" s="20"/>
    </row>
    <row r="260">
      <c r="A260" s="20"/>
      <c r="B260" s="20"/>
      <c r="C260" s="20"/>
    </row>
    <row r="261">
      <c r="A261" s="20"/>
      <c r="B261" s="20"/>
      <c r="C261" s="20"/>
    </row>
    <row r="262">
      <c r="A262" s="20"/>
      <c r="B262" s="20"/>
      <c r="C262" s="20"/>
    </row>
    <row r="263">
      <c r="A263" s="20"/>
      <c r="B263" s="20"/>
      <c r="C263" s="20"/>
    </row>
    <row r="264">
      <c r="A264" s="20"/>
      <c r="B264" s="20"/>
      <c r="C264" s="20"/>
    </row>
    <row r="265">
      <c r="A265" s="20"/>
      <c r="B265" s="20"/>
      <c r="C265" s="20"/>
    </row>
    <row r="266">
      <c r="A266" s="20"/>
      <c r="B266" s="20"/>
      <c r="C266" s="20"/>
    </row>
    <row r="267">
      <c r="A267" s="20"/>
      <c r="B267" s="20"/>
      <c r="C267" s="20"/>
    </row>
    <row r="268">
      <c r="A268" s="20"/>
      <c r="B268" s="20"/>
      <c r="C268" s="20"/>
    </row>
    <row r="269">
      <c r="A269" s="20"/>
      <c r="B269" s="20"/>
      <c r="C269" s="20"/>
    </row>
    <row r="270">
      <c r="A270" s="20"/>
      <c r="B270" s="20"/>
      <c r="C270" s="20"/>
    </row>
    <row r="271">
      <c r="A271" s="20"/>
      <c r="B271" s="20"/>
      <c r="C271" s="20"/>
    </row>
    <row r="272">
      <c r="A272" s="20"/>
      <c r="B272" s="20"/>
      <c r="C272" s="20"/>
    </row>
    <row r="273">
      <c r="A273" s="20"/>
      <c r="B273" s="20"/>
      <c r="C273" s="20"/>
    </row>
    <row r="274">
      <c r="A274" s="20"/>
      <c r="B274" s="20"/>
      <c r="C274" s="20"/>
    </row>
    <row r="275">
      <c r="A275" s="20"/>
      <c r="B275" s="20"/>
      <c r="C275" s="20"/>
    </row>
    <row r="276">
      <c r="A276" s="20"/>
      <c r="B276" s="20"/>
      <c r="C276" s="20"/>
    </row>
    <row r="277">
      <c r="A277" s="20"/>
      <c r="B277" s="20"/>
      <c r="C277" s="20"/>
    </row>
    <row r="278">
      <c r="A278" s="20"/>
      <c r="B278" s="20"/>
      <c r="C278" s="20"/>
    </row>
    <row r="279">
      <c r="A279" s="20"/>
      <c r="B279" s="20"/>
      <c r="C279" s="20"/>
    </row>
    <row r="280">
      <c r="A280" s="20"/>
      <c r="B280" s="20"/>
      <c r="C280" s="20"/>
    </row>
    <row r="281">
      <c r="A281" s="20"/>
      <c r="B281" s="20"/>
      <c r="C281" s="20"/>
    </row>
    <row r="282">
      <c r="A282" s="20"/>
      <c r="B282" s="20"/>
      <c r="C282" s="20"/>
    </row>
    <row r="283">
      <c r="A283" s="20"/>
      <c r="B283" s="20"/>
      <c r="C283" s="20"/>
    </row>
    <row r="284">
      <c r="A284" s="20"/>
      <c r="B284" s="20"/>
      <c r="C284" s="20"/>
    </row>
    <row r="285">
      <c r="A285" s="20"/>
      <c r="B285" s="20"/>
      <c r="C285" s="20"/>
    </row>
    <row r="286">
      <c r="A286" s="20"/>
      <c r="B286" s="20"/>
      <c r="C286" s="20"/>
    </row>
    <row r="287">
      <c r="A287" s="20"/>
      <c r="B287" s="20"/>
      <c r="C287" s="20"/>
    </row>
    <row r="288">
      <c r="A288" s="20"/>
      <c r="B288" s="20"/>
      <c r="C288" s="20"/>
    </row>
    <row r="289">
      <c r="A289" s="20"/>
      <c r="B289" s="20"/>
      <c r="C289" s="20"/>
    </row>
    <row r="290">
      <c r="A290" s="20"/>
      <c r="B290" s="20"/>
      <c r="C290" s="20"/>
    </row>
    <row r="291">
      <c r="A291" s="20"/>
      <c r="B291" s="20"/>
      <c r="C291" s="20"/>
    </row>
    <row r="292">
      <c r="A292" s="20"/>
      <c r="B292" s="20"/>
      <c r="C292" s="20"/>
    </row>
    <row r="293">
      <c r="A293" s="20"/>
      <c r="B293" s="20"/>
      <c r="C293" s="20"/>
    </row>
    <row r="294">
      <c r="A294" s="20"/>
      <c r="B294" s="20"/>
      <c r="C294" s="20"/>
    </row>
    <row r="295">
      <c r="A295" s="20"/>
      <c r="B295" s="20"/>
      <c r="C295" s="20"/>
    </row>
    <row r="296">
      <c r="A296" s="20"/>
      <c r="B296" s="20"/>
      <c r="C296" s="20"/>
    </row>
    <row r="297">
      <c r="A297" s="20"/>
      <c r="B297" s="20"/>
      <c r="C297" s="20"/>
    </row>
    <row r="298">
      <c r="A298" s="20"/>
      <c r="B298" s="20"/>
      <c r="C298" s="20"/>
    </row>
    <row r="299">
      <c r="A299" s="20"/>
      <c r="B299" s="20"/>
      <c r="C299" s="20"/>
    </row>
    <row r="300">
      <c r="A300" s="20"/>
      <c r="B300" s="20"/>
      <c r="C300" s="20"/>
    </row>
    <row r="301">
      <c r="A301" s="20"/>
      <c r="B301" s="20"/>
      <c r="C301" s="20"/>
    </row>
    <row r="302">
      <c r="A302" s="20"/>
      <c r="B302" s="20"/>
      <c r="C302" s="20"/>
    </row>
    <row r="303">
      <c r="A303" s="20"/>
      <c r="B303" s="20"/>
      <c r="C303" s="20"/>
    </row>
    <row r="304">
      <c r="A304" s="20"/>
      <c r="B304" s="20"/>
      <c r="C304" s="20"/>
    </row>
    <row r="305">
      <c r="A305" s="20"/>
      <c r="B305" s="20"/>
      <c r="C305" s="20"/>
    </row>
    <row r="306">
      <c r="A306" s="20"/>
      <c r="B306" s="20"/>
      <c r="C306" s="20"/>
    </row>
    <row r="307">
      <c r="A307" s="20"/>
      <c r="B307" s="20"/>
      <c r="C307" s="20"/>
    </row>
    <row r="308">
      <c r="A308" s="20"/>
      <c r="B308" s="20"/>
      <c r="C308" s="20"/>
    </row>
    <row r="309">
      <c r="A309" s="20"/>
      <c r="B309" s="20"/>
      <c r="C309" s="20"/>
    </row>
    <row r="310">
      <c r="A310" s="20"/>
      <c r="B310" s="20"/>
      <c r="C310" s="20"/>
    </row>
    <row r="311">
      <c r="A311" s="20"/>
      <c r="B311" s="20"/>
      <c r="C311" s="20"/>
    </row>
    <row r="312">
      <c r="A312" s="20"/>
      <c r="B312" s="20"/>
      <c r="C312" s="20"/>
    </row>
    <row r="313">
      <c r="A313" s="20"/>
      <c r="B313" s="20"/>
      <c r="C313" s="20"/>
    </row>
    <row r="314">
      <c r="A314" s="20"/>
      <c r="B314" s="20"/>
      <c r="C314" s="20"/>
    </row>
    <row r="315">
      <c r="A315" s="20"/>
      <c r="B315" s="20"/>
      <c r="C315" s="20"/>
    </row>
    <row r="316">
      <c r="A316" s="20"/>
      <c r="B316" s="20"/>
      <c r="C316" s="20"/>
    </row>
    <row r="317">
      <c r="A317" s="20"/>
      <c r="B317" s="20"/>
      <c r="C317" s="20"/>
    </row>
    <row r="318">
      <c r="A318" s="20"/>
      <c r="B318" s="20"/>
      <c r="C318" s="20"/>
    </row>
    <row r="319">
      <c r="A319" s="20"/>
      <c r="B319" s="20"/>
      <c r="C319" s="20"/>
    </row>
    <row r="320">
      <c r="A320" s="20"/>
      <c r="B320" s="20"/>
      <c r="C320" s="20"/>
    </row>
    <row r="321">
      <c r="A321" s="20"/>
      <c r="B321" s="20"/>
      <c r="C321" s="20"/>
    </row>
    <row r="322">
      <c r="A322" s="20"/>
      <c r="B322" s="20"/>
      <c r="C322" s="20"/>
    </row>
    <row r="323">
      <c r="A323" s="20"/>
      <c r="B323" s="20"/>
      <c r="C323" s="20"/>
    </row>
    <row r="324">
      <c r="A324" s="20"/>
      <c r="B324" s="20"/>
      <c r="C324" s="20"/>
    </row>
    <row r="325">
      <c r="A325" s="20"/>
      <c r="B325" s="20"/>
      <c r="C325" s="20"/>
    </row>
    <row r="326">
      <c r="A326" s="20"/>
      <c r="B326" s="20"/>
      <c r="C326" s="20"/>
    </row>
    <row r="327">
      <c r="A327" s="20"/>
      <c r="B327" s="20"/>
      <c r="C327" s="20"/>
    </row>
    <row r="328">
      <c r="A328" s="20"/>
      <c r="B328" s="20"/>
      <c r="C328" s="20"/>
    </row>
    <row r="329">
      <c r="A329" s="20"/>
      <c r="B329" s="20"/>
      <c r="C329" s="20"/>
    </row>
    <row r="330">
      <c r="A330" s="20"/>
      <c r="B330" s="20"/>
      <c r="C330" s="20"/>
    </row>
    <row r="331">
      <c r="A331" s="20"/>
      <c r="B331" s="20"/>
      <c r="C331" s="20"/>
    </row>
    <row r="332">
      <c r="A332" s="20"/>
      <c r="B332" s="20"/>
      <c r="C332" s="20"/>
    </row>
    <row r="333">
      <c r="A333" s="20"/>
      <c r="B333" s="20"/>
      <c r="C333" s="20"/>
    </row>
    <row r="334">
      <c r="A334" s="20"/>
      <c r="B334" s="20"/>
      <c r="C334" s="20"/>
    </row>
    <row r="335">
      <c r="A335" s="20"/>
      <c r="B335" s="20"/>
      <c r="C335" s="20"/>
    </row>
    <row r="336">
      <c r="A336" s="20"/>
      <c r="B336" s="20"/>
      <c r="C336" s="20"/>
    </row>
    <row r="337">
      <c r="A337" s="20"/>
      <c r="B337" s="20"/>
      <c r="C337" s="20"/>
    </row>
    <row r="338">
      <c r="A338" s="20"/>
      <c r="B338" s="20"/>
      <c r="C338" s="20"/>
    </row>
    <row r="339">
      <c r="A339" s="20"/>
      <c r="B339" s="20"/>
      <c r="C339" s="20"/>
    </row>
    <row r="340">
      <c r="A340" s="20"/>
      <c r="B340" s="20"/>
      <c r="C340" s="20"/>
    </row>
    <row r="341">
      <c r="A341" s="20"/>
      <c r="B341" s="20"/>
      <c r="C341" s="20"/>
    </row>
    <row r="342">
      <c r="A342" s="20"/>
      <c r="B342" s="20"/>
      <c r="C342" s="20"/>
    </row>
    <row r="343">
      <c r="A343" s="20"/>
      <c r="B343" s="20"/>
      <c r="C343" s="20"/>
    </row>
    <row r="344">
      <c r="A344" s="20"/>
      <c r="B344" s="20"/>
      <c r="C344" s="20"/>
    </row>
    <row r="345">
      <c r="A345" s="20"/>
      <c r="B345" s="20"/>
      <c r="C345" s="20"/>
    </row>
    <row r="346">
      <c r="A346" s="20"/>
      <c r="B346" s="20"/>
      <c r="C346" s="20"/>
    </row>
    <row r="347">
      <c r="A347" s="20"/>
      <c r="B347" s="20"/>
      <c r="C347" s="20"/>
    </row>
    <row r="348">
      <c r="A348" s="20"/>
      <c r="B348" s="20"/>
      <c r="C348" s="20"/>
    </row>
    <row r="349">
      <c r="A349" s="20"/>
      <c r="B349" s="20"/>
      <c r="C349" s="20"/>
    </row>
    <row r="350">
      <c r="A350" s="20"/>
      <c r="B350" s="20"/>
      <c r="C350" s="20"/>
    </row>
    <row r="351">
      <c r="A351" s="20"/>
      <c r="B351" s="20"/>
      <c r="C351" s="20"/>
    </row>
    <row r="352">
      <c r="A352" s="20"/>
      <c r="B352" s="20"/>
      <c r="C352" s="20"/>
    </row>
    <row r="353">
      <c r="A353" s="20"/>
      <c r="B353" s="20"/>
      <c r="C353" s="20"/>
    </row>
    <row r="354">
      <c r="A354" s="20"/>
      <c r="B354" s="20"/>
      <c r="C354" s="20"/>
    </row>
    <row r="355">
      <c r="A355" s="20"/>
      <c r="B355" s="20"/>
      <c r="C355" s="20"/>
    </row>
    <row r="356">
      <c r="A356" s="20"/>
      <c r="B356" s="20"/>
      <c r="C356" s="20"/>
    </row>
    <row r="357">
      <c r="A357" s="20"/>
      <c r="B357" s="20"/>
      <c r="C357" s="20"/>
    </row>
    <row r="358">
      <c r="A358" s="20"/>
      <c r="B358" s="20"/>
      <c r="C358" s="20"/>
    </row>
    <row r="359">
      <c r="A359" s="20"/>
      <c r="B359" s="20"/>
      <c r="C359" s="20"/>
    </row>
    <row r="360">
      <c r="A360" s="20"/>
      <c r="B360" s="20"/>
      <c r="C360" s="20"/>
    </row>
    <row r="361">
      <c r="A361" s="20"/>
      <c r="B361" s="20"/>
      <c r="C361" s="20"/>
    </row>
    <row r="362">
      <c r="A362" s="20"/>
      <c r="B362" s="20"/>
      <c r="C362" s="20"/>
    </row>
    <row r="363">
      <c r="A363" s="20"/>
      <c r="B363" s="20"/>
      <c r="C363" s="20"/>
    </row>
    <row r="364">
      <c r="A364" s="20"/>
      <c r="B364" s="20"/>
      <c r="C364" s="20"/>
    </row>
    <row r="365">
      <c r="A365" s="20"/>
      <c r="B365" s="20"/>
      <c r="C365" s="20"/>
    </row>
    <row r="366">
      <c r="A366" s="20"/>
      <c r="B366" s="20"/>
      <c r="C366" s="20"/>
    </row>
    <row r="367">
      <c r="A367" s="20"/>
      <c r="B367" s="20"/>
      <c r="C367" s="20"/>
    </row>
    <row r="368">
      <c r="A368" s="20"/>
      <c r="B368" s="20"/>
      <c r="C368" s="20"/>
    </row>
    <row r="369">
      <c r="A369" s="20"/>
      <c r="B369" s="20"/>
      <c r="C369" s="20"/>
    </row>
    <row r="370">
      <c r="A370" s="20"/>
      <c r="B370" s="20"/>
      <c r="C370" s="20"/>
    </row>
    <row r="371">
      <c r="A371" s="20"/>
      <c r="B371" s="20"/>
      <c r="C371" s="20"/>
    </row>
    <row r="372">
      <c r="A372" s="20"/>
      <c r="B372" s="20"/>
      <c r="C372" s="20"/>
    </row>
    <row r="373">
      <c r="A373" s="20"/>
      <c r="B373" s="20"/>
      <c r="C373" s="20"/>
    </row>
    <row r="374">
      <c r="A374" s="20"/>
      <c r="B374" s="20"/>
      <c r="C374" s="20"/>
    </row>
    <row r="375">
      <c r="A375" s="20"/>
      <c r="B375" s="20"/>
      <c r="C375" s="20"/>
    </row>
    <row r="376">
      <c r="A376" s="20"/>
      <c r="B376" s="20"/>
      <c r="C376" s="20"/>
    </row>
    <row r="377">
      <c r="A377" s="20"/>
      <c r="B377" s="20"/>
      <c r="C377" s="20"/>
    </row>
    <row r="378">
      <c r="A378" s="20"/>
      <c r="B378" s="20"/>
      <c r="C378" s="20"/>
    </row>
    <row r="379">
      <c r="A379" s="20"/>
      <c r="B379" s="20"/>
      <c r="C379" s="20"/>
    </row>
    <row r="380">
      <c r="A380" s="20"/>
      <c r="B380" s="20"/>
      <c r="C380" s="20"/>
    </row>
    <row r="381">
      <c r="A381" s="20"/>
      <c r="B381" s="20"/>
      <c r="C381" s="20"/>
    </row>
    <row r="382">
      <c r="A382" s="20"/>
      <c r="B382" s="20"/>
      <c r="C382" s="20"/>
    </row>
    <row r="383">
      <c r="A383" s="20"/>
      <c r="B383" s="20"/>
      <c r="C383" s="20"/>
    </row>
    <row r="384">
      <c r="A384" s="20"/>
      <c r="B384" s="20"/>
      <c r="C384" s="20"/>
    </row>
    <row r="385">
      <c r="A385" s="20"/>
      <c r="B385" s="20"/>
      <c r="C385" s="20"/>
    </row>
    <row r="386">
      <c r="A386" s="20"/>
      <c r="B386" s="20"/>
      <c r="C386" s="20"/>
    </row>
    <row r="387">
      <c r="A387" s="20"/>
      <c r="B387" s="20"/>
      <c r="C387" s="20"/>
    </row>
    <row r="388">
      <c r="A388" s="20"/>
      <c r="B388" s="20"/>
      <c r="C388" s="20"/>
    </row>
    <row r="389">
      <c r="A389" s="20"/>
      <c r="B389" s="20"/>
      <c r="C389" s="20"/>
    </row>
    <row r="390">
      <c r="A390" s="20"/>
      <c r="B390" s="20"/>
      <c r="C390" s="20"/>
    </row>
    <row r="391">
      <c r="A391" s="20"/>
      <c r="B391" s="20"/>
      <c r="C391" s="20"/>
    </row>
    <row r="392">
      <c r="A392" s="20"/>
      <c r="B392" s="20"/>
      <c r="C392" s="20"/>
    </row>
    <row r="393">
      <c r="A393" s="20"/>
      <c r="B393" s="20"/>
      <c r="C393" s="20"/>
    </row>
    <row r="394">
      <c r="A394" s="20"/>
      <c r="B394" s="20"/>
      <c r="C394" s="20"/>
    </row>
    <row r="395">
      <c r="A395" s="20"/>
      <c r="B395" s="20"/>
      <c r="C395" s="20"/>
    </row>
    <row r="396">
      <c r="A396" s="20"/>
      <c r="B396" s="20"/>
      <c r="C396" s="20"/>
    </row>
    <row r="397">
      <c r="A397" s="20"/>
      <c r="B397" s="20"/>
      <c r="C397" s="20"/>
    </row>
    <row r="398">
      <c r="A398" s="20"/>
      <c r="B398" s="20"/>
      <c r="C398" s="20"/>
    </row>
    <row r="399">
      <c r="A399" s="20"/>
      <c r="B399" s="20"/>
      <c r="C399" s="20"/>
    </row>
    <row r="400">
      <c r="A400" s="20"/>
      <c r="B400" s="20"/>
      <c r="C400" s="20"/>
    </row>
    <row r="401">
      <c r="A401" s="20"/>
      <c r="B401" s="20"/>
      <c r="C401" s="20"/>
    </row>
    <row r="402">
      <c r="A402" s="20"/>
      <c r="B402" s="20"/>
      <c r="C402" s="20"/>
    </row>
    <row r="403">
      <c r="A403" s="20"/>
      <c r="B403" s="20"/>
      <c r="C403" s="20"/>
    </row>
    <row r="404">
      <c r="A404" s="20"/>
      <c r="B404" s="20"/>
      <c r="C404" s="20"/>
    </row>
    <row r="405">
      <c r="A405" s="20"/>
      <c r="B405" s="20"/>
      <c r="C405" s="20"/>
    </row>
    <row r="406">
      <c r="A406" s="20"/>
      <c r="B406" s="20"/>
      <c r="C406" s="20"/>
    </row>
    <row r="407">
      <c r="A407" s="20"/>
      <c r="B407" s="20"/>
      <c r="C407" s="20"/>
    </row>
    <row r="408">
      <c r="A408" s="20"/>
      <c r="B408" s="20"/>
      <c r="C408" s="20"/>
    </row>
    <row r="409">
      <c r="A409" s="20"/>
      <c r="B409" s="20"/>
      <c r="C409" s="20"/>
    </row>
    <row r="410">
      <c r="A410" s="20"/>
      <c r="B410" s="20"/>
      <c r="C410" s="20"/>
    </row>
    <row r="411">
      <c r="A411" s="20"/>
      <c r="B411" s="20"/>
      <c r="C411" s="20"/>
    </row>
    <row r="412">
      <c r="A412" s="20"/>
      <c r="B412" s="20"/>
      <c r="C412" s="20"/>
    </row>
    <row r="413">
      <c r="A413" s="20"/>
      <c r="B413" s="20"/>
      <c r="C413" s="20"/>
    </row>
    <row r="414">
      <c r="A414" s="20"/>
      <c r="B414" s="20"/>
      <c r="C414" s="20"/>
    </row>
    <row r="415">
      <c r="A415" s="20"/>
      <c r="B415" s="20"/>
      <c r="C415" s="20"/>
    </row>
    <row r="416">
      <c r="A416" s="20"/>
      <c r="B416" s="20"/>
      <c r="C416" s="20"/>
    </row>
    <row r="417">
      <c r="A417" s="20"/>
      <c r="B417" s="20"/>
      <c r="C417" s="20"/>
    </row>
    <row r="418">
      <c r="A418" s="20"/>
      <c r="B418" s="20"/>
      <c r="C418" s="20"/>
    </row>
    <row r="419">
      <c r="A419" s="20"/>
      <c r="B419" s="20"/>
      <c r="C419" s="20"/>
    </row>
    <row r="420">
      <c r="A420" s="20"/>
      <c r="B420" s="20"/>
      <c r="C420" s="20"/>
    </row>
    <row r="421">
      <c r="A421" s="20"/>
      <c r="B421" s="20"/>
      <c r="C421" s="20"/>
    </row>
    <row r="422">
      <c r="A422" s="20"/>
      <c r="B422" s="20"/>
      <c r="C422" s="20"/>
    </row>
    <row r="423">
      <c r="A423" s="20"/>
      <c r="B423" s="20"/>
      <c r="C423" s="20"/>
    </row>
    <row r="424">
      <c r="A424" s="20"/>
      <c r="B424" s="20"/>
      <c r="C424" s="20"/>
    </row>
    <row r="425">
      <c r="A425" s="20"/>
      <c r="B425" s="20"/>
      <c r="C425" s="20"/>
    </row>
    <row r="426">
      <c r="A426" s="20"/>
      <c r="B426" s="20"/>
      <c r="C426" s="20"/>
    </row>
    <row r="427">
      <c r="A427" s="20"/>
      <c r="B427" s="20"/>
      <c r="C427" s="20"/>
    </row>
    <row r="428">
      <c r="A428" s="20"/>
      <c r="B428" s="20"/>
      <c r="C428" s="20"/>
    </row>
    <row r="429">
      <c r="A429" s="20"/>
      <c r="B429" s="20"/>
      <c r="C429" s="20"/>
    </row>
    <row r="430">
      <c r="A430" s="20"/>
      <c r="B430" s="20"/>
      <c r="C430" s="20"/>
    </row>
    <row r="431">
      <c r="A431" s="20"/>
      <c r="B431" s="20"/>
      <c r="C431" s="20"/>
    </row>
    <row r="432">
      <c r="A432" s="20"/>
      <c r="B432" s="20"/>
      <c r="C432" s="20"/>
    </row>
    <row r="433">
      <c r="A433" s="20"/>
      <c r="B433" s="20"/>
      <c r="C433" s="20"/>
    </row>
    <row r="434">
      <c r="A434" s="20"/>
      <c r="B434" s="20"/>
      <c r="C434" s="20"/>
    </row>
    <row r="435">
      <c r="A435" s="20"/>
      <c r="B435" s="20"/>
      <c r="C435" s="20"/>
    </row>
    <row r="436">
      <c r="A436" s="20"/>
      <c r="B436" s="20"/>
      <c r="C436" s="20"/>
    </row>
    <row r="437">
      <c r="A437" s="20"/>
      <c r="B437" s="20"/>
      <c r="C437" s="20"/>
    </row>
    <row r="438">
      <c r="A438" s="20"/>
      <c r="B438" s="20"/>
      <c r="C438" s="20"/>
    </row>
    <row r="439">
      <c r="A439" s="20"/>
      <c r="B439" s="20"/>
      <c r="C439" s="20"/>
    </row>
    <row r="440">
      <c r="A440" s="20"/>
      <c r="B440" s="20"/>
      <c r="C440" s="20"/>
    </row>
    <row r="441">
      <c r="A441" s="20"/>
      <c r="B441" s="20"/>
      <c r="C441" s="20"/>
    </row>
    <row r="442">
      <c r="A442" s="20"/>
      <c r="B442" s="20"/>
      <c r="C442" s="20"/>
    </row>
    <row r="443">
      <c r="A443" s="20"/>
      <c r="B443" s="20"/>
      <c r="C443" s="20"/>
    </row>
    <row r="444">
      <c r="A444" s="20"/>
      <c r="B444" s="20"/>
      <c r="C444" s="20"/>
    </row>
    <row r="445">
      <c r="A445" s="20"/>
      <c r="B445" s="20"/>
      <c r="C445" s="20"/>
    </row>
    <row r="446">
      <c r="A446" s="20"/>
      <c r="B446" s="20"/>
      <c r="C446" s="20"/>
    </row>
    <row r="447">
      <c r="A447" s="20"/>
      <c r="B447" s="20"/>
      <c r="C447" s="20"/>
    </row>
    <row r="448">
      <c r="A448" s="20"/>
      <c r="B448" s="20"/>
      <c r="C448" s="20"/>
    </row>
    <row r="449">
      <c r="A449" s="20"/>
      <c r="B449" s="20"/>
      <c r="C449" s="20"/>
    </row>
    <row r="450">
      <c r="A450" s="20"/>
      <c r="B450" s="20"/>
      <c r="C450" s="20"/>
    </row>
    <row r="451">
      <c r="A451" s="20"/>
      <c r="B451" s="20"/>
      <c r="C451" s="20"/>
    </row>
    <row r="452">
      <c r="A452" s="20"/>
      <c r="B452" s="20"/>
      <c r="C452" s="20"/>
    </row>
    <row r="453">
      <c r="A453" s="20"/>
      <c r="B453" s="20"/>
      <c r="C453" s="20"/>
    </row>
    <row r="454">
      <c r="A454" s="20"/>
      <c r="B454" s="20"/>
      <c r="C454" s="20"/>
    </row>
    <row r="455">
      <c r="A455" s="20"/>
      <c r="B455" s="20"/>
      <c r="C455" s="20"/>
    </row>
    <row r="456">
      <c r="A456" s="20"/>
      <c r="B456" s="20"/>
      <c r="C456" s="20"/>
    </row>
    <row r="457">
      <c r="A457" s="20"/>
      <c r="B457" s="20"/>
      <c r="C457" s="20"/>
    </row>
    <row r="458">
      <c r="A458" s="20"/>
      <c r="B458" s="20"/>
      <c r="C458" s="20"/>
    </row>
    <row r="459">
      <c r="A459" s="20"/>
      <c r="B459" s="20"/>
      <c r="C459" s="20"/>
    </row>
    <row r="460">
      <c r="A460" s="20"/>
      <c r="B460" s="20"/>
      <c r="C460" s="20"/>
    </row>
    <row r="461">
      <c r="A461" s="20"/>
      <c r="B461" s="20"/>
      <c r="C461" s="20"/>
    </row>
    <row r="462">
      <c r="A462" s="20"/>
      <c r="B462" s="20"/>
      <c r="C462" s="20"/>
    </row>
    <row r="463">
      <c r="A463" s="20"/>
      <c r="B463" s="20"/>
      <c r="C463" s="20"/>
    </row>
    <row r="464">
      <c r="A464" s="20"/>
      <c r="B464" s="20"/>
      <c r="C464" s="20"/>
    </row>
    <row r="465">
      <c r="A465" s="20"/>
      <c r="B465" s="20"/>
      <c r="C465" s="20"/>
    </row>
    <row r="466">
      <c r="A466" s="20"/>
      <c r="B466" s="20"/>
      <c r="C466" s="20"/>
    </row>
    <row r="467">
      <c r="A467" s="20"/>
      <c r="B467" s="20"/>
      <c r="C467" s="20"/>
    </row>
    <row r="468">
      <c r="A468" s="20"/>
      <c r="B468" s="20"/>
      <c r="C468" s="20"/>
    </row>
    <row r="469">
      <c r="A469" s="20"/>
      <c r="B469" s="20"/>
      <c r="C469" s="20"/>
    </row>
    <row r="470">
      <c r="A470" s="20"/>
      <c r="B470" s="20"/>
      <c r="C470" s="20"/>
    </row>
    <row r="471">
      <c r="A471" s="20"/>
      <c r="B471" s="20"/>
      <c r="C471" s="20"/>
    </row>
    <row r="472">
      <c r="A472" s="20"/>
      <c r="B472" s="20"/>
      <c r="C472" s="20"/>
    </row>
    <row r="473">
      <c r="A473" s="20"/>
      <c r="B473" s="20"/>
      <c r="C473" s="20"/>
    </row>
    <row r="474">
      <c r="A474" s="20"/>
      <c r="B474" s="20"/>
      <c r="C474" s="20"/>
    </row>
    <row r="475">
      <c r="A475" s="20"/>
      <c r="B475" s="20"/>
      <c r="C475" s="20"/>
    </row>
    <row r="476">
      <c r="A476" s="20"/>
      <c r="B476" s="20"/>
      <c r="C476" s="20"/>
    </row>
    <row r="477">
      <c r="A477" s="20"/>
      <c r="B477" s="20"/>
      <c r="C477" s="20"/>
    </row>
    <row r="478">
      <c r="A478" s="20"/>
      <c r="B478" s="20"/>
      <c r="C478" s="20"/>
    </row>
    <row r="479">
      <c r="A479" s="20"/>
      <c r="B479" s="20"/>
      <c r="C479" s="20"/>
    </row>
    <row r="480">
      <c r="A480" s="20"/>
      <c r="B480" s="20"/>
      <c r="C480" s="20"/>
    </row>
    <row r="481">
      <c r="A481" s="20"/>
      <c r="B481" s="20"/>
      <c r="C481" s="20"/>
    </row>
    <row r="482">
      <c r="A482" s="20"/>
      <c r="B482" s="20"/>
      <c r="C482" s="20"/>
    </row>
    <row r="483">
      <c r="A483" s="20"/>
      <c r="B483" s="20"/>
      <c r="C483" s="20"/>
    </row>
    <row r="484">
      <c r="A484" s="20"/>
      <c r="B484" s="20"/>
      <c r="C484" s="20"/>
    </row>
    <row r="485">
      <c r="A485" s="20"/>
      <c r="B485" s="20"/>
      <c r="C485" s="20"/>
    </row>
    <row r="486">
      <c r="A486" s="20"/>
      <c r="B486" s="20"/>
      <c r="C486" s="20"/>
    </row>
    <row r="487">
      <c r="A487" s="20"/>
      <c r="B487" s="20"/>
      <c r="C487" s="20"/>
    </row>
    <row r="488">
      <c r="A488" s="20"/>
      <c r="B488" s="20"/>
      <c r="C488" s="20"/>
    </row>
    <row r="489">
      <c r="A489" s="20"/>
      <c r="B489" s="20"/>
      <c r="C489" s="20"/>
    </row>
    <row r="490">
      <c r="A490" s="20"/>
      <c r="B490" s="20"/>
      <c r="C490" s="20"/>
    </row>
    <row r="491">
      <c r="A491" s="20"/>
      <c r="B491" s="20"/>
      <c r="C491" s="20"/>
    </row>
    <row r="492">
      <c r="A492" s="20"/>
      <c r="B492" s="20"/>
      <c r="C492" s="20"/>
    </row>
    <row r="493">
      <c r="A493" s="20"/>
      <c r="B493" s="20"/>
      <c r="C493" s="20"/>
    </row>
    <row r="494">
      <c r="A494" s="20"/>
      <c r="B494" s="20"/>
      <c r="C494" s="20"/>
    </row>
    <row r="495">
      <c r="A495" s="20"/>
      <c r="B495" s="20"/>
      <c r="C495" s="20"/>
    </row>
    <row r="496">
      <c r="A496" s="20"/>
      <c r="B496" s="20"/>
      <c r="C496" s="20"/>
    </row>
    <row r="497">
      <c r="A497" s="20"/>
      <c r="B497" s="20"/>
      <c r="C497" s="20"/>
    </row>
    <row r="498">
      <c r="A498" s="20"/>
      <c r="B498" s="20"/>
      <c r="C498" s="20"/>
    </row>
    <row r="499">
      <c r="A499" s="20"/>
      <c r="B499" s="20"/>
      <c r="C499" s="20"/>
    </row>
    <row r="500">
      <c r="A500" s="20"/>
      <c r="B500" s="20"/>
      <c r="C500" s="20"/>
    </row>
    <row r="501">
      <c r="A501" s="20"/>
      <c r="B501" s="20"/>
      <c r="C501" s="20"/>
    </row>
    <row r="502">
      <c r="A502" s="20"/>
      <c r="B502" s="20"/>
      <c r="C502" s="20"/>
    </row>
    <row r="503">
      <c r="A503" s="20"/>
      <c r="B503" s="20"/>
      <c r="C503" s="20"/>
    </row>
    <row r="504">
      <c r="A504" s="20"/>
      <c r="B504" s="20"/>
      <c r="C504" s="20"/>
    </row>
    <row r="505">
      <c r="A505" s="20"/>
      <c r="B505" s="20"/>
      <c r="C505" s="20"/>
    </row>
    <row r="506">
      <c r="A506" s="20"/>
      <c r="B506" s="20"/>
      <c r="C506" s="20"/>
    </row>
    <row r="507">
      <c r="A507" s="20"/>
      <c r="B507" s="20"/>
      <c r="C507" s="20"/>
    </row>
    <row r="508">
      <c r="A508" s="20"/>
      <c r="B508" s="20"/>
      <c r="C508" s="20"/>
    </row>
    <row r="509">
      <c r="A509" s="20"/>
      <c r="B509" s="20"/>
      <c r="C509" s="20"/>
    </row>
    <row r="510">
      <c r="A510" s="20"/>
      <c r="B510" s="20"/>
      <c r="C510" s="20"/>
    </row>
    <row r="511">
      <c r="A511" s="20"/>
      <c r="B511" s="20"/>
      <c r="C511" s="20"/>
    </row>
    <row r="512">
      <c r="A512" s="20"/>
      <c r="B512" s="20"/>
      <c r="C512" s="20"/>
    </row>
    <row r="513">
      <c r="A513" s="20"/>
      <c r="B513" s="20"/>
      <c r="C513" s="20"/>
    </row>
    <row r="514">
      <c r="A514" s="20"/>
      <c r="B514" s="20"/>
      <c r="C514" s="20"/>
    </row>
    <row r="515">
      <c r="A515" s="20"/>
      <c r="B515" s="20"/>
      <c r="C515" s="20"/>
    </row>
    <row r="516">
      <c r="A516" s="20"/>
      <c r="B516" s="20"/>
      <c r="C516" s="20"/>
    </row>
    <row r="517">
      <c r="A517" s="20"/>
      <c r="B517" s="20"/>
      <c r="C517" s="20"/>
    </row>
    <row r="518">
      <c r="A518" s="20"/>
      <c r="B518" s="20"/>
      <c r="C518" s="20"/>
    </row>
    <row r="519">
      <c r="A519" s="20"/>
      <c r="B519" s="20"/>
      <c r="C519" s="20"/>
    </row>
    <row r="520">
      <c r="A520" s="20"/>
      <c r="B520" s="20"/>
      <c r="C520" s="20"/>
    </row>
    <row r="521">
      <c r="A521" s="20"/>
      <c r="B521" s="20"/>
      <c r="C521" s="20"/>
    </row>
    <row r="522">
      <c r="A522" s="20"/>
      <c r="B522" s="20"/>
      <c r="C522" s="20"/>
    </row>
    <row r="523">
      <c r="A523" s="20"/>
      <c r="B523" s="20"/>
      <c r="C523" s="20"/>
    </row>
    <row r="524">
      <c r="A524" s="20"/>
      <c r="B524" s="20"/>
      <c r="C524" s="20"/>
    </row>
    <row r="525">
      <c r="A525" s="20"/>
      <c r="B525" s="20"/>
      <c r="C525" s="20"/>
    </row>
    <row r="526">
      <c r="A526" s="20"/>
      <c r="B526" s="20"/>
      <c r="C526" s="20"/>
    </row>
    <row r="527">
      <c r="A527" s="20"/>
      <c r="B527" s="20"/>
      <c r="C527" s="20"/>
    </row>
    <row r="528">
      <c r="A528" s="20"/>
      <c r="B528" s="20"/>
      <c r="C528" s="20"/>
    </row>
    <row r="529">
      <c r="A529" s="20"/>
      <c r="B529" s="20"/>
      <c r="C529" s="20"/>
    </row>
    <row r="530">
      <c r="A530" s="20"/>
      <c r="B530" s="20"/>
      <c r="C530" s="20"/>
    </row>
    <row r="531">
      <c r="A531" s="20"/>
      <c r="B531" s="20"/>
      <c r="C531" s="20"/>
    </row>
    <row r="532">
      <c r="A532" s="20"/>
      <c r="B532" s="20"/>
      <c r="C532" s="20"/>
    </row>
    <row r="533">
      <c r="A533" s="20"/>
      <c r="B533" s="20"/>
      <c r="C533" s="20"/>
    </row>
    <row r="534">
      <c r="A534" s="20"/>
      <c r="B534" s="20"/>
      <c r="C534" s="20"/>
    </row>
    <row r="535">
      <c r="A535" s="20"/>
      <c r="B535" s="20"/>
      <c r="C535" s="20"/>
    </row>
    <row r="536">
      <c r="A536" s="20"/>
      <c r="B536" s="20"/>
      <c r="C536" s="20"/>
    </row>
    <row r="537">
      <c r="A537" s="20"/>
      <c r="B537" s="20"/>
      <c r="C537" s="20"/>
    </row>
    <row r="538">
      <c r="A538" s="20"/>
      <c r="B538" s="20"/>
      <c r="C538" s="20"/>
    </row>
    <row r="539">
      <c r="A539" s="20"/>
      <c r="B539" s="20"/>
      <c r="C539" s="20"/>
    </row>
    <row r="540">
      <c r="A540" s="20"/>
      <c r="B540" s="20"/>
      <c r="C540" s="20"/>
    </row>
    <row r="541">
      <c r="A541" s="20"/>
      <c r="B541" s="20"/>
      <c r="C541" s="20"/>
    </row>
    <row r="542">
      <c r="A542" s="20"/>
      <c r="B542" s="20"/>
      <c r="C542" s="20"/>
    </row>
    <row r="543">
      <c r="A543" s="20"/>
      <c r="B543" s="20"/>
      <c r="C543" s="20"/>
    </row>
    <row r="544">
      <c r="A544" s="20"/>
      <c r="B544" s="20"/>
      <c r="C544" s="20"/>
    </row>
    <row r="545">
      <c r="A545" s="20"/>
      <c r="B545" s="20"/>
      <c r="C545" s="20"/>
    </row>
    <row r="546">
      <c r="A546" s="20"/>
      <c r="B546" s="20"/>
      <c r="C546" s="20"/>
    </row>
    <row r="547">
      <c r="A547" s="20"/>
      <c r="B547" s="20"/>
      <c r="C547" s="20"/>
    </row>
    <row r="548">
      <c r="A548" s="20"/>
      <c r="B548" s="20"/>
      <c r="C548" s="20"/>
    </row>
    <row r="549">
      <c r="A549" s="20"/>
      <c r="B549" s="20"/>
      <c r="C549" s="20"/>
    </row>
    <row r="550">
      <c r="A550" s="20"/>
      <c r="B550" s="20"/>
      <c r="C550" s="20"/>
    </row>
    <row r="551">
      <c r="A551" s="20"/>
      <c r="B551" s="20"/>
      <c r="C551" s="20"/>
    </row>
    <row r="552">
      <c r="A552" s="20"/>
      <c r="B552" s="20"/>
      <c r="C552" s="20"/>
    </row>
    <row r="553">
      <c r="A553" s="20"/>
      <c r="B553" s="20"/>
      <c r="C553" s="20"/>
    </row>
    <row r="554">
      <c r="A554" s="20"/>
      <c r="B554" s="20"/>
      <c r="C554" s="20"/>
    </row>
    <row r="555">
      <c r="A555" s="20"/>
      <c r="B555" s="20"/>
      <c r="C555" s="20"/>
    </row>
    <row r="556">
      <c r="A556" s="20"/>
      <c r="B556" s="20"/>
      <c r="C556" s="20"/>
    </row>
    <row r="557">
      <c r="A557" s="20"/>
      <c r="B557" s="20"/>
      <c r="C557" s="20"/>
    </row>
    <row r="558">
      <c r="A558" s="20"/>
      <c r="B558" s="20"/>
      <c r="C558" s="20"/>
    </row>
    <row r="559">
      <c r="A559" s="20"/>
      <c r="B559" s="20"/>
      <c r="C559" s="20"/>
    </row>
    <row r="560">
      <c r="A560" s="20"/>
      <c r="B560" s="20"/>
      <c r="C560" s="20"/>
    </row>
    <row r="561">
      <c r="A561" s="20"/>
      <c r="B561" s="20"/>
      <c r="C561" s="20"/>
    </row>
    <row r="562">
      <c r="A562" s="20"/>
      <c r="B562" s="20"/>
      <c r="C562" s="20"/>
    </row>
    <row r="563">
      <c r="A563" s="20"/>
      <c r="B563" s="20"/>
      <c r="C563" s="20"/>
    </row>
    <row r="564">
      <c r="A564" s="20"/>
      <c r="B564" s="20"/>
      <c r="C564" s="20"/>
    </row>
    <row r="565">
      <c r="A565" s="20"/>
      <c r="B565" s="20"/>
      <c r="C565" s="20"/>
    </row>
    <row r="566">
      <c r="A566" s="20"/>
      <c r="B566" s="20"/>
      <c r="C566" s="20"/>
    </row>
    <row r="567">
      <c r="A567" s="20"/>
      <c r="B567" s="20"/>
      <c r="C567" s="20"/>
    </row>
    <row r="568">
      <c r="A568" s="20"/>
      <c r="B568" s="20"/>
      <c r="C568" s="20"/>
    </row>
    <row r="569">
      <c r="A569" s="20"/>
      <c r="B569" s="20"/>
      <c r="C569" s="20"/>
    </row>
    <row r="570">
      <c r="A570" s="20"/>
      <c r="B570" s="20"/>
      <c r="C570" s="20"/>
    </row>
    <row r="571">
      <c r="A571" s="20"/>
      <c r="B571" s="20"/>
      <c r="C571" s="20"/>
    </row>
    <row r="572">
      <c r="A572" s="20"/>
      <c r="B572" s="20"/>
      <c r="C572" s="20"/>
    </row>
    <row r="573">
      <c r="A573" s="20"/>
      <c r="B573" s="20"/>
      <c r="C573" s="20"/>
    </row>
    <row r="574">
      <c r="A574" s="20"/>
      <c r="B574" s="20"/>
      <c r="C574" s="20"/>
    </row>
    <row r="575">
      <c r="A575" s="20"/>
      <c r="B575" s="20"/>
      <c r="C575" s="20"/>
    </row>
    <row r="576">
      <c r="A576" s="20"/>
      <c r="B576" s="20"/>
      <c r="C576" s="20"/>
    </row>
    <row r="577">
      <c r="A577" s="20"/>
      <c r="B577" s="20"/>
      <c r="C577" s="20"/>
    </row>
    <row r="578">
      <c r="A578" s="20"/>
      <c r="B578" s="20"/>
      <c r="C578" s="20"/>
    </row>
    <row r="579">
      <c r="A579" s="20"/>
      <c r="B579" s="20"/>
      <c r="C579" s="20"/>
    </row>
    <row r="580">
      <c r="A580" s="20"/>
      <c r="B580" s="20"/>
      <c r="C580" s="20"/>
    </row>
    <row r="581">
      <c r="A581" s="20"/>
      <c r="B581" s="20"/>
      <c r="C581" s="20"/>
    </row>
    <row r="582">
      <c r="A582" s="20"/>
      <c r="B582" s="20"/>
      <c r="C582" s="20"/>
    </row>
    <row r="583">
      <c r="A583" s="20"/>
      <c r="B583" s="20"/>
      <c r="C583" s="20"/>
    </row>
    <row r="584">
      <c r="A584" s="20"/>
      <c r="B584" s="20"/>
      <c r="C584" s="20"/>
    </row>
    <row r="585">
      <c r="A585" s="20"/>
      <c r="B585" s="20"/>
      <c r="C585" s="20"/>
    </row>
    <row r="586">
      <c r="A586" s="20"/>
      <c r="B586" s="20"/>
      <c r="C586" s="20"/>
    </row>
    <row r="587">
      <c r="A587" s="20"/>
      <c r="B587" s="20"/>
      <c r="C587" s="20"/>
    </row>
    <row r="588">
      <c r="A588" s="20"/>
      <c r="B588" s="20"/>
      <c r="C588" s="20"/>
    </row>
    <row r="589">
      <c r="A589" s="20"/>
      <c r="B589" s="20"/>
      <c r="C589" s="20"/>
    </row>
    <row r="590">
      <c r="A590" s="20"/>
      <c r="B590" s="20"/>
      <c r="C590" s="20"/>
    </row>
    <row r="591">
      <c r="A591" s="20"/>
      <c r="B591" s="20"/>
      <c r="C591" s="20"/>
    </row>
    <row r="592">
      <c r="A592" s="20"/>
      <c r="B592" s="20"/>
      <c r="C592" s="20"/>
    </row>
    <row r="593">
      <c r="A593" s="20"/>
      <c r="B593" s="20"/>
      <c r="C593" s="20"/>
    </row>
    <row r="594">
      <c r="A594" s="20"/>
      <c r="B594" s="20"/>
      <c r="C594" s="20"/>
    </row>
    <row r="595">
      <c r="A595" s="20"/>
      <c r="B595" s="20"/>
      <c r="C595" s="20"/>
    </row>
    <row r="596">
      <c r="A596" s="20"/>
      <c r="B596" s="20"/>
      <c r="C596" s="20"/>
    </row>
    <row r="597">
      <c r="A597" s="20"/>
      <c r="B597" s="20"/>
      <c r="C597" s="20"/>
    </row>
    <row r="598">
      <c r="A598" s="20"/>
      <c r="B598" s="20"/>
      <c r="C598" s="20"/>
    </row>
    <row r="599">
      <c r="A599" s="20"/>
      <c r="B599" s="20"/>
      <c r="C599" s="20"/>
    </row>
    <row r="600">
      <c r="A600" s="20"/>
      <c r="B600" s="20"/>
      <c r="C600" s="20"/>
    </row>
    <row r="601">
      <c r="A601" s="20"/>
      <c r="B601" s="20"/>
      <c r="C601" s="20"/>
    </row>
    <row r="602">
      <c r="A602" s="20"/>
      <c r="B602" s="20"/>
      <c r="C602" s="20"/>
    </row>
    <row r="603">
      <c r="A603" s="20"/>
      <c r="B603" s="20"/>
      <c r="C603" s="20"/>
    </row>
    <row r="604">
      <c r="A604" s="20"/>
      <c r="B604" s="20"/>
      <c r="C604" s="20"/>
    </row>
    <row r="605">
      <c r="A605" s="20"/>
      <c r="B605" s="20"/>
      <c r="C605" s="20"/>
    </row>
    <row r="606">
      <c r="A606" s="20"/>
      <c r="B606" s="20"/>
      <c r="C606" s="20"/>
    </row>
    <row r="607">
      <c r="A607" s="20"/>
      <c r="B607" s="20"/>
      <c r="C607" s="20"/>
    </row>
    <row r="608">
      <c r="A608" s="20"/>
      <c r="B608" s="20"/>
      <c r="C608" s="20"/>
    </row>
    <row r="609">
      <c r="A609" s="20"/>
      <c r="B609" s="20"/>
      <c r="C609" s="20"/>
    </row>
    <row r="610">
      <c r="A610" s="20"/>
      <c r="B610" s="20"/>
      <c r="C610" s="20"/>
    </row>
    <row r="611">
      <c r="A611" s="20"/>
      <c r="B611" s="20"/>
      <c r="C611" s="20"/>
    </row>
    <row r="612">
      <c r="A612" s="20"/>
      <c r="B612" s="20"/>
      <c r="C612" s="20"/>
    </row>
    <row r="613">
      <c r="A613" s="20"/>
      <c r="B613" s="20"/>
      <c r="C613" s="20"/>
    </row>
    <row r="614">
      <c r="A614" s="20"/>
      <c r="B614" s="20"/>
      <c r="C614" s="20"/>
    </row>
    <row r="615">
      <c r="A615" s="20"/>
      <c r="B615" s="20"/>
      <c r="C615" s="20"/>
    </row>
    <row r="616">
      <c r="A616" s="20"/>
      <c r="B616" s="20"/>
      <c r="C616" s="20"/>
    </row>
    <row r="617">
      <c r="A617" s="20"/>
      <c r="B617" s="20"/>
      <c r="C617" s="20"/>
    </row>
    <row r="618">
      <c r="A618" s="20"/>
      <c r="B618" s="20"/>
      <c r="C618" s="20"/>
    </row>
    <row r="619">
      <c r="A619" s="20"/>
      <c r="B619" s="20"/>
      <c r="C619" s="20"/>
    </row>
    <row r="620">
      <c r="A620" s="20"/>
      <c r="B620" s="20"/>
      <c r="C620" s="20"/>
    </row>
    <row r="621">
      <c r="A621" s="20"/>
      <c r="B621" s="20"/>
      <c r="C621" s="20"/>
    </row>
    <row r="622">
      <c r="A622" s="20"/>
      <c r="B622" s="20"/>
      <c r="C622" s="20"/>
    </row>
    <row r="623">
      <c r="A623" s="20"/>
      <c r="B623" s="20"/>
      <c r="C623" s="20"/>
    </row>
    <row r="624">
      <c r="A624" s="20"/>
      <c r="B624" s="20"/>
      <c r="C624" s="20"/>
    </row>
    <row r="625">
      <c r="A625" s="20"/>
      <c r="B625" s="20"/>
      <c r="C625" s="20"/>
    </row>
    <row r="626">
      <c r="A626" s="20"/>
      <c r="B626" s="20"/>
      <c r="C626" s="20"/>
    </row>
    <row r="627">
      <c r="A627" s="20"/>
      <c r="B627" s="20"/>
      <c r="C627" s="20"/>
    </row>
    <row r="628">
      <c r="A628" s="20"/>
      <c r="B628" s="20"/>
      <c r="C628" s="20"/>
    </row>
    <row r="629">
      <c r="A629" s="20"/>
      <c r="B629" s="20"/>
      <c r="C629" s="20"/>
    </row>
    <row r="630">
      <c r="A630" s="20"/>
      <c r="B630" s="20"/>
      <c r="C630" s="20"/>
    </row>
    <row r="631">
      <c r="A631" s="20"/>
      <c r="B631" s="20"/>
      <c r="C631" s="20"/>
    </row>
    <row r="632">
      <c r="A632" s="20"/>
      <c r="B632" s="20"/>
      <c r="C632" s="20"/>
    </row>
    <row r="633">
      <c r="A633" s="20"/>
      <c r="B633" s="20"/>
      <c r="C633" s="20"/>
    </row>
    <row r="634">
      <c r="A634" s="20"/>
      <c r="B634" s="20"/>
      <c r="C634" s="20"/>
    </row>
    <row r="635">
      <c r="A635" s="20"/>
      <c r="B635" s="20"/>
      <c r="C635" s="20"/>
    </row>
    <row r="636">
      <c r="A636" s="20"/>
      <c r="B636" s="20"/>
      <c r="C636" s="20"/>
    </row>
    <row r="637">
      <c r="A637" s="20"/>
      <c r="B637" s="20"/>
      <c r="C637" s="20"/>
    </row>
    <row r="638">
      <c r="A638" s="20"/>
      <c r="B638" s="20"/>
      <c r="C638" s="20"/>
    </row>
    <row r="639">
      <c r="A639" s="20"/>
      <c r="B639" s="20"/>
      <c r="C639" s="20"/>
    </row>
    <row r="640">
      <c r="A640" s="20"/>
      <c r="B640" s="20"/>
      <c r="C640" s="20"/>
    </row>
    <row r="641">
      <c r="A641" s="20"/>
      <c r="B641" s="20"/>
      <c r="C641" s="20"/>
    </row>
    <row r="642">
      <c r="A642" s="20"/>
      <c r="B642" s="20"/>
      <c r="C642" s="20"/>
    </row>
    <row r="643">
      <c r="A643" s="20"/>
      <c r="B643" s="20"/>
      <c r="C643" s="20"/>
    </row>
    <row r="644">
      <c r="A644" s="20"/>
      <c r="B644" s="20"/>
      <c r="C644" s="20"/>
    </row>
    <row r="645">
      <c r="A645" s="20"/>
      <c r="B645" s="20"/>
      <c r="C645" s="20"/>
    </row>
    <row r="646">
      <c r="A646" s="20"/>
      <c r="B646" s="20"/>
      <c r="C646" s="20"/>
    </row>
    <row r="647">
      <c r="A647" s="20"/>
      <c r="B647" s="20"/>
      <c r="C647" s="20"/>
    </row>
    <row r="648">
      <c r="A648" s="20"/>
      <c r="B648" s="20"/>
      <c r="C648" s="20"/>
    </row>
    <row r="649">
      <c r="A649" s="20"/>
      <c r="B649" s="20"/>
      <c r="C649" s="20"/>
    </row>
    <row r="650">
      <c r="A650" s="20"/>
      <c r="B650" s="20"/>
      <c r="C650" s="20"/>
    </row>
    <row r="651">
      <c r="A651" s="20"/>
      <c r="B651" s="20"/>
      <c r="C651" s="20"/>
    </row>
    <row r="652">
      <c r="A652" s="20"/>
      <c r="B652" s="20"/>
      <c r="C652" s="20"/>
    </row>
    <row r="653">
      <c r="A653" s="20"/>
      <c r="B653" s="20"/>
      <c r="C653" s="20"/>
    </row>
    <row r="654">
      <c r="A654" s="20"/>
      <c r="B654" s="20"/>
      <c r="C654" s="20"/>
    </row>
    <row r="655">
      <c r="A655" s="20"/>
      <c r="B655" s="20"/>
      <c r="C655" s="20"/>
    </row>
    <row r="656">
      <c r="A656" s="20"/>
      <c r="B656" s="20"/>
      <c r="C656" s="20"/>
    </row>
    <row r="657">
      <c r="A657" s="20"/>
      <c r="B657" s="20"/>
      <c r="C657" s="20"/>
    </row>
    <row r="658">
      <c r="A658" s="20"/>
      <c r="B658" s="20"/>
      <c r="C658" s="20"/>
    </row>
    <row r="659">
      <c r="A659" s="20"/>
      <c r="B659" s="20"/>
      <c r="C659" s="20"/>
    </row>
    <row r="660">
      <c r="A660" s="20"/>
      <c r="B660" s="20"/>
      <c r="C660" s="20"/>
    </row>
    <row r="661">
      <c r="A661" s="20"/>
      <c r="B661" s="20"/>
      <c r="C661" s="20"/>
    </row>
    <row r="662">
      <c r="A662" s="20"/>
      <c r="B662" s="20"/>
      <c r="C662" s="20"/>
    </row>
    <row r="663">
      <c r="A663" s="20"/>
      <c r="B663" s="20"/>
      <c r="C663" s="20"/>
    </row>
    <row r="664">
      <c r="A664" s="20"/>
      <c r="B664" s="20"/>
      <c r="C664" s="20"/>
    </row>
    <row r="665">
      <c r="A665" s="20"/>
      <c r="B665" s="20"/>
      <c r="C665" s="20"/>
    </row>
    <row r="666">
      <c r="A666" s="20"/>
      <c r="B666" s="20"/>
      <c r="C666" s="20"/>
    </row>
    <row r="667">
      <c r="A667" s="20"/>
      <c r="B667" s="20"/>
      <c r="C667" s="20"/>
    </row>
    <row r="668">
      <c r="A668" s="20"/>
      <c r="B668" s="20"/>
      <c r="C668" s="20"/>
    </row>
    <row r="669">
      <c r="A669" s="20"/>
      <c r="B669" s="20"/>
      <c r="C669" s="20"/>
    </row>
    <row r="670">
      <c r="A670" s="20"/>
      <c r="B670" s="20"/>
      <c r="C670" s="20"/>
    </row>
    <row r="671">
      <c r="A671" s="20"/>
      <c r="B671" s="20"/>
      <c r="C671" s="20"/>
    </row>
    <row r="672">
      <c r="A672" s="20"/>
      <c r="B672" s="20"/>
      <c r="C672" s="20"/>
    </row>
    <row r="673">
      <c r="A673" s="20"/>
      <c r="B673" s="20"/>
      <c r="C673" s="20"/>
    </row>
    <row r="674">
      <c r="A674" s="20"/>
      <c r="B674" s="20"/>
      <c r="C674" s="20"/>
    </row>
    <row r="675">
      <c r="A675" s="20"/>
      <c r="B675" s="20"/>
      <c r="C675" s="20"/>
    </row>
    <row r="676">
      <c r="A676" s="20"/>
      <c r="B676" s="20"/>
      <c r="C676" s="20"/>
    </row>
    <row r="677">
      <c r="A677" s="20"/>
      <c r="B677" s="20"/>
      <c r="C677" s="20"/>
    </row>
    <row r="678">
      <c r="A678" s="20"/>
      <c r="B678" s="20"/>
      <c r="C678" s="20"/>
    </row>
    <row r="679">
      <c r="A679" s="20"/>
      <c r="B679" s="20"/>
      <c r="C679" s="20"/>
    </row>
    <row r="680">
      <c r="A680" s="20"/>
      <c r="B680" s="20"/>
      <c r="C680" s="20"/>
    </row>
    <row r="681">
      <c r="A681" s="20"/>
      <c r="B681" s="20"/>
      <c r="C681" s="20"/>
    </row>
    <row r="682">
      <c r="A682" s="20"/>
      <c r="B682" s="20"/>
      <c r="C682" s="20"/>
    </row>
    <row r="683">
      <c r="A683" s="20"/>
      <c r="B683" s="20"/>
      <c r="C683" s="20"/>
    </row>
    <row r="684">
      <c r="A684" s="20"/>
      <c r="B684" s="20"/>
      <c r="C684" s="20"/>
    </row>
    <row r="685">
      <c r="A685" s="20"/>
      <c r="B685" s="20"/>
      <c r="C685" s="20"/>
    </row>
    <row r="686">
      <c r="A686" s="20"/>
      <c r="B686" s="20"/>
      <c r="C686" s="20"/>
    </row>
    <row r="687">
      <c r="A687" s="20"/>
      <c r="B687" s="20"/>
      <c r="C687" s="20"/>
    </row>
    <row r="688">
      <c r="A688" s="20"/>
      <c r="B688" s="20"/>
      <c r="C688" s="20"/>
    </row>
    <row r="689">
      <c r="A689" s="20"/>
      <c r="B689" s="20"/>
      <c r="C689" s="20"/>
    </row>
    <row r="690">
      <c r="A690" s="20"/>
      <c r="B690" s="20"/>
      <c r="C690" s="20"/>
    </row>
    <row r="691">
      <c r="A691" s="20"/>
      <c r="B691" s="20"/>
      <c r="C691" s="20"/>
    </row>
    <row r="692">
      <c r="A692" s="20"/>
      <c r="B692" s="20"/>
      <c r="C692" s="20"/>
    </row>
    <row r="693">
      <c r="A693" s="20"/>
      <c r="B693" s="20"/>
      <c r="C693" s="20"/>
    </row>
    <row r="694">
      <c r="A694" s="20"/>
      <c r="B694" s="20"/>
      <c r="C694" s="20"/>
    </row>
    <row r="695">
      <c r="A695" s="20"/>
      <c r="B695" s="20"/>
      <c r="C695" s="20"/>
    </row>
    <row r="696">
      <c r="A696" s="20"/>
      <c r="B696" s="20"/>
      <c r="C696" s="20"/>
    </row>
    <row r="697">
      <c r="A697" s="20"/>
      <c r="B697" s="20"/>
      <c r="C697" s="20"/>
    </row>
    <row r="698">
      <c r="A698" s="20"/>
      <c r="B698" s="20"/>
      <c r="C698" s="20"/>
    </row>
    <row r="699">
      <c r="A699" s="20"/>
      <c r="B699" s="20"/>
      <c r="C699" s="20"/>
    </row>
    <row r="700">
      <c r="A700" s="20"/>
      <c r="B700" s="20"/>
      <c r="C700" s="20"/>
    </row>
    <row r="701">
      <c r="A701" s="20"/>
      <c r="B701" s="20"/>
      <c r="C701" s="20"/>
    </row>
    <row r="702">
      <c r="A702" s="20"/>
      <c r="B702" s="20"/>
      <c r="C702" s="20"/>
    </row>
    <row r="703">
      <c r="A703" s="20"/>
      <c r="B703" s="20"/>
      <c r="C703" s="20"/>
    </row>
    <row r="704">
      <c r="A704" s="20"/>
      <c r="B704" s="20"/>
      <c r="C704" s="20"/>
    </row>
    <row r="705">
      <c r="A705" s="20"/>
      <c r="B705" s="20"/>
      <c r="C705" s="20"/>
    </row>
    <row r="706">
      <c r="A706" s="20"/>
      <c r="B706" s="20"/>
      <c r="C706" s="20"/>
    </row>
    <row r="707">
      <c r="A707" s="20"/>
      <c r="B707" s="20"/>
      <c r="C707" s="20"/>
    </row>
    <row r="708">
      <c r="A708" s="20"/>
      <c r="B708" s="20"/>
      <c r="C708" s="20"/>
    </row>
    <row r="709">
      <c r="A709" s="20"/>
      <c r="B709" s="20"/>
      <c r="C709" s="20"/>
    </row>
    <row r="710">
      <c r="A710" s="20"/>
      <c r="B710" s="20"/>
      <c r="C710" s="20"/>
    </row>
    <row r="711">
      <c r="A711" s="20"/>
      <c r="B711" s="20"/>
      <c r="C711" s="20"/>
    </row>
    <row r="712">
      <c r="A712" s="20"/>
      <c r="B712" s="20"/>
      <c r="C712" s="20"/>
    </row>
    <row r="713">
      <c r="A713" s="20"/>
      <c r="B713" s="20"/>
      <c r="C713" s="20"/>
    </row>
    <row r="714">
      <c r="A714" s="20"/>
      <c r="B714" s="20"/>
      <c r="C714" s="20"/>
    </row>
    <row r="715">
      <c r="A715" s="20"/>
      <c r="B715" s="20"/>
      <c r="C715" s="20"/>
    </row>
    <row r="716">
      <c r="A716" s="20"/>
      <c r="B716" s="20"/>
      <c r="C716" s="20"/>
    </row>
    <row r="717">
      <c r="A717" s="20"/>
      <c r="B717" s="20"/>
      <c r="C717" s="20"/>
    </row>
    <row r="718">
      <c r="A718" s="20"/>
      <c r="B718" s="20"/>
      <c r="C718" s="20"/>
    </row>
    <row r="719">
      <c r="A719" s="20"/>
      <c r="B719" s="20"/>
      <c r="C719" s="20"/>
    </row>
    <row r="720">
      <c r="A720" s="20"/>
      <c r="B720" s="20"/>
      <c r="C720" s="20"/>
    </row>
    <row r="721">
      <c r="A721" s="20"/>
      <c r="B721" s="20"/>
      <c r="C721" s="20"/>
    </row>
    <row r="722">
      <c r="A722" s="20"/>
      <c r="B722" s="20"/>
      <c r="C722" s="20"/>
    </row>
    <row r="723">
      <c r="A723" s="20"/>
      <c r="B723" s="20"/>
      <c r="C723" s="20"/>
    </row>
    <row r="724">
      <c r="A724" s="20"/>
      <c r="B724" s="20"/>
      <c r="C724" s="20"/>
    </row>
    <row r="725">
      <c r="A725" s="20"/>
      <c r="B725" s="20"/>
      <c r="C725" s="20"/>
    </row>
    <row r="726">
      <c r="A726" s="20"/>
      <c r="B726" s="20"/>
      <c r="C726" s="20"/>
    </row>
    <row r="727">
      <c r="A727" s="20"/>
      <c r="B727" s="20"/>
      <c r="C727" s="20"/>
    </row>
    <row r="728">
      <c r="A728" s="20"/>
      <c r="B728" s="20"/>
      <c r="C728" s="20"/>
    </row>
    <row r="729">
      <c r="A729" s="20"/>
      <c r="B729" s="20"/>
      <c r="C729" s="20"/>
    </row>
    <row r="730">
      <c r="A730" s="20"/>
      <c r="B730" s="20"/>
      <c r="C730" s="20"/>
    </row>
    <row r="731">
      <c r="A731" s="20"/>
      <c r="B731" s="20"/>
      <c r="C731" s="20"/>
    </row>
    <row r="732">
      <c r="A732" s="20"/>
      <c r="B732" s="20"/>
      <c r="C732" s="20"/>
    </row>
    <row r="733">
      <c r="A733" s="20"/>
      <c r="B733" s="20"/>
      <c r="C733" s="20"/>
    </row>
    <row r="734">
      <c r="A734" s="20"/>
      <c r="B734" s="20"/>
      <c r="C734" s="20"/>
    </row>
    <row r="735">
      <c r="A735" s="20"/>
      <c r="B735" s="20"/>
      <c r="C735" s="20"/>
    </row>
    <row r="736">
      <c r="A736" s="20"/>
      <c r="B736" s="20"/>
      <c r="C736" s="20"/>
    </row>
    <row r="737">
      <c r="A737" s="20"/>
      <c r="B737" s="20"/>
      <c r="C737" s="20"/>
    </row>
    <row r="738">
      <c r="A738" s="20"/>
      <c r="B738" s="20"/>
      <c r="C738" s="20"/>
    </row>
    <row r="739">
      <c r="A739" s="20"/>
      <c r="B739" s="20"/>
      <c r="C739" s="20"/>
    </row>
    <row r="740">
      <c r="A740" s="20"/>
      <c r="B740" s="20"/>
      <c r="C740" s="20"/>
    </row>
    <row r="741">
      <c r="A741" s="20"/>
      <c r="B741" s="20"/>
      <c r="C741" s="20"/>
    </row>
    <row r="742">
      <c r="A742" s="20"/>
      <c r="B742" s="20"/>
      <c r="C742" s="20"/>
    </row>
    <row r="743">
      <c r="A743" s="20"/>
      <c r="B743" s="20"/>
      <c r="C743" s="20"/>
    </row>
    <row r="744">
      <c r="A744" s="20"/>
      <c r="B744" s="20"/>
      <c r="C744" s="20"/>
    </row>
    <row r="745">
      <c r="A745" s="20"/>
      <c r="B745" s="20"/>
      <c r="C745" s="20"/>
    </row>
    <row r="746">
      <c r="A746" s="20"/>
      <c r="B746" s="20"/>
      <c r="C746" s="20"/>
    </row>
    <row r="747">
      <c r="A747" s="20"/>
      <c r="B747" s="20"/>
      <c r="C747" s="20"/>
    </row>
    <row r="748">
      <c r="A748" s="20"/>
      <c r="B748" s="20"/>
      <c r="C748" s="20"/>
    </row>
    <row r="749">
      <c r="A749" s="20"/>
      <c r="B749" s="20"/>
      <c r="C749" s="20"/>
    </row>
    <row r="750">
      <c r="A750" s="20"/>
      <c r="B750" s="20"/>
      <c r="C750" s="20"/>
    </row>
    <row r="751">
      <c r="A751" s="20"/>
      <c r="B751" s="20"/>
      <c r="C751" s="20"/>
    </row>
    <row r="752">
      <c r="A752" s="20"/>
      <c r="B752" s="20"/>
      <c r="C752" s="20"/>
    </row>
    <row r="753">
      <c r="A753" s="20"/>
      <c r="B753" s="20"/>
      <c r="C753" s="20"/>
    </row>
    <row r="754">
      <c r="A754" s="20"/>
      <c r="B754" s="20"/>
      <c r="C754" s="20"/>
    </row>
    <row r="755">
      <c r="A755" s="20"/>
      <c r="B755" s="20"/>
      <c r="C755" s="20"/>
    </row>
    <row r="756">
      <c r="A756" s="20"/>
      <c r="B756" s="20"/>
      <c r="C756" s="20"/>
    </row>
    <row r="757">
      <c r="A757" s="20"/>
      <c r="B757" s="20"/>
      <c r="C757" s="20"/>
    </row>
    <row r="758">
      <c r="A758" s="20"/>
      <c r="B758" s="20"/>
      <c r="C758" s="20"/>
    </row>
    <row r="759">
      <c r="A759" s="20"/>
      <c r="B759" s="20"/>
      <c r="C759" s="20"/>
    </row>
    <row r="760">
      <c r="A760" s="20"/>
      <c r="B760" s="20"/>
      <c r="C760" s="20"/>
    </row>
    <row r="761">
      <c r="A761" s="20"/>
      <c r="B761" s="20"/>
      <c r="C761" s="20"/>
    </row>
    <row r="762">
      <c r="A762" s="20"/>
      <c r="B762" s="20"/>
      <c r="C762" s="20"/>
    </row>
    <row r="763">
      <c r="A763" s="20"/>
      <c r="B763" s="20"/>
      <c r="C763" s="20"/>
    </row>
    <row r="764">
      <c r="A764" s="20"/>
      <c r="B764" s="20"/>
      <c r="C764" s="20"/>
    </row>
    <row r="765">
      <c r="A765" s="20"/>
      <c r="B765" s="20"/>
      <c r="C765" s="20"/>
    </row>
    <row r="766">
      <c r="A766" s="20"/>
      <c r="B766" s="20"/>
      <c r="C766" s="20"/>
    </row>
    <row r="767">
      <c r="A767" s="20"/>
      <c r="B767" s="20"/>
      <c r="C767" s="20"/>
    </row>
    <row r="768">
      <c r="A768" s="20"/>
      <c r="B768" s="20"/>
      <c r="C768" s="20"/>
    </row>
    <row r="769">
      <c r="A769" s="20"/>
      <c r="B769" s="20"/>
      <c r="C769" s="20"/>
    </row>
    <row r="770">
      <c r="A770" s="20"/>
      <c r="B770" s="20"/>
      <c r="C770" s="20"/>
    </row>
    <row r="771">
      <c r="A771" s="20"/>
      <c r="B771" s="20"/>
      <c r="C771" s="20"/>
    </row>
    <row r="772">
      <c r="A772" s="20"/>
      <c r="B772" s="20"/>
      <c r="C772" s="20"/>
    </row>
    <row r="773">
      <c r="A773" s="20"/>
      <c r="B773" s="20"/>
      <c r="C773" s="20"/>
    </row>
    <row r="774">
      <c r="A774" s="20"/>
      <c r="B774" s="20"/>
      <c r="C774" s="20"/>
    </row>
    <row r="775">
      <c r="A775" s="20"/>
      <c r="B775" s="20"/>
      <c r="C775" s="20"/>
    </row>
    <row r="776">
      <c r="A776" s="20"/>
      <c r="B776" s="20"/>
      <c r="C776" s="20"/>
    </row>
    <row r="777">
      <c r="A777" s="20"/>
      <c r="B777" s="20"/>
      <c r="C777" s="20"/>
    </row>
    <row r="778">
      <c r="A778" s="20"/>
      <c r="B778" s="20"/>
      <c r="C778" s="20"/>
    </row>
    <row r="779">
      <c r="A779" s="20"/>
      <c r="B779" s="20"/>
      <c r="C779" s="20"/>
    </row>
    <row r="780">
      <c r="A780" s="20"/>
      <c r="B780" s="20"/>
      <c r="C780" s="20"/>
    </row>
    <row r="781">
      <c r="A781" s="20"/>
      <c r="B781" s="20"/>
      <c r="C781" s="20"/>
    </row>
    <row r="782">
      <c r="A782" s="20"/>
      <c r="B782" s="20"/>
      <c r="C782" s="20"/>
    </row>
    <row r="783">
      <c r="A783" s="20"/>
      <c r="B783" s="20"/>
      <c r="C783" s="20"/>
    </row>
    <row r="784">
      <c r="A784" s="20"/>
      <c r="B784" s="20"/>
      <c r="C784" s="20"/>
    </row>
    <row r="785">
      <c r="A785" s="20"/>
      <c r="B785" s="20"/>
      <c r="C785" s="20"/>
    </row>
    <row r="786">
      <c r="A786" s="20"/>
      <c r="B786" s="20"/>
      <c r="C786" s="20"/>
    </row>
    <row r="787">
      <c r="A787" s="20"/>
      <c r="B787" s="20"/>
      <c r="C787" s="20"/>
    </row>
    <row r="788">
      <c r="A788" s="20"/>
      <c r="B788" s="20"/>
      <c r="C788" s="20"/>
    </row>
    <row r="789">
      <c r="A789" s="20"/>
      <c r="B789" s="20"/>
      <c r="C789" s="20"/>
    </row>
    <row r="790">
      <c r="A790" s="20"/>
      <c r="B790" s="20"/>
      <c r="C790" s="20"/>
    </row>
    <row r="791">
      <c r="A791" s="20"/>
      <c r="B791" s="20"/>
      <c r="C791" s="20"/>
    </row>
    <row r="792">
      <c r="A792" s="20"/>
      <c r="B792" s="20"/>
      <c r="C792" s="20"/>
    </row>
    <row r="793">
      <c r="A793" s="20"/>
      <c r="B793" s="20"/>
      <c r="C793" s="20"/>
    </row>
    <row r="794">
      <c r="A794" s="20"/>
      <c r="B794" s="20"/>
      <c r="C794" s="20"/>
    </row>
    <row r="795">
      <c r="A795" s="20"/>
      <c r="B795" s="20"/>
      <c r="C795" s="20"/>
    </row>
    <row r="796">
      <c r="A796" s="20"/>
      <c r="B796" s="20"/>
      <c r="C796" s="20"/>
    </row>
    <row r="797">
      <c r="A797" s="20"/>
      <c r="B797" s="20"/>
      <c r="C797" s="20"/>
    </row>
    <row r="798">
      <c r="A798" s="20"/>
      <c r="B798" s="20"/>
      <c r="C798" s="20"/>
    </row>
    <row r="799">
      <c r="A799" s="20"/>
      <c r="B799" s="20"/>
      <c r="C799" s="20"/>
    </row>
    <row r="800">
      <c r="A800" s="20"/>
      <c r="B800" s="20"/>
      <c r="C800" s="20"/>
    </row>
    <row r="801">
      <c r="A801" s="20"/>
      <c r="B801" s="20"/>
      <c r="C801" s="20"/>
    </row>
    <row r="802">
      <c r="A802" s="20"/>
      <c r="B802" s="20"/>
      <c r="C802" s="20"/>
    </row>
    <row r="803">
      <c r="A803" s="20"/>
      <c r="B803" s="20"/>
      <c r="C803" s="20"/>
    </row>
    <row r="804">
      <c r="A804" s="20"/>
      <c r="B804" s="20"/>
      <c r="C804" s="20"/>
    </row>
    <row r="805">
      <c r="A805" s="20"/>
      <c r="B805" s="20"/>
      <c r="C805" s="20"/>
    </row>
    <row r="806">
      <c r="A806" s="20"/>
      <c r="B806" s="20"/>
      <c r="C806" s="20"/>
    </row>
    <row r="807">
      <c r="A807" s="20"/>
      <c r="B807" s="20"/>
      <c r="C807" s="20"/>
    </row>
    <row r="808">
      <c r="A808" s="20"/>
      <c r="B808" s="20"/>
      <c r="C808" s="20"/>
    </row>
    <row r="809">
      <c r="A809" s="20"/>
      <c r="B809" s="20"/>
      <c r="C809" s="20"/>
    </row>
    <row r="810">
      <c r="A810" s="20"/>
      <c r="B810" s="20"/>
      <c r="C810" s="20"/>
    </row>
    <row r="811">
      <c r="A811" s="20"/>
      <c r="B811" s="20"/>
      <c r="C811" s="20"/>
    </row>
    <row r="812">
      <c r="A812" s="20"/>
      <c r="B812" s="20"/>
      <c r="C812" s="20"/>
    </row>
    <row r="813">
      <c r="A813" s="20"/>
      <c r="B813" s="20"/>
      <c r="C813" s="20"/>
    </row>
    <row r="814">
      <c r="A814" s="20"/>
      <c r="B814" s="20"/>
      <c r="C814" s="20"/>
    </row>
    <row r="815">
      <c r="A815" s="20"/>
      <c r="B815" s="20"/>
      <c r="C815" s="20"/>
    </row>
    <row r="816">
      <c r="A816" s="20"/>
      <c r="B816" s="20"/>
      <c r="C816" s="20"/>
    </row>
    <row r="817">
      <c r="A817" s="20"/>
      <c r="B817" s="20"/>
      <c r="C817" s="20"/>
    </row>
    <row r="818">
      <c r="A818" s="20"/>
      <c r="B818" s="20"/>
      <c r="C818" s="20"/>
    </row>
    <row r="819">
      <c r="A819" s="20"/>
      <c r="B819" s="20"/>
      <c r="C819" s="20"/>
    </row>
    <row r="820">
      <c r="A820" s="20"/>
      <c r="B820" s="20"/>
      <c r="C820" s="20"/>
    </row>
    <row r="821">
      <c r="A821" s="20"/>
      <c r="B821" s="20"/>
      <c r="C821" s="20"/>
    </row>
    <row r="822">
      <c r="A822" s="20"/>
      <c r="B822" s="20"/>
      <c r="C822" s="20"/>
    </row>
    <row r="823">
      <c r="A823" s="20"/>
      <c r="B823" s="20"/>
      <c r="C823" s="20"/>
    </row>
    <row r="824">
      <c r="A824" s="20"/>
      <c r="B824" s="20"/>
      <c r="C824" s="20"/>
    </row>
    <row r="825">
      <c r="A825" s="20"/>
      <c r="B825" s="20"/>
      <c r="C825" s="20"/>
    </row>
    <row r="826">
      <c r="A826" s="20"/>
      <c r="B826" s="20"/>
      <c r="C826" s="20"/>
    </row>
    <row r="827">
      <c r="A827" s="20"/>
      <c r="B827" s="20"/>
      <c r="C827" s="20"/>
    </row>
    <row r="828">
      <c r="A828" s="20"/>
      <c r="B828" s="20"/>
      <c r="C828" s="20"/>
    </row>
    <row r="829">
      <c r="A829" s="20"/>
      <c r="B829" s="20"/>
      <c r="C829" s="20"/>
    </row>
    <row r="830">
      <c r="A830" s="20"/>
      <c r="B830" s="20"/>
      <c r="C830" s="20"/>
    </row>
    <row r="831">
      <c r="A831" s="20"/>
      <c r="B831" s="20"/>
      <c r="C831" s="20"/>
    </row>
    <row r="832">
      <c r="A832" s="20"/>
      <c r="B832" s="20"/>
      <c r="C832" s="20"/>
    </row>
    <row r="833">
      <c r="A833" s="20"/>
      <c r="B833" s="20"/>
      <c r="C833" s="20"/>
    </row>
    <row r="834">
      <c r="A834" s="20"/>
      <c r="B834" s="20"/>
      <c r="C834" s="20"/>
    </row>
    <row r="835">
      <c r="A835" s="20"/>
      <c r="B835" s="20"/>
      <c r="C835" s="20"/>
    </row>
    <row r="836">
      <c r="A836" s="20"/>
      <c r="B836" s="20"/>
      <c r="C836" s="20"/>
    </row>
    <row r="837">
      <c r="A837" s="20"/>
      <c r="B837" s="20"/>
      <c r="C837" s="20"/>
    </row>
    <row r="838">
      <c r="A838" s="20"/>
      <c r="B838" s="20"/>
      <c r="C838" s="20"/>
    </row>
    <row r="839">
      <c r="A839" s="20"/>
      <c r="B839" s="20"/>
      <c r="C839" s="20"/>
    </row>
    <row r="840">
      <c r="A840" s="20"/>
      <c r="B840" s="20"/>
      <c r="C840" s="20"/>
    </row>
    <row r="841">
      <c r="A841" s="20"/>
      <c r="B841" s="20"/>
      <c r="C841" s="20"/>
    </row>
    <row r="842">
      <c r="A842" s="20"/>
      <c r="B842" s="20"/>
      <c r="C842" s="20"/>
    </row>
    <row r="843">
      <c r="A843" s="20"/>
      <c r="B843" s="20"/>
      <c r="C843" s="20"/>
    </row>
    <row r="844">
      <c r="A844" s="20"/>
      <c r="B844" s="20"/>
      <c r="C844" s="20"/>
    </row>
    <row r="845">
      <c r="A845" s="20"/>
      <c r="B845" s="20"/>
      <c r="C845" s="20"/>
    </row>
    <row r="846">
      <c r="A846" s="20"/>
      <c r="B846" s="20"/>
      <c r="C846" s="20"/>
    </row>
    <row r="847">
      <c r="A847" s="20"/>
      <c r="B847" s="20"/>
      <c r="C847" s="20"/>
    </row>
    <row r="848">
      <c r="A848" s="20"/>
      <c r="B848" s="20"/>
      <c r="C848" s="20"/>
    </row>
    <row r="849">
      <c r="A849" s="20"/>
      <c r="B849" s="20"/>
      <c r="C849" s="20"/>
    </row>
    <row r="850">
      <c r="A850" s="20"/>
      <c r="B850" s="20"/>
      <c r="C850" s="20"/>
    </row>
    <row r="851">
      <c r="A851" s="20"/>
      <c r="B851" s="20"/>
      <c r="C851" s="20"/>
    </row>
    <row r="852">
      <c r="A852" s="20"/>
      <c r="B852" s="20"/>
      <c r="C852" s="20"/>
    </row>
    <row r="853">
      <c r="A853" s="20"/>
      <c r="B853" s="20"/>
      <c r="C853" s="20"/>
    </row>
    <row r="854">
      <c r="A854" s="20"/>
      <c r="B854" s="20"/>
      <c r="C854" s="20"/>
    </row>
    <row r="855">
      <c r="A855" s="20"/>
      <c r="B855" s="20"/>
      <c r="C855" s="20"/>
    </row>
    <row r="856">
      <c r="A856" s="20"/>
      <c r="B856" s="20"/>
      <c r="C856" s="20"/>
    </row>
    <row r="857">
      <c r="A857" s="20"/>
      <c r="B857" s="20"/>
      <c r="C857" s="20"/>
    </row>
    <row r="858">
      <c r="A858" s="20"/>
      <c r="B858" s="20"/>
      <c r="C858" s="20"/>
    </row>
    <row r="859">
      <c r="A859" s="20"/>
      <c r="B859" s="20"/>
      <c r="C859" s="20"/>
    </row>
    <row r="860">
      <c r="A860" s="20"/>
      <c r="B860" s="20"/>
      <c r="C860" s="20"/>
    </row>
    <row r="861">
      <c r="A861" s="20"/>
      <c r="B861" s="20"/>
      <c r="C861" s="20"/>
    </row>
    <row r="862">
      <c r="A862" s="20"/>
      <c r="B862" s="20"/>
      <c r="C862" s="20"/>
    </row>
    <row r="863">
      <c r="A863" s="20"/>
      <c r="B863" s="20"/>
      <c r="C863" s="20"/>
    </row>
    <row r="864">
      <c r="A864" s="20"/>
      <c r="B864" s="20"/>
      <c r="C864" s="20"/>
    </row>
    <row r="865">
      <c r="A865" s="20"/>
      <c r="B865" s="20"/>
      <c r="C865" s="20"/>
    </row>
    <row r="866">
      <c r="A866" s="20"/>
      <c r="B866" s="20"/>
      <c r="C866" s="20"/>
    </row>
    <row r="867">
      <c r="A867" s="20"/>
      <c r="B867" s="20"/>
      <c r="C867" s="20"/>
    </row>
    <row r="868">
      <c r="A868" s="20"/>
      <c r="B868" s="20"/>
      <c r="C868" s="20"/>
    </row>
    <row r="869">
      <c r="A869" s="20"/>
      <c r="B869" s="20"/>
      <c r="C869" s="20"/>
    </row>
    <row r="870">
      <c r="A870" s="20"/>
      <c r="B870" s="20"/>
      <c r="C870" s="20"/>
    </row>
    <row r="871">
      <c r="A871" s="20"/>
      <c r="B871" s="20"/>
      <c r="C871" s="20"/>
    </row>
    <row r="872">
      <c r="A872" s="20"/>
      <c r="B872" s="20"/>
      <c r="C872" s="20"/>
    </row>
    <row r="873">
      <c r="A873" s="20"/>
      <c r="B873" s="20"/>
      <c r="C873" s="20"/>
    </row>
    <row r="874">
      <c r="A874" s="20"/>
      <c r="B874" s="20"/>
      <c r="C874" s="20"/>
    </row>
    <row r="875">
      <c r="A875" s="20"/>
      <c r="B875" s="20"/>
      <c r="C875" s="20"/>
    </row>
    <row r="876">
      <c r="A876" s="20"/>
      <c r="B876" s="20"/>
      <c r="C876" s="20"/>
    </row>
    <row r="877">
      <c r="A877" s="20"/>
      <c r="B877" s="20"/>
      <c r="C877" s="20"/>
    </row>
    <row r="878">
      <c r="A878" s="20"/>
      <c r="B878" s="20"/>
      <c r="C878" s="20"/>
    </row>
    <row r="879">
      <c r="A879" s="20"/>
      <c r="B879" s="20"/>
      <c r="C879" s="20"/>
    </row>
    <row r="880">
      <c r="A880" s="20"/>
      <c r="B880" s="20"/>
      <c r="C880" s="20"/>
    </row>
    <row r="881">
      <c r="A881" s="20"/>
      <c r="B881" s="20"/>
      <c r="C881" s="20"/>
    </row>
    <row r="882">
      <c r="A882" s="20"/>
      <c r="B882" s="20"/>
      <c r="C882" s="20"/>
    </row>
    <row r="883">
      <c r="A883" s="20"/>
      <c r="B883" s="20"/>
      <c r="C883" s="20"/>
    </row>
    <row r="884">
      <c r="A884" s="20"/>
      <c r="B884" s="20"/>
      <c r="C884" s="20"/>
    </row>
    <row r="885">
      <c r="A885" s="20"/>
      <c r="B885" s="20"/>
      <c r="C885" s="20"/>
    </row>
    <row r="886">
      <c r="A886" s="20"/>
      <c r="B886" s="20"/>
      <c r="C886" s="20"/>
    </row>
    <row r="887">
      <c r="A887" s="20"/>
      <c r="B887" s="20"/>
      <c r="C887" s="20"/>
    </row>
    <row r="888">
      <c r="A888" s="20"/>
      <c r="B888" s="20"/>
      <c r="C888" s="20"/>
    </row>
    <row r="889">
      <c r="A889" s="20"/>
      <c r="B889" s="20"/>
      <c r="C889" s="20"/>
    </row>
    <row r="890">
      <c r="A890" s="20"/>
      <c r="B890" s="20"/>
      <c r="C890" s="20"/>
    </row>
    <row r="891">
      <c r="A891" s="20"/>
      <c r="B891" s="20"/>
      <c r="C891" s="20"/>
    </row>
    <row r="892">
      <c r="A892" s="20"/>
      <c r="B892" s="20"/>
      <c r="C892" s="20"/>
    </row>
    <row r="893">
      <c r="A893" s="20"/>
      <c r="B893" s="20"/>
      <c r="C893" s="20"/>
    </row>
    <row r="894">
      <c r="A894" s="20"/>
      <c r="B894" s="20"/>
      <c r="C894" s="20"/>
    </row>
    <row r="895">
      <c r="A895" s="20"/>
      <c r="B895" s="20"/>
      <c r="C895" s="20"/>
    </row>
    <row r="896">
      <c r="A896" s="20"/>
      <c r="B896" s="20"/>
      <c r="C896" s="20"/>
    </row>
    <row r="897">
      <c r="A897" s="20"/>
      <c r="B897" s="20"/>
      <c r="C897" s="20"/>
    </row>
    <row r="898">
      <c r="A898" s="20"/>
      <c r="B898" s="20"/>
      <c r="C898" s="20"/>
    </row>
    <row r="899">
      <c r="A899" s="20"/>
      <c r="B899" s="20"/>
      <c r="C899" s="20"/>
    </row>
    <row r="900">
      <c r="A900" s="20"/>
      <c r="B900" s="20"/>
      <c r="C900" s="20"/>
    </row>
    <row r="901">
      <c r="A901" s="20"/>
      <c r="B901" s="20"/>
      <c r="C901" s="20"/>
    </row>
    <row r="902">
      <c r="A902" s="20"/>
      <c r="B902" s="20"/>
      <c r="C902" s="20"/>
    </row>
    <row r="903">
      <c r="A903" s="20"/>
      <c r="B903" s="20"/>
      <c r="C903" s="20"/>
    </row>
    <row r="904">
      <c r="A904" s="20"/>
      <c r="B904" s="20"/>
      <c r="C904" s="20"/>
    </row>
    <row r="905">
      <c r="A905" s="20"/>
      <c r="B905" s="20"/>
      <c r="C905" s="20"/>
    </row>
    <row r="906">
      <c r="A906" s="20"/>
      <c r="B906" s="20"/>
      <c r="C906" s="20"/>
    </row>
    <row r="907">
      <c r="A907" s="20"/>
      <c r="B907" s="20"/>
      <c r="C907" s="20"/>
    </row>
    <row r="908">
      <c r="A908" s="20"/>
      <c r="B908" s="20"/>
      <c r="C908" s="20"/>
    </row>
    <row r="909">
      <c r="A909" s="20"/>
      <c r="B909" s="20"/>
      <c r="C909" s="20"/>
    </row>
    <row r="910">
      <c r="A910" s="20"/>
      <c r="B910" s="20"/>
      <c r="C910" s="20"/>
    </row>
    <row r="911">
      <c r="A911" s="20"/>
      <c r="B911" s="20"/>
      <c r="C911" s="20"/>
    </row>
    <row r="912">
      <c r="A912" s="20"/>
      <c r="B912" s="20"/>
      <c r="C912" s="20"/>
    </row>
    <row r="913">
      <c r="A913" s="20"/>
      <c r="B913" s="20"/>
      <c r="C913" s="20"/>
    </row>
    <row r="914">
      <c r="A914" s="20"/>
      <c r="B914" s="20"/>
      <c r="C914" s="20"/>
    </row>
    <row r="915">
      <c r="A915" s="20"/>
      <c r="B915" s="20"/>
      <c r="C915" s="20"/>
    </row>
    <row r="916">
      <c r="A916" s="20"/>
      <c r="B916" s="20"/>
      <c r="C916" s="20"/>
    </row>
    <row r="917">
      <c r="A917" s="20"/>
      <c r="B917" s="20"/>
      <c r="C917" s="20"/>
    </row>
    <row r="918">
      <c r="A918" s="20"/>
      <c r="B918" s="20"/>
      <c r="C918" s="20"/>
    </row>
    <row r="919">
      <c r="A919" s="20"/>
      <c r="B919" s="20"/>
      <c r="C919" s="20"/>
    </row>
    <row r="920">
      <c r="A920" s="20"/>
      <c r="B920" s="20"/>
      <c r="C920" s="20"/>
    </row>
    <row r="921">
      <c r="A921" s="20"/>
      <c r="B921" s="20"/>
      <c r="C921" s="20"/>
    </row>
    <row r="922">
      <c r="A922" s="20"/>
      <c r="B922" s="20"/>
      <c r="C922" s="20"/>
    </row>
    <row r="923">
      <c r="A923" s="20"/>
      <c r="B923" s="20"/>
      <c r="C923" s="20"/>
    </row>
    <row r="924">
      <c r="A924" s="20"/>
      <c r="B924" s="20"/>
      <c r="C924" s="20"/>
    </row>
    <row r="925">
      <c r="A925" s="20"/>
      <c r="B925" s="20"/>
      <c r="C925" s="20"/>
    </row>
    <row r="926">
      <c r="A926" s="20"/>
      <c r="B926" s="20"/>
      <c r="C926" s="20"/>
    </row>
    <row r="927">
      <c r="A927" s="20"/>
      <c r="B927" s="20"/>
      <c r="C927" s="20"/>
    </row>
    <row r="928">
      <c r="A928" s="20"/>
      <c r="B928" s="20"/>
      <c r="C928" s="20"/>
    </row>
    <row r="929">
      <c r="A929" s="20"/>
      <c r="B929" s="20"/>
      <c r="C929" s="20"/>
    </row>
    <row r="930">
      <c r="A930" s="20"/>
      <c r="B930" s="20"/>
      <c r="C930" s="20"/>
    </row>
    <row r="931">
      <c r="A931" s="20"/>
      <c r="B931" s="20"/>
      <c r="C931" s="20"/>
    </row>
    <row r="932">
      <c r="A932" s="20"/>
      <c r="B932" s="20"/>
      <c r="C932" s="20"/>
    </row>
    <row r="933">
      <c r="A933" s="20"/>
      <c r="B933" s="20"/>
      <c r="C933" s="20"/>
    </row>
    <row r="934">
      <c r="A934" s="20"/>
      <c r="B934" s="20"/>
      <c r="C934" s="20"/>
    </row>
    <row r="935">
      <c r="A935" s="20"/>
      <c r="B935" s="20"/>
      <c r="C935" s="20"/>
    </row>
    <row r="936">
      <c r="A936" s="20"/>
      <c r="B936" s="20"/>
      <c r="C936" s="20"/>
    </row>
    <row r="937">
      <c r="A937" s="20"/>
      <c r="B937" s="20"/>
      <c r="C937" s="20"/>
    </row>
    <row r="938">
      <c r="A938" s="20"/>
      <c r="B938" s="20"/>
      <c r="C938" s="20"/>
    </row>
    <row r="939">
      <c r="A939" s="20"/>
      <c r="B939" s="20"/>
      <c r="C939" s="20"/>
    </row>
    <row r="940">
      <c r="A940" s="20"/>
      <c r="B940" s="20"/>
      <c r="C940" s="20"/>
    </row>
    <row r="941">
      <c r="A941" s="20"/>
      <c r="B941" s="20"/>
      <c r="C941" s="20"/>
    </row>
    <row r="942">
      <c r="A942" s="20"/>
      <c r="B942" s="20"/>
      <c r="C942" s="20"/>
    </row>
    <row r="943">
      <c r="A943" s="20"/>
      <c r="B943" s="20"/>
      <c r="C943" s="20"/>
    </row>
    <row r="944">
      <c r="A944" s="20"/>
      <c r="B944" s="20"/>
      <c r="C944" s="20"/>
    </row>
    <row r="945">
      <c r="A945" s="20"/>
      <c r="B945" s="20"/>
      <c r="C945" s="20"/>
    </row>
    <row r="946">
      <c r="A946" s="20"/>
      <c r="B946" s="20"/>
      <c r="C946" s="20"/>
    </row>
    <row r="947">
      <c r="A947" s="20"/>
      <c r="B947" s="20"/>
      <c r="C947" s="20"/>
    </row>
    <row r="948">
      <c r="A948" s="20"/>
      <c r="B948" s="20"/>
      <c r="C948" s="20"/>
    </row>
    <row r="949">
      <c r="A949" s="20"/>
      <c r="B949" s="20"/>
      <c r="C949" s="20"/>
    </row>
    <row r="950">
      <c r="A950" s="20"/>
      <c r="B950" s="20"/>
      <c r="C950" s="20"/>
    </row>
    <row r="951">
      <c r="A951" s="20"/>
      <c r="B951" s="20"/>
      <c r="C951" s="20"/>
    </row>
    <row r="952">
      <c r="A952" s="20"/>
      <c r="B952" s="20"/>
      <c r="C952" s="20"/>
    </row>
    <row r="953">
      <c r="A953" s="20"/>
      <c r="B953" s="20"/>
      <c r="C953" s="20"/>
    </row>
    <row r="954">
      <c r="A954" s="20"/>
      <c r="B954" s="20"/>
      <c r="C954" s="20"/>
    </row>
    <row r="955">
      <c r="A955" s="20"/>
      <c r="B955" s="20"/>
      <c r="C955" s="20"/>
    </row>
    <row r="956">
      <c r="A956" s="20"/>
      <c r="B956" s="20"/>
      <c r="C956" s="20"/>
    </row>
    <row r="957">
      <c r="A957" s="20"/>
      <c r="B957" s="20"/>
      <c r="C957" s="20"/>
    </row>
    <row r="958">
      <c r="A958" s="20"/>
      <c r="B958" s="20"/>
      <c r="C958" s="20"/>
    </row>
    <row r="959">
      <c r="A959" s="20"/>
      <c r="B959" s="20"/>
      <c r="C959" s="20"/>
    </row>
    <row r="960">
      <c r="A960" s="20"/>
      <c r="B960" s="20"/>
      <c r="C960" s="20"/>
    </row>
    <row r="961">
      <c r="A961" s="20"/>
      <c r="B961" s="20"/>
      <c r="C961" s="20"/>
    </row>
    <row r="962">
      <c r="A962" s="20"/>
      <c r="B962" s="20"/>
      <c r="C962" s="20"/>
    </row>
    <row r="963">
      <c r="A963" s="20"/>
      <c r="B963" s="20"/>
      <c r="C963" s="20"/>
    </row>
    <row r="964">
      <c r="A964" s="20"/>
      <c r="B964" s="20"/>
      <c r="C964" s="20"/>
    </row>
    <row r="965">
      <c r="A965" s="20"/>
      <c r="B965" s="20"/>
      <c r="C965" s="20"/>
    </row>
    <row r="966">
      <c r="A966" s="20"/>
      <c r="B966" s="20"/>
      <c r="C966" s="20"/>
    </row>
    <row r="967">
      <c r="A967" s="20"/>
      <c r="B967" s="20"/>
      <c r="C967" s="20"/>
    </row>
    <row r="968">
      <c r="A968" s="20"/>
      <c r="B968" s="20"/>
      <c r="C968" s="20"/>
    </row>
    <row r="969">
      <c r="A969" s="20"/>
      <c r="B969" s="20"/>
      <c r="C969" s="20"/>
    </row>
    <row r="970">
      <c r="A970" s="20"/>
      <c r="B970" s="20"/>
      <c r="C970" s="20"/>
    </row>
    <row r="971">
      <c r="A971" s="20"/>
      <c r="B971" s="20"/>
      <c r="C971" s="20"/>
    </row>
    <row r="972">
      <c r="A972" s="20"/>
      <c r="B972" s="20"/>
      <c r="C972" s="20"/>
    </row>
    <row r="973">
      <c r="A973" s="20"/>
      <c r="B973" s="20"/>
      <c r="C973" s="20"/>
    </row>
    <row r="974">
      <c r="A974" s="20"/>
      <c r="B974" s="20"/>
      <c r="C974" s="20"/>
    </row>
    <row r="975">
      <c r="A975" s="20"/>
      <c r="B975" s="20"/>
      <c r="C975" s="20"/>
    </row>
    <row r="976">
      <c r="A976" s="20"/>
      <c r="B976" s="20"/>
      <c r="C976" s="20"/>
    </row>
    <row r="977">
      <c r="A977" s="20"/>
      <c r="B977" s="20"/>
      <c r="C977" s="20"/>
    </row>
    <row r="978">
      <c r="A978" s="20"/>
      <c r="B978" s="20"/>
      <c r="C978" s="20"/>
    </row>
    <row r="979">
      <c r="A979" s="20"/>
      <c r="B979" s="20"/>
      <c r="C979" s="20"/>
    </row>
    <row r="980">
      <c r="A980" s="20"/>
      <c r="B980" s="20"/>
      <c r="C980" s="20"/>
    </row>
    <row r="981">
      <c r="A981" s="20"/>
      <c r="B981" s="20"/>
      <c r="C981" s="20"/>
    </row>
    <row r="982">
      <c r="A982" s="20"/>
      <c r="B982" s="20"/>
      <c r="C982" s="20"/>
    </row>
    <row r="983">
      <c r="A983" s="20"/>
      <c r="B983" s="20"/>
      <c r="C983" s="20"/>
    </row>
    <row r="984">
      <c r="A984" s="20"/>
      <c r="B984" s="20"/>
      <c r="C984" s="20"/>
    </row>
    <row r="985">
      <c r="A985" s="20"/>
      <c r="B985" s="20"/>
      <c r="C985" s="20"/>
    </row>
    <row r="986">
      <c r="A986" s="20"/>
      <c r="B986" s="20"/>
      <c r="C986" s="20"/>
    </row>
    <row r="987">
      <c r="A987" s="20"/>
      <c r="B987" s="20"/>
      <c r="C987" s="20"/>
    </row>
    <row r="988">
      <c r="A988" s="20"/>
      <c r="B988" s="20"/>
      <c r="C988" s="20"/>
    </row>
    <row r="989">
      <c r="A989" s="20"/>
      <c r="B989" s="20"/>
      <c r="C989" s="20"/>
    </row>
    <row r="990">
      <c r="A990" s="20"/>
      <c r="B990" s="20"/>
      <c r="C990" s="20"/>
    </row>
    <row r="991">
      <c r="A991" s="20"/>
      <c r="B991" s="20"/>
      <c r="C991" s="20"/>
    </row>
    <row r="992">
      <c r="A992" s="20"/>
      <c r="B992" s="20"/>
      <c r="C992" s="20"/>
    </row>
    <row r="993">
      <c r="A993" s="20"/>
      <c r="B993" s="20"/>
      <c r="C993" s="20"/>
    </row>
    <row r="994">
      <c r="A994" s="20"/>
      <c r="B994" s="20"/>
      <c r="C994" s="20"/>
    </row>
    <row r="995">
      <c r="A995" s="20"/>
      <c r="B995" s="20"/>
      <c r="C995" s="20"/>
    </row>
    <row r="996">
      <c r="A996" s="20"/>
      <c r="B996" s="20"/>
      <c r="C996" s="20"/>
    </row>
    <row r="997">
      <c r="A997" s="20"/>
      <c r="B997" s="20"/>
      <c r="C997" s="20"/>
    </row>
    <row r="998">
      <c r="A998" s="20"/>
      <c r="B998" s="20"/>
      <c r="C998" s="20"/>
    </row>
    <row r="999">
      <c r="A999" s="20"/>
      <c r="B999" s="20"/>
      <c r="C999" s="20"/>
    </row>
    <row r="1000">
      <c r="A1000" s="20"/>
      <c r="B1000" s="20"/>
      <c r="C1000" s="20"/>
    </row>
  </sheetData>
  <autoFilter ref="$A$1:$C$10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68" t="s">
        <v>584</v>
      </c>
    </row>
    <row r="2">
      <c r="A2" s="69" t="s">
        <v>19</v>
      </c>
    </row>
    <row r="3">
      <c r="A3" s="69" t="s">
        <v>107</v>
      </c>
    </row>
    <row r="4">
      <c r="A4" s="70" t="s">
        <v>113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54" t="s">
        <v>500</v>
      </c>
    </row>
    <row r="2">
      <c r="A2" s="71" t="s">
        <v>501</v>
      </c>
    </row>
    <row r="3">
      <c r="A3" s="71" t="s">
        <v>58</v>
      </c>
    </row>
    <row r="4">
      <c r="A4" s="72" t="s">
        <v>559</v>
      </c>
    </row>
    <row r="5">
      <c r="A5" s="73" t="s">
        <v>585</v>
      </c>
    </row>
    <row r="6">
      <c r="A6" s="71"/>
    </row>
    <row r="7">
      <c r="A7" s="71"/>
    </row>
    <row r="8">
      <c r="A8" s="7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57" t="s">
        <v>6</v>
      </c>
    </row>
    <row r="2">
      <c r="A2" s="69" t="s">
        <v>191</v>
      </c>
    </row>
    <row r="3">
      <c r="A3" s="57" t="s">
        <v>17</v>
      </c>
    </row>
    <row r="4">
      <c r="A4" s="69" t="s">
        <v>101</v>
      </c>
    </row>
    <row r="5">
      <c r="A5" s="69" t="s">
        <v>106</v>
      </c>
    </row>
    <row r="6">
      <c r="A6" s="69" t="s">
        <v>58</v>
      </c>
    </row>
    <row r="7">
      <c r="A7" s="69" t="s">
        <v>112</v>
      </c>
    </row>
    <row r="8">
      <c r="A8" s="69" t="s">
        <v>189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">
        <v>201</v>
      </c>
    </row>
    <row r="2">
      <c r="A2" s="74" t="s">
        <v>18</v>
      </c>
    </row>
    <row r="3">
      <c r="A3" s="74" t="s">
        <v>24</v>
      </c>
    </row>
    <row r="4">
      <c r="A4" s="74" t="s">
        <v>350</v>
      </c>
    </row>
    <row r="5">
      <c r="A5" s="74" t="s">
        <v>37</v>
      </c>
    </row>
    <row r="6">
      <c r="A6" s="74" t="s">
        <v>67</v>
      </c>
    </row>
    <row r="7">
      <c r="A7" s="74" t="s">
        <v>72</v>
      </c>
    </row>
    <row r="8">
      <c r="A8" s="74" t="s">
        <v>164</v>
      </c>
    </row>
    <row r="9">
      <c r="A9" s="69" t="s">
        <v>586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  <col customWidth="1" min="2" max="2" width="13.88"/>
    <col customWidth="1" min="3" max="3" width="24.0"/>
  </cols>
  <sheetData>
    <row r="1">
      <c r="A1" s="75" t="s">
        <v>587</v>
      </c>
      <c r="B1" s="76" t="s">
        <v>588</v>
      </c>
      <c r="C1" s="76" t="s">
        <v>584</v>
      </c>
    </row>
    <row r="2">
      <c r="A2" s="77" t="str">
        <f>IFERROR(__xludf.DUMMYFUNCTION("FILTER(LOCKERES!$A:$A,LOCKERES!$D:$D=""LOCKERT DISPONIBLE"")"),"DES")</f>
        <v>DES</v>
      </c>
      <c r="B2" s="22" t="str">
        <f>IFERROR(__xludf.DUMMYFUNCTION("FILTER(LOCKERES!$B:$B,LOCKERES!$D:$D=""LOCKERT DISPONIBLE"")"),"DES-04")</f>
        <v>DES-04</v>
      </c>
      <c r="C2" s="78" t="str">
        <f>IFERROR(__xludf.DUMMYFUNCTION("FILTER(LOCKERES!$C:$C,LOCKERES!$D:$D=""LOCKERT DISPONIBLE"")"),"VESTIDOR HOMBRES")</f>
        <v>VESTIDOR HOMBRES</v>
      </c>
    </row>
    <row r="3">
      <c r="A3" s="77" t="str">
        <f>IFERROR(__xludf.DUMMYFUNCTION("""COMPUTED_VALUE"""),"DES")</f>
        <v>DES</v>
      </c>
      <c r="B3" s="22" t="str">
        <f>IFERROR(__xludf.DUMMYFUNCTION("""COMPUTED_VALUE"""),"DES-08")</f>
        <v>DES-08</v>
      </c>
      <c r="C3" s="78" t="str">
        <f>IFERROR(__xludf.DUMMYFUNCTION("""COMPUTED_VALUE"""),"VESTIDOR HOMBRES")</f>
        <v>VESTIDOR HOMBRES</v>
      </c>
    </row>
    <row r="4">
      <c r="A4" s="77" t="str">
        <f>IFERROR(__xludf.DUMMYFUNCTION("""COMPUTED_VALUE"""),"DES")</f>
        <v>DES</v>
      </c>
      <c r="B4" s="22" t="str">
        <f>IFERROR(__xludf.DUMMYFUNCTION("""COMPUTED_VALUE"""),"DES-09")</f>
        <v>DES-09</v>
      </c>
      <c r="C4" s="78" t="str">
        <f>IFERROR(__xludf.DUMMYFUNCTION("""COMPUTED_VALUE"""),"VESTIDOR HOMBRES")</f>
        <v>VESTIDOR HOMBRES</v>
      </c>
    </row>
    <row r="5">
      <c r="A5" s="77" t="str">
        <f>IFERROR(__xludf.DUMMYFUNCTION("""COMPUTED_VALUE"""),"DES")</f>
        <v>DES</v>
      </c>
      <c r="B5" s="22" t="str">
        <f>IFERROR(__xludf.DUMMYFUNCTION("""COMPUTED_VALUE"""),"DES-10")</f>
        <v>DES-10</v>
      </c>
      <c r="C5" s="78" t="str">
        <f>IFERROR(__xludf.DUMMYFUNCTION("""COMPUTED_VALUE"""),"VESTIDOR HOMBRES")</f>
        <v>VESTIDOR HOMBRES</v>
      </c>
    </row>
    <row r="6">
      <c r="A6" s="77" t="str">
        <f>IFERROR(__xludf.DUMMYFUNCTION("""COMPUTED_VALUE"""),"DES")</f>
        <v>DES</v>
      </c>
      <c r="B6" s="22" t="str">
        <f>IFERROR(__xludf.DUMMYFUNCTION("""COMPUTED_VALUE"""),"DES-15")</f>
        <v>DES-15</v>
      </c>
      <c r="C6" s="78" t="str">
        <f>IFERROR(__xludf.DUMMYFUNCTION("""COMPUTED_VALUE"""),"VESTIDOR HOMBRES")</f>
        <v>VESTIDOR HOMBRES</v>
      </c>
    </row>
    <row r="7">
      <c r="A7" s="77" t="str">
        <f>IFERROR(__xludf.DUMMYFUNCTION("""COMPUTED_VALUE"""),"DES")</f>
        <v>DES</v>
      </c>
      <c r="B7" s="22" t="str">
        <f>IFERROR(__xludf.DUMMYFUNCTION("""COMPUTED_VALUE"""),"DES-16")</f>
        <v>DES-16</v>
      </c>
      <c r="C7" s="78" t="str">
        <f>IFERROR(__xludf.DUMMYFUNCTION("""COMPUTED_VALUE"""),"VESTIDOR HOMBRES")</f>
        <v>VESTIDOR HOMBRES</v>
      </c>
    </row>
    <row r="8">
      <c r="A8" s="77" t="str">
        <f>IFERROR(__xludf.DUMMYFUNCTION("""COMPUTED_VALUE"""),"DES")</f>
        <v>DES</v>
      </c>
      <c r="B8" s="22" t="str">
        <f>IFERROR(__xludf.DUMMYFUNCTION("""COMPUTED_VALUE"""),"DES-19")</f>
        <v>DES-19</v>
      </c>
      <c r="C8" s="78" t="str">
        <f>IFERROR(__xludf.DUMMYFUNCTION("""COMPUTED_VALUE"""),"VESTIDOR HOMBRES")</f>
        <v>VESTIDOR HOMBRES</v>
      </c>
    </row>
    <row r="9">
      <c r="A9" s="77" t="str">
        <f>IFERROR(__xludf.DUMMYFUNCTION("""COMPUTED_VALUE"""),"DES")</f>
        <v>DES</v>
      </c>
      <c r="B9" s="22" t="str">
        <f>IFERROR(__xludf.DUMMYFUNCTION("""COMPUTED_VALUE"""),"DES-20")</f>
        <v>DES-20</v>
      </c>
      <c r="C9" s="78" t="str">
        <f>IFERROR(__xludf.DUMMYFUNCTION("""COMPUTED_VALUE"""),"VESTIDOR HOMBRES")</f>
        <v>VESTIDOR HOMBRES</v>
      </c>
    </row>
    <row r="10">
      <c r="A10" s="77" t="str">
        <f>IFERROR(__xludf.DUMMYFUNCTION("""COMPUTED_VALUE"""),"DES")</f>
        <v>DES</v>
      </c>
      <c r="B10" s="22" t="str">
        <f>IFERROR(__xludf.DUMMYFUNCTION("""COMPUTED_VALUE"""),"DES-21")</f>
        <v>DES-21</v>
      </c>
      <c r="C10" s="78" t="str">
        <f>IFERROR(__xludf.DUMMYFUNCTION("""COMPUTED_VALUE"""),"VESTIDOR HOMBRES")</f>
        <v>VESTIDOR HOMBRES</v>
      </c>
    </row>
    <row r="11">
      <c r="A11" s="77" t="str">
        <f>IFERROR(__xludf.DUMMYFUNCTION("""COMPUTED_VALUE"""),"DES")</f>
        <v>DES</v>
      </c>
      <c r="B11" s="22" t="str">
        <f>IFERROR(__xludf.DUMMYFUNCTION("""COMPUTED_VALUE"""),"DES-24")</f>
        <v>DES-24</v>
      </c>
      <c r="C11" s="78" t="str">
        <f>IFERROR(__xludf.DUMMYFUNCTION("""COMPUTED_VALUE"""),"VESTIDOR HOMBRES")</f>
        <v>VESTIDOR HOMBRES</v>
      </c>
    </row>
    <row r="12">
      <c r="A12" s="77" t="str">
        <f>IFERROR(__xludf.DUMMYFUNCTION("""COMPUTED_VALUE"""),"DES")</f>
        <v>DES</v>
      </c>
      <c r="B12" s="22" t="str">
        <f>IFERROR(__xludf.DUMMYFUNCTION("""COMPUTED_VALUE"""),"DES-26")</f>
        <v>DES-26</v>
      </c>
      <c r="C12" s="78" t="str">
        <f>IFERROR(__xludf.DUMMYFUNCTION("""COMPUTED_VALUE"""),"VESTIDOR HOMBRES")</f>
        <v>VESTIDOR HOMBRES</v>
      </c>
    </row>
    <row r="13">
      <c r="A13" s="77" t="str">
        <f>IFERROR(__xludf.DUMMYFUNCTION("""COMPUTED_VALUE"""),"DES")</f>
        <v>DES</v>
      </c>
      <c r="B13" s="22" t="str">
        <f>IFERROR(__xludf.DUMMYFUNCTION("""COMPUTED_VALUE"""),"DES-27")</f>
        <v>DES-27</v>
      </c>
      <c r="C13" s="78" t="str">
        <f>IFERROR(__xludf.DUMMYFUNCTION("""COMPUTED_VALUE"""),"VESTIDOR HOMBRES")</f>
        <v>VESTIDOR HOMBRES</v>
      </c>
    </row>
    <row r="14">
      <c r="A14" s="77" t="str">
        <f>IFERROR(__xludf.DUMMYFUNCTION("""COMPUTED_VALUE"""),"DES")</f>
        <v>DES</v>
      </c>
      <c r="B14" s="22" t="str">
        <f>IFERROR(__xludf.DUMMYFUNCTION("""COMPUTED_VALUE"""),"DES-30")</f>
        <v>DES-30</v>
      </c>
      <c r="C14" s="78" t="str">
        <f>IFERROR(__xludf.DUMMYFUNCTION("""COMPUTED_VALUE"""),"VESTIDOR HOMBRES")</f>
        <v>VESTIDOR HOMBRES</v>
      </c>
    </row>
    <row r="15">
      <c r="A15" s="77" t="str">
        <f>IFERROR(__xludf.DUMMYFUNCTION("""COMPUTED_VALUE"""),"DES")</f>
        <v>DES</v>
      </c>
      <c r="B15" s="22" t="str">
        <f>IFERROR(__xludf.DUMMYFUNCTION("""COMPUTED_VALUE"""),"DES-32")</f>
        <v>DES-32</v>
      </c>
      <c r="C15" s="78" t="str">
        <f>IFERROR(__xludf.DUMMYFUNCTION("""COMPUTED_VALUE"""),"VESTIDOR HOMBRES")</f>
        <v>VESTIDOR HOMBRES</v>
      </c>
    </row>
    <row r="16">
      <c r="A16" s="77" t="str">
        <f>IFERROR(__xludf.DUMMYFUNCTION("""COMPUTED_VALUE"""),"LOG")</f>
        <v>LOG</v>
      </c>
      <c r="B16" s="22" t="str">
        <f>IFERROR(__xludf.DUMMYFUNCTION("""COMPUTED_VALUE"""),"LOG-01")</f>
        <v>LOG-01</v>
      </c>
      <c r="C16" s="74" t="str">
        <f>IFERROR(__xludf.DUMMYFUNCTION("""COMPUTED_VALUE"""),"VESTIDOR HOMBRES")</f>
        <v>VESTIDOR HOMBRES</v>
      </c>
    </row>
    <row r="17">
      <c r="A17" s="77" t="str">
        <f>IFERROR(__xludf.DUMMYFUNCTION("""COMPUTED_VALUE"""),"LOG")</f>
        <v>LOG</v>
      </c>
      <c r="B17" s="22" t="str">
        <f>IFERROR(__xludf.DUMMYFUNCTION("""COMPUTED_VALUE"""),"LOG-04")</f>
        <v>LOG-04</v>
      </c>
      <c r="C17" s="74" t="str">
        <f>IFERROR(__xludf.DUMMYFUNCTION("""COMPUTED_VALUE"""),"VESTIDOR HOMBRES")</f>
        <v>VESTIDOR HOMBRES</v>
      </c>
    </row>
    <row r="18">
      <c r="A18" s="77" t="str">
        <f>IFERROR(__xludf.DUMMYFUNCTION("""COMPUTED_VALUE"""),"LOG")</f>
        <v>LOG</v>
      </c>
      <c r="B18" s="22" t="str">
        <f>IFERROR(__xludf.DUMMYFUNCTION("""COMPUTED_VALUE"""),"LOG-05")</f>
        <v>LOG-05</v>
      </c>
      <c r="C18" s="74" t="str">
        <f>IFERROR(__xludf.DUMMYFUNCTION("""COMPUTED_VALUE"""),"VESTIDOR HOMBRES")</f>
        <v>VESTIDOR HOMBRES</v>
      </c>
    </row>
    <row r="19">
      <c r="A19" s="77" t="str">
        <f>IFERROR(__xludf.DUMMYFUNCTION("""COMPUTED_VALUE"""),"LOG")</f>
        <v>LOG</v>
      </c>
      <c r="B19" s="22" t="str">
        <f>IFERROR(__xludf.DUMMYFUNCTION("""COMPUTED_VALUE"""),"LOG-06")</f>
        <v>LOG-06</v>
      </c>
      <c r="C19" s="74" t="str">
        <f>IFERROR(__xludf.DUMMYFUNCTION("""COMPUTED_VALUE"""),"VESTIDOR HOMBRES")</f>
        <v>VESTIDOR HOMBRES</v>
      </c>
    </row>
    <row r="20">
      <c r="A20" s="77" t="str">
        <f>IFERROR(__xludf.DUMMYFUNCTION("""COMPUTED_VALUE"""),"LOG")</f>
        <v>LOG</v>
      </c>
      <c r="B20" s="22" t="str">
        <f>IFERROR(__xludf.DUMMYFUNCTION("""COMPUTED_VALUE"""),"LOG-07")</f>
        <v>LOG-07</v>
      </c>
      <c r="C20" s="74" t="str">
        <f>IFERROR(__xludf.DUMMYFUNCTION("""COMPUTED_VALUE"""),"VESTIDOR HOMBRES")</f>
        <v>VESTIDOR HOMBRES</v>
      </c>
    </row>
    <row r="21">
      <c r="A21" s="77" t="str">
        <f>IFERROR(__xludf.DUMMYFUNCTION("""COMPUTED_VALUE"""),"LOG")</f>
        <v>LOG</v>
      </c>
      <c r="B21" s="22" t="str">
        <f>IFERROR(__xludf.DUMMYFUNCTION("""COMPUTED_VALUE"""),"LOG-09")</f>
        <v>LOG-09</v>
      </c>
      <c r="C21" s="74" t="str">
        <f>IFERROR(__xludf.DUMMYFUNCTION("""COMPUTED_VALUE"""),"VESTIDOR HOMBRES")</f>
        <v>VESTIDOR HOMBRES</v>
      </c>
    </row>
    <row r="22">
      <c r="A22" s="77" t="str">
        <f>IFERROR(__xludf.DUMMYFUNCTION("""COMPUTED_VALUE"""),"CAL")</f>
        <v>CAL</v>
      </c>
      <c r="B22" s="22" t="str">
        <f>IFERROR(__xludf.DUMMYFUNCTION("""COMPUTED_VALUE"""),"CAL-01")</f>
        <v>CAL-01</v>
      </c>
      <c r="C22" s="74" t="str">
        <f>IFERROR(__xludf.DUMMYFUNCTION("""COMPUTED_VALUE"""),"VESTIDOR HOMBRES")</f>
        <v>VESTIDOR HOMBRES</v>
      </c>
    </row>
    <row r="23">
      <c r="A23" s="77" t="str">
        <f>IFERROR(__xludf.DUMMYFUNCTION("""COMPUTED_VALUE"""),"CAL")</f>
        <v>CAL</v>
      </c>
      <c r="B23" s="22" t="str">
        <f>IFERROR(__xludf.DUMMYFUNCTION("""COMPUTED_VALUE"""),"CAL-02")</f>
        <v>CAL-02</v>
      </c>
      <c r="C23" s="74" t="str">
        <f>IFERROR(__xludf.DUMMYFUNCTION("""COMPUTED_VALUE"""),"VESTIDOR HOMBRES")</f>
        <v>VESTIDOR HOMBRES</v>
      </c>
    </row>
    <row r="24">
      <c r="A24" s="77" t="str">
        <f>IFERROR(__xludf.DUMMYFUNCTION("""COMPUTED_VALUE"""),"CAL")</f>
        <v>CAL</v>
      </c>
      <c r="B24" s="22" t="str">
        <f>IFERROR(__xludf.DUMMYFUNCTION("""COMPUTED_VALUE"""),"CAL-03")</f>
        <v>CAL-03</v>
      </c>
      <c r="C24" s="74" t="str">
        <f>IFERROR(__xludf.DUMMYFUNCTION("""COMPUTED_VALUE"""),"VESTIDOR HOMBRES")</f>
        <v>VESTIDOR HOMBRES</v>
      </c>
    </row>
    <row r="25">
      <c r="A25" s="77" t="str">
        <f>IFERROR(__xludf.DUMMYFUNCTION("""COMPUTED_VALUE"""),"CAL")</f>
        <v>CAL</v>
      </c>
      <c r="B25" s="22" t="str">
        <f>IFERROR(__xludf.DUMMYFUNCTION("""COMPUTED_VALUE"""),"CAL-04")</f>
        <v>CAL-04</v>
      </c>
      <c r="C25" s="74" t="str">
        <f>IFERROR(__xludf.DUMMYFUNCTION("""COMPUTED_VALUE"""),"VESTIDOR HOMBRES")</f>
        <v>VESTIDOR HOMBRES</v>
      </c>
    </row>
    <row r="26">
      <c r="A26" s="77" t="str">
        <f>IFERROR(__xludf.DUMMYFUNCTION("""COMPUTED_VALUE"""),"TIC")</f>
        <v>TIC</v>
      </c>
      <c r="B26" s="22" t="str">
        <f>IFERROR(__xludf.DUMMYFUNCTION("""COMPUTED_VALUE"""),"TIC-01")</f>
        <v>TIC-01</v>
      </c>
      <c r="C26" s="74" t="str">
        <f>IFERROR(__xludf.DUMMYFUNCTION("""COMPUTED_VALUE"""),"VESTIDOR HOMBRES")</f>
        <v>VESTIDOR HOMBRES</v>
      </c>
    </row>
    <row r="27">
      <c r="A27" s="77" t="str">
        <f>IFERROR(__xludf.DUMMYFUNCTION("""COMPUTED_VALUE"""),"SST")</f>
        <v>SST</v>
      </c>
      <c r="B27" s="22" t="str">
        <f>IFERROR(__xludf.DUMMYFUNCTION("""COMPUTED_VALUE"""),"SST-01")</f>
        <v>SST-01</v>
      </c>
      <c r="C27" s="74" t="str">
        <f>IFERROR(__xludf.DUMMYFUNCTION("""COMPUTED_VALUE"""),"VESTIDOR HOMBRES")</f>
        <v>VESTIDOR HOMBRES</v>
      </c>
    </row>
    <row r="28">
      <c r="A28" s="77" t="str">
        <f>IFERROR(__xludf.DUMMYFUNCTION("""COMPUTED_VALUE"""),"LYD")</f>
        <v>LYD</v>
      </c>
      <c r="B28" s="22" t="str">
        <f>IFERROR(__xludf.DUMMYFUNCTION("""COMPUTED_VALUE"""),"LYD-01")</f>
        <v>LYD-01</v>
      </c>
      <c r="C28" s="74" t="str">
        <f>IFERROR(__xludf.DUMMYFUNCTION("""COMPUTED_VALUE"""),"VESTIDOR HOMBRES")</f>
        <v>VESTIDOR HOMBRES</v>
      </c>
    </row>
    <row r="29">
      <c r="A29" s="77" t="str">
        <f>IFERROR(__xludf.DUMMYFUNCTION("""COMPUTED_VALUE"""),"LYD")</f>
        <v>LYD</v>
      </c>
      <c r="B29" s="22" t="str">
        <f>IFERROR(__xludf.DUMMYFUNCTION("""COMPUTED_VALUE"""),"LYD-02")</f>
        <v>LYD-02</v>
      </c>
      <c r="C29" s="74" t="str">
        <f>IFERROR(__xludf.DUMMYFUNCTION("""COMPUTED_VALUE"""),"VESTIDOR HOMBRES")</f>
        <v>VESTIDOR HOMBRES</v>
      </c>
    </row>
    <row r="30">
      <c r="A30" s="77" t="str">
        <f>IFERROR(__xludf.DUMMYFUNCTION("""COMPUTED_VALUE"""),"EXT")</f>
        <v>EXT</v>
      </c>
      <c r="B30" s="22" t="str">
        <f>IFERROR(__xludf.DUMMYFUNCTION("""COMPUTED_VALUE"""),"EXT-01")</f>
        <v>EXT-01</v>
      </c>
      <c r="C30" s="74" t="str">
        <f>IFERROR(__xludf.DUMMYFUNCTION("""COMPUTED_VALUE"""),"VESTIDOR HOMBRES")</f>
        <v>VESTIDOR HOMBRES</v>
      </c>
    </row>
    <row r="31">
      <c r="A31" s="77" t="str">
        <f>IFERROR(__xludf.DUMMYFUNCTION("""COMPUTED_VALUE"""),"DES")</f>
        <v>DES</v>
      </c>
      <c r="B31" s="22" t="str">
        <f>IFERROR(__xludf.DUMMYFUNCTION("""COMPUTED_VALUE"""),"DES-43")</f>
        <v>DES-43</v>
      </c>
      <c r="C31" s="74" t="str">
        <f>IFERROR(__xludf.DUMMYFUNCTION("""COMPUTED_VALUE"""),"VESTIDOR MUJERES")</f>
        <v>VESTIDOR MUJERES</v>
      </c>
    </row>
    <row r="32">
      <c r="A32" s="77" t="str">
        <f>IFERROR(__xludf.DUMMYFUNCTION("""COMPUTED_VALUE"""),"DES")</f>
        <v>DES</v>
      </c>
      <c r="B32" s="22" t="str">
        <f>IFERROR(__xludf.DUMMYFUNCTION("""COMPUTED_VALUE"""),"DES-2")</f>
        <v>DES-2</v>
      </c>
      <c r="C32" s="74" t="str">
        <f>IFERROR(__xludf.DUMMYFUNCTION("""COMPUTED_VALUE"""),"VESTIDOR MUJERES")</f>
        <v>VESTIDOR MUJERES</v>
      </c>
    </row>
    <row r="33">
      <c r="A33" s="77" t="str">
        <f>IFERROR(__xludf.DUMMYFUNCTION("""COMPUTED_VALUE"""),"CAL")</f>
        <v>CAL</v>
      </c>
      <c r="B33" s="22" t="str">
        <f>IFERROR(__xludf.DUMMYFUNCTION("""COMPUTED_VALUE"""),"CAL-01")</f>
        <v>CAL-01</v>
      </c>
      <c r="C33" s="74" t="str">
        <f>IFERROR(__xludf.DUMMYFUNCTION("""COMPUTED_VALUE"""),"ADMINISTRACION")</f>
        <v>ADMINISTRACION</v>
      </c>
    </row>
    <row r="34">
      <c r="A34" s="77" t="str">
        <f>IFERROR(__xludf.DUMMYFUNCTION("""COMPUTED_VALUE"""),"CAL")</f>
        <v>CAL</v>
      </c>
      <c r="B34" s="22" t="str">
        <f>IFERROR(__xludf.DUMMYFUNCTION("""COMPUTED_VALUE"""),"CAL-02")</f>
        <v>CAL-02</v>
      </c>
      <c r="C34" s="74" t="str">
        <f>IFERROR(__xludf.DUMMYFUNCTION("""COMPUTED_VALUE"""),"ADMINISTRACION")</f>
        <v>ADMINISTRACION</v>
      </c>
    </row>
    <row r="35">
      <c r="A35" s="77" t="str">
        <f>IFERROR(__xludf.DUMMYFUNCTION("""COMPUTED_VALUE"""),"CAL")</f>
        <v>CAL</v>
      </c>
      <c r="B35" s="22" t="str">
        <f>IFERROR(__xludf.DUMMYFUNCTION("""COMPUTED_VALUE"""),"CAL-03")</f>
        <v>CAL-03</v>
      </c>
      <c r="C35" s="74" t="str">
        <f>IFERROR(__xludf.DUMMYFUNCTION("""COMPUTED_VALUE"""),"ADMINISTRACION")</f>
        <v>ADMINISTRACION</v>
      </c>
    </row>
    <row r="36">
      <c r="A36" s="77" t="str">
        <f>IFERROR(__xludf.DUMMYFUNCTION("""COMPUTED_VALUE"""),"CAL")</f>
        <v>CAL</v>
      </c>
      <c r="B36" s="22" t="str">
        <f>IFERROR(__xludf.DUMMYFUNCTION("""COMPUTED_VALUE"""),"CAL-04")</f>
        <v>CAL-04</v>
      </c>
      <c r="C36" s="74" t="str">
        <f>IFERROR(__xludf.DUMMYFUNCTION("""COMPUTED_VALUE"""),"ADMINISTRACION")</f>
        <v>ADMINISTRACION</v>
      </c>
    </row>
    <row r="37">
      <c r="A37" s="77" t="str">
        <f>IFERROR(__xludf.DUMMYFUNCTION("""COMPUTED_VALUE"""),"CAL")</f>
        <v>CAL</v>
      </c>
      <c r="B37" s="22" t="str">
        <f>IFERROR(__xludf.DUMMYFUNCTION("""COMPUTED_VALUE"""),"CAL-05")</f>
        <v>CAL-05</v>
      </c>
      <c r="C37" s="74" t="str">
        <f>IFERROR(__xludf.DUMMYFUNCTION("""COMPUTED_VALUE"""),"ADMINISTRACION")</f>
        <v>ADMINISTRACION</v>
      </c>
    </row>
    <row r="38">
      <c r="A38" s="77"/>
      <c r="B38" s="22"/>
    </row>
    <row r="39">
      <c r="A39" s="77"/>
      <c r="B39" s="22"/>
    </row>
    <row r="40">
      <c r="A40" s="77"/>
      <c r="B40" s="22"/>
    </row>
    <row r="41">
      <c r="A41" s="77"/>
      <c r="B41" s="22"/>
    </row>
    <row r="42">
      <c r="A42" s="77"/>
      <c r="B42" s="22"/>
    </row>
    <row r="43">
      <c r="A43" s="77"/>
      <c r="B43" s="22"/>
    </row>
    <row r="44">
      <c r="A44" s="77"/>
      <c r="B44" s="22"/>
    </row>
    <row r="45">
      <c r="A45" s="77"/>
      <c r="B45" s="22"/>
    </row>
    <row r="46">
      <c r="A46" s="77"/>
      <c r="B46" s="22"/>
    </row>
    <row r="47">
      <c r="A47" s="77"/>
      <c r="B47" s="22"/>
    </row>
    <row r="48">
      <c r="A48" s="77"/>
      <c r="B48" s="22"/>
    </row>
    <row r="49">
      <c r="A49" s="77"/>
      <c r="B49" s="22"/>
    </row>
    <row r="50">
      <c r="A50" s="77"/>
      <c r="B50" s="22"/>
    </row>
    <row r="51">
      <c r="A51" s="77"/>
      <c r="B51" s="22"/>
    </row>
    <row r="52">
      <c r="A52" s="77"/>
      <c r="B52" s="22"/>
    </row>
    <row r="53">
      <c r="A53" s="77"/>
      <c r="B53" s="22"/>
    </row>
    <row r="54">
      <c r="A54" s="77"/>
      <c r="B54" s="22"/>
    </row>
    <row r="55">
      <c r="A55" s="77"/>
      <c r="B55" s="22"/>
    </row>
    <row r="56">
      <c r="A56" s="77"/>
      <c r="B56" s="22"/>
    </row>
    <row r="57">
      <c r="A57" s="77"/>
      <c r="B57" s="22"/>
    </row>
    <row r="58">
      <c r="A58" s="77"/>
      <c r="B58" s="22"/>
    </row>
    <row r="59">
      <c r="A59" s="77"/>
      <c r="B59" s="22"/>
    </row>
    <row r="60">
      <c r="A60" s="77"/>
      <c r="B60" s="22"/>
    </row>
    <row r="61">
      <c r="A61" s="77"/>
      <c r="B61" s="22"/>
    </row>
    <row r="62">
      <c r="A62" s="77"/>
      <c r="B62" s="22"/>
    </row>
    <row r="63">
      <c r="A63" s="77"/>
      <c r="B63" s="22"/>
    </row>
    <row r="64">
      <c r="A64" s="20"/>
      <c r="B64" s="22"/>
    </row>
    <row r="65">
      <c r="A65" s="20"/>
      <c r="B65" s="22"/>
    </row>
    <row r="66">
      <c r="A66" s="20"/>
      <c r="B66" s="22"/>
    </row>
    <row r="67">
      <c r="A67" s="20"/>
      <c r="B67" s="22"/>
    </row>
    <row r="68">
      <c r="A68" s="20"/>
      <c r="B68" s="22"/>
    </row>
    <row r="69">
      <c r="A69" s="20"/>
      <c r="B69" s="22"/>
    </row>
    <row r="70">
      <c r="A70" s="20"/>
      <c r="B70" s="22"/>
    </row>
    <row r="71">
      <c r="A71" s="20"/>
      <c r="B71" s="22"/>
    </row>
    <row r="72">
      <c r="A72" s="20"/>
      <c r="B72" s="22"/>
    </row>
    <row r="73">
      <c r="A73" s="20"/>
      <c r="B73" s="22"/>
    </row>
    <row r="74">
      <c r="A74" s="20"/>
      <c r="B74" s="22"/>
    </row>
    <row r="75">
      <c r="A75" s="20"/>
      <c r="B75" s="22"/>
    </row>
    <row r="76">
      <c r="A76" s="20"/>
      <c r="B76" s="22"/>
    </row>
    <row r="77">
      <c r="A77" s="20"/>
      <c r="B77" s="22"/>
    </row>
    <row r="78">
      <c r="A78" s="20"/>
      <c r="B78" s="22"/>
    </row>
    <row r="79">
      <c r="A79" s="20"/>
      <c r="B79" s="22"/>
    </row>
    <row r="80">
      <c r="A80" s="20"/>
      <c r="B80" s="22"/>
    </row>
    <row r="81">
      <c r="A81" s="20"/>
      <c r="B81" s="22"/>
    </row>
    <row r="82">
      <c r="A82" s="20"/>
      <c r="B82" s="22"/>
    </row>
    <row r="83">
      <c r="A83" s="20"/>
      <c r="B83" s="22"/>
    </row>
    <row r="84">
      <c r="A84" s="20"/>
      <c r="B84" s="22"/>
    </row>
    <row r="85">
      <c r="A85" s="20"/>
      <c r="B85" s="22"/>
    </row>
    <row r="86">
      <c r="A86" s="20"/>
      <c r="B86" s="22"/>
    </row>
    <row r="87">
      <c r="A87" s="20"/>
      <c r="B87" s="22"/>
    </row>
    <row r="88">
      <c r="A88" s="20"/>
      <c r="B88" s="22"/>
    </row>
    <row r="89">
      <c r="A89" s="20"/>
      <c r="B89" s="22"/>
    </row>
    <row r="90">
      <c r="A90" s="20"/>
      <c r="B90" s="22"/>
    </row>
    <row r="91">
      <c r="A91" s="20"/>
      <c r="B91" s="22"/>
    </row>
    <row r="92">
      <c r="A92" s="20"/>
      <c r="B92" s="22"/>
    </row>
    <row r="93">
      <c r="A93" s="20"/>
      <c r="B93" s="22"/>
    </row>
    <row r="94">
      <c r="A94" s="20"/>
      <c r="B94" s="22"/>
    </row>
    <row r="95">
      <c r="A95" s="20"/>
      <c r="B95" s="22"/>
    </row>
    <row r="96">
      <c r="A96" s="20"/>
      <c r="B96" s="22"/>
    </row>
    <row r="97">
      <c r="A97" s="20"/>
      <c r="B97" s="22"/>
    </row>
    <row r="98">
      <c r="A98" s="20"/>
      <c r="B98" s="22"/>
    </row>
    <row r="99">
      <c r="A99" s="20"/>
      <c r="B99" s="22"/>
    </row>
    <row r="100">
      <c r="A100" s="20"/>
      <c r="B100" s="22"/>
    </row>
    <row r="101">
      <c r="A101" s="20"/>
      <c r="B101" s="22"/>
    </row>
    <row r="102">
      <c r="A102" s="20"/>
      <c r="B102" s="22"/>
    </row>
    <row r="103">
      <c r="A103" s="20"/>
      <c r="B103" s="22"/>
    </row>
    <row r="104">
      <c r="A104" s="20"/>
      <c r="B104" s="22"/>
    </row>
    <row r="105">
      <c r="A105" s="20"/>
      <c r="B105" s="22"/>
    </row>
    <row r="106">
      <c r="A106" s="20"/>
      <c r="B106" s="22"/>
    </row>
    <row r="107">
      <c r="A107" s="20"/>
      <c r="B107" s="22"/>
    </row>
    <row r="108">
      <c r="A108" s="20"/>
      <c r="B108" s="22"/>
    </row>
    <row r="109">
      <c r="A109" s="20"/>
      <c r="B109" s="22"/>
    </row>
    <row r="110">
      <c r="A110" s="20"/>
      <c r="B110" s="22"/>
    </row>
    <row r="111">
      <c r="A111" s="20"/>
      <c r="B111" s="22"/>
    </row>
    <row r="112">
      <c r="A112" s="20"/>
      <c r="B112" s="22"/>
    </row>
    <row r="113">
      <c r="A113" s="20"/>
      <c r="B113" s="22"/>
    </row>
    <row r="114">
      <c r="A114" s="20"/>
      <c r="B114" s="22"/>
    </row>
    <row r="115">
      <c r="A115" s="20"/>
      <c r="B115" s="22"/>
    </row>
    <row r="116">
      <c r="A116" s="20"/>
      <c r="B116" s="22"/>
    </row>
    <row r="117">
      <c r="A117" s="20"/>
      <c r="B117" s="22"/>
    </row>
    <row r="118">
      <c r="A118" s="20"/>
      <c r="B118" s="22"/>
    </row>
    <row r="119">
      <c r="A119" s="20"/>
      <c r="B119" s="22"/>
    </row>
    <row r="120">
      <c r="A120" s="20"/>
      <c r="B120" s="22"/>
    </row>
    <row r="121">
      <c r="A121" s="20"/>
      <c r="B121" s="22"/>
    </row>
    <row r="122">
      <c r="A122" s="20"/>
      <c r="B122" s="22"/>
    </row>
    <row r="123">
      <c r="A123" s="20"/>
      <c r="B123" s="22"/>
    </row>
    <row r="124">
      <c r="A124" s="20"/>
      <c r="B124" s="20"/>
    </row>
    <row r="125">
      <c r="A125" s="20"/>
      <c r="B125" s="20"/>
    </row>
    <row r="126">
      <c r="A126" s="20"/>
      <c r="B126" s="20"/>
    </row>
    <row r="127">
      <c r="A127" s="20"/>
      <c r="B127" s="20"/>
    </row>
    <row r="128">
      <c r="A128" s="20"/>
      <c r="B128" s="20"/>
    </row>
    <row r="129">
      <c r="A129" s="20"/>
      <c r="B129" s="20"/>
    </row>
    <row r="130">
      <c r="A130" s="20"/>
      <c r="B130" s="20"/>
    </row>
    <row r="131">
      <c r="A131" s="20"/>
      <c r="B131" s="20"/>
    </row>
    <row r="132">
      <c r="A132" s="20"/>
      <c r="B132" s="20"/>
    </row>
    <row r="133">
      <c r="A133" s="20"/>
      <c r="B133" s="20"/>
    </row>
    <row r="134">
      <c r="A134" s="20"/>
      <c r="B134" s="20"/>
    </row>
    <row r="135">
      <c r="A135" s="20"/>
      <c r="B135" s="20"/>
    </row>
    <row r="136">
      <c r="A136" s="20"/>
      <c r="B136" s="20"/>
    </row>
    <row r="137">
      <c r="A137" s="20"/>
      <c r="B137" s="20"/>
    </row>
    <row r="138">
      <c r="A138" s="20"/>
      <c r="B138" s="20"/>
    </row>
    <row r="139">
      <c r="A139" s="20"/>
      <c r="B139" s="20"/>
    </row>
    <row r="140">
      <c r="A140" s="20"/>
      <c r="B140" s="20"/>
    </row>
    <row r="141">
      <c r="A141" s="20"/>
      <c r="B141" s="20"/>
    </row>
    <row r="142">
      <c r="A142" s="20"/>
      <c r="B142" s="20"/>
    </row>
    <row r="143">
      <c r="A143" s="20"/>
      <c r="B143" s="20"/>
    </row>
    <row r="144">
      <c r="A144" s="20"/>
      <c r="B144" s="20"/>
    </row>
    <row r="145">
      <c r="A145" s="20"/>
      <c r="B145" s="20"/>
    </row>
    <row r="146">
      <c r="A146" s="20"/>
      <c r="B146" s="20"/>
    </row>
    <row r="147">
      <c r="A147" s="20"/>
      <c r="B147" s="20"/>
    </row>
    <row r="148">
      <c r="A148" s="20"/>
      <c r="B148" s="20"/>
    </row>
    <row r="149">
      <c r="A149" s="20"/>
      <c r="B149" s="20"/>
    </row>
    <row r="150">
      <c r="A150" s="20"/>
      <c r="B150" s="20"/>
    </row>
    <row r="151">
      <c r="A151" s="20"/>
      <c r="B151" s="20"/>
    </row>
    <row r="152">
      <c r="A152" s="20"/>
      <c r="B152" s="20"/>
    </row>
    <row r="153">
      <c r="A153" s="20"/>
      <c r="B153" s="20"/>
    </row>
    <row r="154">
      <c r="A154" s="20"/>
      <c r="B154" s="20"/>
    </row>
    <row r="155">
      <c r="A155" s="20"/>
      <c r="B155" s="20"/>
    </row>
    <row r="156">
      <c r="A156" s="20"/>
      <c r="B156" s="20"/>
    </row>
    <row r="157">
      <c r="A157" s="20"/>
      <c r="B157" s="20"/>
    </row>
    <row r="158">
      <c r="A158" s="20"/>
      <c r="B158" s="20"/>
    </row>
    <row r="159">
      <c r="A159" s="20"/>
      <c r="B159" s="20"/>
    </row>
    <row r="160">
      <c r="A160" s="20"/>
      <c r="B160" s="20"/>
    </row>
    <row r="161">
      <c r="A161" s="20"/>
      <c r="B161" s="20"/>
    </row>
    <row r="162">
      <c r="A162" s="20"/>
      <c r="B162" s="20"/>
    </row>
    <row r="163">
      <c r="A163" s="20"/>
      <c r="B163" s="20"/>
    </row>
    <row r="164">
      <c r="A164" s="20"/>
      <c r="B164" s="20"/>
    </row>
    <row r="165">
      <c r="A165" s="20"/>
      <c r="B165" s="20"/>
    </row>
    <row r="166">
      <c r="A166" s="20"/>
      <c r="B166" s="20"/>
    </row>
    <row r="167">
      <c r="A167" s="20"/>
      <c r="B167" s="20"/>
    </row>
    <row r="168">
      <c r="A168" s="20"/>
      <c r="B168" s="20"/>
    </row>
    <row r="169">
      <c r="A169" s="20"/>
      <c r="B169" s="20"/>
    </row>
    <row r="170">
      <c r="A170" s="20"/>
      <c r="B170" s="20"/>
    </row>
    <row r="171">
      <c r="A171" s="20"/>
      <c r="B171" s="20"/>
    </row>
    <row r="172">
      <c r="A172" s="20"/>
      <c r="B172" s="20"/>
    </row>
    <row r="173">
      <c r="A173" s="20"/>
      <c r="B173" s="20"/>
    </row>
    <row r="174">
      <c r="A174" s="20"/>
      <c r="B174" s="20"/>
    </row>
    <row r="175">
      <c r="A175" s="20"/>
      <c r="B175" s="20"/>
    </row>
    <row r="176">
      <c r="A176" s="20"/>
      <c r="B176" s="20"/>
    </row>
    <row r="177">
      <c r="A177" s="20"/>
      <c r="B177" s="20"/>
    </row>
    <row r="178">
      <c r="A178" s="20"/>
      <c r="B178" s="20"/>
    </row>
    <row r="179">
      <c r="A179" s="20"/>
      <c r="B179" s="20"/>
    </row>
    <row r="180">
      <c r="A180" s="20"/>
      <c r="B180" s="20"/>
    </row>
    <row r="181">
      <c r="A181" s="20"/>
      <c r="B181" s="20"/>
    </row>
    <row r="182">
      <c r="A182" s="20"/>
      <c r="B182" s="20"/>
    </row>
    <row r="183">
      <c r="A183" s="20"/>
      <c r="B183" s="20"/>
    </row>
    <row r="184">
      <c r="A184" s="20"/>
      <c r="B184" s="20"/>
    </row>
    <row r="185">
      <c r="A185" s="20"/>
      <c r="B185" s="20"/>
    </row>
    <row r="186">
      <c r="A186" s="20"/>
      <c r="B186" s="20"/>
    </row>
    <row r="187">
      <c r="A187" s="20"/>
      <c r="B187" s="20"/>
    </row>
    <row r="188">
      <c r="A188" s="20"/>
      <c r="B188" s="20"/>
    </row>
    <row r="189">
      <c r="A189" s="20"/>
      <c r="B189" s="20"/>
    </row>
    <row r="190">
      <c r="A190" s="20"/>
      <c r="B190" s="20"/>
    </row>
    <row r="191">
      <c r="A191" s="20"/>
      <c r="B191" s="20"/>
    </row>
    <row r="192">
      <c r="A192" s="20"/>
      <c r="B192" s="20"/>
    </row>
    <row r="193">
      <c r="A193" s="20"/>
      <c r="B193" s="20"/>
    </row>
    <row r="194">
      <c r="A194" s="20"/>
      <c r="B194" s="20"/>
    </row>
    <row r="195">
      <c r="A195" s="20"/>
      <c r="B195" s="20"/>
    </row>
    <row r="196">
      <c r="A196" s="20"/>
      <c r="B196" s="20"/>
    </row>
    <row r="197">
      <c r="A197" s="20"/>
      <c r="B197" s="20"/>
    </row>
    <row r="198">
      <c r="A198" s="20"/>
      <c r="B198" s="20"/>
    </row>
    <row r="199">
      <c r="A199" s="20"/>
      <c r="B199" s="20"/>
    </row>
    <row r="200">
      <c r="A200" s="20"/>
      <c r="B200" s="20"/>
    </row>
    <row r="201">
      <c r="A201" s="20"/>
      <c r="B201" s="20"/>
    </row>
    <row r="202">
      <c r="A202" s="20"/>
      <c r="B202" s="20"/>
    </row>
    <row r="203">
      <c r="A203" s="20"/>
      <c r="B203" s="20"/>
    </row>
    <row r="204">
      <c r="A204" s="20"/>
      <c r="B204" s="20"/>
    </row>
    <row r="205">
      <c r="A205" s="20"/>
      <c r="B205" s="20"/>
    </row>
    <row r="206">
      <c r="A206" s="20"/>
      <c r="B206" s="20"/>
    </row>
    <row r="207">
      <c r="A207" s="20"/>
      <c r="B207" s="20"/>
    </row>
    <row r="208">
      <c r="A208" s="20"/>
      <c r="B208" s="20"/>
    </row>
    <row r="209">
      <c r="A209" s="20"/>
      <c r="B209" s="20"/>
    </row>
    <row r="210">
      <c r="A210" s="20"/>
      <c r="B210" s="20"/>
    </row>
    <row r="211">
      <c r="A211" s="20"/>
      <c r="B211" s="20"/>
    </row>
    <row r="212">
      <c r="A212" s="20"/>
      <c r="B212" s="20"/>
    </row>
    <row r="213">
      <c r="A213" s="20"/>
      <c r="B213" s="20"/>
    </row>
    <row r="214">
      <c r="A214" s="20"/>
      <c r="B214" s="20"/>
    </row>
    <row r="215">
      <c r="A215" s="20"/>
      <c r="B215" s="20"/>
    </row>
    <row r="216">
      <c r="A216" s="20"/>
      <c r="B216" s="20"/>
    </row>
    <row r="217">
      <c r="A217" s="20"/>
      <c r="B217" s="20"/>
    </row>
    <row r="218">
      <c r="A218" s="20"/>
      <c r="B218" s="20"/>
    </row>
    <row r="219">
      <c r="A219" s="20"/>
      <c r="B219" s="20"/>
    </row>
    <row r="220">
      <c r="A220" s="20"/>
      <c r="B220" s="20"/>
    </row>
    <row r="221">
      <c r="A221" s="20"/>
      <c r="B221" s="20"/>
    </row>
    <row r="222">
      <c r="A222" s="20"/>
      <c r="B222" s="20"/>
    </row>
    <row r="223">
      <c r="A223" s="20"/>
      <c r="B223" s="20"/>
    </row>
    <row r="224">
      <c r="A224" s="20"/>
      <c r="B224" s="20"/>
    </row>
    <row r="225">
      <c r="A225" s="20"/>
      <c r="B225" s="20"/>
    </row>
    <row r="226">
      <c r="A226" s="20"/>
      <c r="B226" s="20"/>
    </row>
    <row r="227">
      <c r="A227" s="20"/>
      <c r="B227" s="20"/>
    </row>
    <row r="228">
      <c r="A228" s="20"/>
      <c r="B228" s="20"/>
    </row>
    <row r="229">
      <c r="A229" s="20"/>
      <c r="B229" s="20"/>
    </row>
    <row r="230">
      <c r="A230" s="20"/>
      <c r="B230" s="20"/>
    </row>
    <row r="231">
      <c r="A231" s="20"/>
      <c r="B231" s="20"/>
    </row>
    <row r="232">
      <c r="A232" s="20"/>
      <c r="B232" s="20"/>
    </row>
    <row r="233">
      <c r="A233" s="20"/>
      <c r="B233" s="20"/>
    </row>
    <row r="234">
      <c r="A234" s="20"/>
      <c r="B234" s="20"/>
    </row>
    <row r="235">
      <c r="A235" s="20"/>
      <c r="B235" s="20"/>
    </row>
    <row r="236">
      <c r="A236" s="20"/>
      <c r="B236" s="20"/>
    </row>
    <row r="237">
      <c r="A237" s="20"/>
      <c r="B237" s="20"/>
    </row>
    <row r="238">
      <c r="A238" s="20"/>
      <c r="B238" s="20"/>
    </row>
    <row r="239">
      <c r="A239" s="20"/>
      <c r="B239" s="20"/>
    </row>
    <row r="240">
      <c r="A240" s="20"/>
      <c r="B240" s="20"/>
    </row>
    <row r="241">
      <c r="A241" s="20"/>
      <c r="B241" s="20"/>
    </row>
    <row r="242">
      <c r="A242" s="20"/>
      <c r="B242" s="20"/>
    </row>
    <row r="243">
      <c r="A243" s="20"/>
      <c r="B243" s="20"/>
    </row>
    <row r="244">
      <c r="A244" s="20"/>
      <c r="B244" s="20"/>
    </row>
    <row r="245">
      <c r="A245" s="20"/>
      <c r="B245" s="20"/>
    </row>
    <row r="246">
      <c r="A246" s="20"/>
      <c r="B246" s="20"/>
    </row>
    <row r="247">
      <c r="A247" s="20"/>
      <c r="B247" s="20"/>
    </row>
    <row r="248">
      <c r="A248" s="20"/>
      <c r="B248" s="20"/>
    </row>
    <row r="249">
      <c r="A249" s="20"/>
      <c r="B249" s="20"/>
    </row>
    <row r="250">
      <c r="A250" s="20"/>
      <c r="B250" s="20"/>
    </row>
    <row r="251">
      <c r="A251" s="20"/>
      <c r="B251" s="20"/>
    </row>
    <row r="252">
      <c r="A252" s="20"/>
      <c r="B252" s="20"/>
    </row>
    <row r="253">
      <c r="A253" s="20"/>
      <c r="B253" s="20"/>
    </row>
    <row r="254">
      <c r="A254" s="20"/>
      <c r="B254" s="20"/>
    </row>
    <row r="255">
      <c r="A255" s="20"/>
      <c r="B255" s="20"/>
    </row>
    <row r="256">
      <c r="A256" s="20"/>
      <c r="B256" s="20"/>
    </row>
    <row r="257">
      <c r="A257" s="20"/>
      <c r="B257" s="20"/>
    </row>
    <row r="258">
      <c r="A258" s="20"/>
      <c r="B258" s="20"/>
    </row>
    <row r="259">
      <c r="A259" s="20"/>
      <c r="B259" s="20"/>
    </row>
    <row r="260">
      <c r="A260" s="20"/>
      <c r="B260" s="20"/>
    </row>
    <row r="261">
      <c r="A261" s="20"/>
      <c r="B261" s="20"/>
    </row>
    <row r="262">
      <c r="A262" s="20"/>
      <c r="B262" s="20"/>
    </row>
    <row r="263">
      <c r="A263" s="20"/>
      <c r="B263" s="20"/>
    </row>
    <row r="264">
      <c r="A264" s="20"/>
      <c r="B264" s="20"/>
    </row>
    <row r="265">
      <c r="A265" s="20"/>
      <c r="B265" s="20"/>
    </row>
    <row r="266">
      <c r="A266" s="20"/>
      <c r="B266" s="20"/>
    </row>
    <row r="267">
      <c r="A267" s="20"/>
      <c r="B267" s="20"/>
    </row>
    <row r="268">
      <c r="A268" s="20"/>
      <c r="B268" s="20"/>
    </row>
    <row r="269">
      <c r="A269" s="20"/>
      <c r="B269" s="20"/>
    </row>
    <row r="270">
      <c r="A270" s="20"/>
      <c r="B270" s="20"/>
    </row>
    <row r="271">
      <c r="A271" s="20"/>
      <c r="B271" s="20"/>
    </row>
    <row r="272">
      <c r="A272" s="20"/>
      <c r="B272" s="20"/>
    </row>
    <row r="273">
      <c r="A273" s="20"/>
      <c r="B273" s="20"/>
    </row>
    <row r="274">
      <c r="A274" s="20"/>
      <c r="B274" s="20"/>
    </row>
    <row r="275">
      <c r="A275" s="20"/>
      <c r="B275" s="20"/>
    </row>
    <row r="276">
      <c r="A276" s="20"/>
      <c r="B276" s="20"/>
    </row>
    <row r="277">
      <c r="A277" s="20"/>
      <c r="B277" s="20"/>
    </row>
    <row r="278">
      <c r="A278" s="20"/>
      <c r="B278" s="20"/>
    </row>
    <row r="279">
      <c r="A279" s="20"/>
      <c r="B279" s="20"/>
    </row>
    <row r="280">
      <c r="A280" s="20"/>
      <c r="B280" s="20"/>
    </row>
    <row r="281">
      <c r="A281" s="20"/>
      <c r="B281" s="20"/>
    </row>
    <row r="282">
      <c r="A282" s="20"/>
      <c r="B282" s="20"/>
    </row>
    <row r="283">
      <c r="A283" s="20"/>
      <c r="B283" s="20"/>
    </row>
    <row r="284">
      <c r="A284" s="20"/>
      <c r="B284" s="20"/>
    </row>
    <row r="285">
      <c r="A285" s="20"/>
      <c r="B285" s="20"/>
    </row>
    <row r="286">
      <c r="A286" s="20"/>
      <c r="B286" s="20"/>
    </row>
    <row r="287">
      <c r="A287" s="20"/>
      <c r="B287" s="20"/>
    </row>
    <row r="288">
      <c r="A288" s="20"/>
      <c r="B288" s="20"/>
    </row>
    <row r="289">
      <c r="A289" s="20"/>
      <c r="B289" s="20"/>
    </row>
    <row r="290">
      <c r="A290" s="20"/>
      <c r="B290" s="20"/>
    </row>
    <row r="291">
      <c r="A291" s="20"/>
      <c r="B291" s="20"/>
    </row>
    <row r="292">
      <c r="A292" s="20"/>
      <c r="B292" s="20"/>
    </row>
    <row r="293">
      <c r="A293" s="20"/>
      <c r="B293" s="20"/>
    </row>
    <row r="294">
      <c r="A294" s="20"/>
      <c r="B294" s="20"/>
    </row>
    <row r="295">
      <c r="A295" s="20"/>
      <c r="B295" s="20"/>
    </row>
    <row r="296">
      <c r="A296" s="20"/>
      <c r="B296" s="20"/>
    </row>
    <row r="297">
      <c r="A297" s="20"/>
      <c r="B297" s="20"/>
    </row>
    <row r="298">
      <c r="A298" s="20"/>
      <c r="B298" s="20"/>
    </row>
    <row r="299">
      <c r="A299" s="20"/>
      <c r="B299" s="20"/>
    </row>
    <row r="300">
      <c r="A300" s="20"/>
      <c r="B300" s="20"/>
    </row>
    <row r="301">
      <c r="A301" s="20"/>
      <c r="B301" s="20"/>
    </row>
    <row r="302">
      <c r="A302" s="20"/>
      <c r="B302" s="20"/>
    </row>
    <row r="303">
      <c r="A303" s="20"/>
      <c r="B303" s="20"/>
    </row>
    <row r="304">
      <c r="A304" s="20"/>
      <c r="B304" s="20"/>
    </row>
    <row r="305">
      <c r="A305" s="20"/>
      <c r="B305" s="20"/>
    </row>
    <row r="306">
      <c r="A306" s="20"/>
      <c r="B306" s="20"/>
    </row>
    <row r="307">
      <c r="A307" s="20"/>
      <c r="B307" s="20"/>
    </row>
    <row r="308">
      <c r="A308" s="20"/>
      <c r="B308" s="20"/>
    </row>
    <row r="309">
      <c r="A309" s="20"/>
      <c r="B309" s="20"/>
    </row>
    <row r="310">
      <c r="A310" s="20"/>
      <c r="B310" s="20"/>
    </row>
    <row r="311">
      <c r="A311" s="20"/>
      <c r="B311" s="20"/>
    </row>
    <row r="312">
      <c r="A312" s="20"/>
      <c r="B312" s="20"/>
    </row>
    <row r="313">
      <c r="A313" s="20"/>
      <c r="B313" s="20"/>
    </row>
    <row r="314">
      <c r="A314" s="20"/>
      <c r="B314" s="20"/>
    </row>
    <row r="315">
      <c r="A315" s="20"/>
      <c r="B315" s="20"/>
    </row>
    <row r="316">
      <c r="A316" s="20"/>
      <c r="B316" s="20"/>
    </row>
    <row r="317">
      <c r="A317" s="20"/>
      <c r="B317" s="20"/>
    </row>
    <row r="318">
      <c r="A318" s="20"/>
      <c r="B318" s="20"/>
    </row>
    <row r="319">
      <c r="A319" s="20"/>
      <c r="B319" s="20"/>
    </row>
    <row r="320">
      <c r="A320" s="20"/>
      <c r="B320" s="20"/>
    </row>
    <row r="321">
      <c r="A321" s="20"/>
      <c r="B321" s="20"/>
    </row>
    <row r="322">
      <c r="A322" s="20"/>
      <c r="B322" s="20"/>
    </row>
    <row r="323">
      <c r="A323" s="20"/>
      <c r="B323" s="20"/>
    </row>
    <row r="324">
      <c r="A324" s="20"/>
      <c r="B324" s="20"/>
    </row>
    <row r="325">
      <c r="A325" s="20"/>
      <c r="B325" s="20"/>
    </row>
    <row r="326">
      <c r="A326" s="20"/>
      <c r="B326" s="20"/>
    </row>
    <row r="327">
      <c r="A327" s="20"/>
      <c r="B327" s="20"/>
    </row>
    <row r="328">
      <c r="A328" s="20"/>
      <c r="B328" s="20"/>
    </row>
    <row r="329">
      <c r="A329" s="20"/>
      <c r="B329" s="20"/>
    </row>
    <row r="330">
      <c r="A330" s="20"/>
      <c r="B330" s="20"/>
    </row>
    <row r="331">
      <c r="A331" s="20"/>
      <c r="B331" s="20"/>
    </row>
    <row r="332">
      <c r="A332" s="20"/>
      <c r="B332" s="20"/>
    </row>
    <row r="333">
      <c r="A333" s="20"/>
      <c r="B333" s="20"/>
    </row>
    <row r="334">
      <c r="A334" s="20"/>
      <c r="B334" s="20"/>
    </row>
    <row r="335">
      <c r="A335" s="20"/>
      <c r="B335" s="20"/>
    </row>
    <row r="336">
      <c r="A336" s="20"/>
      <c r="B336" s="20"/>
    </row>
    <row r="337">
      <c r="A337" s="20"/>
      <c r="B337" s="20"/>
    </row>
    <row r="338">
      <c r="A338" s="20"/>
      <c r="B338" s="20"/>
    </row>
    <row r="339">
      <c r="A339" s="20"/>
      <c r="B339" s="20"/>
    </row>
    <row r="340">
      <c r="A340" s="20"/>
      <c r="B340" s="20"/>
    </row>
    <row r="341">
      <c r="A341" s="20"/>
      <c r="B341" s="20"/>
    </row>
    <row r="342">
      <c r="A342" s="20"/>
      <c r="B342" s="20"/>
    </row>
    <row r="343">
      <c r="A343" s="20"/>
      <c r="B343" s="20"/>
    </row>
    <row r="344">
      <c r="A344" s="20"/>
      <c r="B344" s="20"/>
    </row>
    <row r="345">
      <c r="A345" s="20"/>
      <c r="B345" s="20"/>
    </row>
    <row r="346">
      <c r="A346" s="20"/>
      <c r="B346" s="20"/>
    </row>
    <row r="347">
      <c r="A347" s="20"/>
      <c r="B347" s="20"/>
    </row>
    <row r="348">
      <c r="A348" s="20"/>
      <c r="B348" s="20"/>
    </row>
    <row r="349">
      <c r="A349" s="20"/>
      <c r="B349" s="20"/>
    </row>
    <row r="350">
      <c r="A350" s="20"/>
      <c r="B350" s="20"/>
    </row>
    <row r="351">
      <c r="A351" s="20"/>
      <c r="B351" s="20"/>
    </row>
    <row r="352">
      <c r="A352" s="20"/>
      <c r="B352" s="20"/>
    </row>
    <row r="353">
      <c r="A353" s="20"/>
      <c r="B353" s="20"/>
    </row>
    <row r="354">
      <c r="A354" s="20"/>
      <c r="B354" s="20"/>
    </row>
    <row r="355">
      <c r="A355" s="20"/>
      <c r="B355" s="20"/>
    </row>
    <row r="356">
      <c r="A356" s="20"/>
      <c r="B356" s="20"/>
    </row>
    <row r="357">
      <c r="A357" s="20"/>
      <c r="B357" s="20"/>
    </row>
    <row r="358">
      <c r="A358" s="20"/>
      <c r="B358" s="20"/>
    </row>
    <row r="359">
      <c r="A359" s="20"/>
      <c r="B359" s="20"/>
    </row>
    <row r="360">
      <c r="A360" s="20"/>
      <c r="B360" s="20"/>
    </row>
    <row r="361">
      <c r="A361" s="20"/>
      <c r="B361" s="20"/>
    </row>
    <row r="362">
      <c r="A362" s="20"/>
      <c r="B362" s="20"/>
    </row>
    <row r="363">
      <c r="A363" s="20"/>
      <c r="B363" s="20"/>
    </row>
    <row r="364">
      <c r="A364" s="20"/>
      <c r="B364" s="20"/>
    </row>
    <row r="365">
      <c r="A365" s="20"/>
      <c r="B365" s="20"/>
    </row>
    <row r="366">
      <c r="A366" s="20"/>
      <c r="B366" s="20"/>
    </row>
    <row r="367">
      <c r="A367" s="20"/>
      <c r="B367" s="20"/>
    </row>
    <row r="368">
      <c r="A368" s="20"/>
      <c r="B368" s="20"/>
    </row>
    <row r="369">
      <c r="A369" s="20"/>
      <c r="B369" s="20"/>
    </row>
    <row r="370">
      <c r="A370" s="20"/>
      <c r="B370" s="20"/>
    </row>
    <row r="371">
      <c r="A371" s="20"/>
      <c r="B371" s="20"/>
    </row>
    <row r="372">
      <c r="A372" s="20"/>
      <c r="B372" s="20"/>
    </row>
    <row r="373">
      <c r="A373" s="20"/>
      <c r="B373" s="20"/>
    </row>
    <row r="374">
      <c r="A374" s="20"/>
      <c r="B374" s="20"/>
    </row>
    <row r="375">
      <c r="A375" s="20"/>
      <c r="B375" s="20"/>
    </row>
    <row r="376">
      <c r="A376" s="20"/>
      <c r="B376" s="20"/>
    </row>
    <row r="377">
      <c r="A377" s="20"/>
      <c r="B377" s="20"/>
    </row>
    <row r="378">
      <c r="A378" s="20"/>
      <c r="B378" s="20"/>
    </row>
    <row r="379">
      <c r="A379" s="20"/>
      <c r="B379" s="20"/>
    </row>
    <row r="380">
      <c r="A380" s="20"/>
      <c r="B380" s="20"/>
    </row>
    <row r="381">
      <c r="A381" s="20"/>
      <c r="B381" s="20"/>
    </row>
    <row r="382">
      <c r="A382" s="20"/>
      <c r="B382" s="20"/>
    </row>
    <row r="383">
      <c r="A383" s="20"/>
      <c r="B383" s="20"/>
    </row>
    <row r="384">
      <c r="A384" s="20"/>
      <c r="B384" s="20"/>
    </row>
    <row r="385">
      <c r="A385" s="20"/>
      <c r="B385" s="20"/>
    </row>
    <row r="386">
      <c r="A386" s="20"/>
      <c r="B386" s="20"/>
    </row>
    <row r="387">
      <c r="A387" s="20"/>
      <c r="B387" s="20"/>
    </row>
    <row r="388">
      <c r="A388" s="20"/>
      <c r="B388" s="20"/>
    </row>
    <row r="389">
      <c r="A389" s="20"/>
      <c r="B389" s="20"/>
    </row>
    <row r="390">
      <c r="A390" s="20"/>
      <c r="B390" s="20"/>
    </row>
    <row r="391">
      <c r="A391" s="20"/>
      <c r="B391" s="20"/>
    </row>
    <row r="392">
      <c r="A392" s="20"/>
      <c r="B392" s="20"/>
    </row>
    <row r="393">
      <c r="A393" s="20"/>
      <c r="B393" s="20"/>
    </row>
    <row r="394">
      <c r="A394" s="20"/>
      <c r="B394" s="20"/>
    </row>
    <row r="395">
      <c r="A395" s="20"/>
      <c r="B395" s="20"/>
    </row>
    <row r="396">
      <c r="A396" s="20"/>
      <c r="B396" s="20"/>
    </row>
    <row r="397">
      <c r="A397" s="20"/>
      <c r="B397" s="20"/>
    </row>
    <row r="398">
      <c r="A398" s="20"/>
      <c r="B398" s="20"/>
    </row>
    <row r="399">
      <c r="A399" s="20"/>
      <c r="B399" s="20"/>
    </row>
    <row r="400">
      <c r="A400" s="20"/>
      <c r="B400" s="20"/>
    </row>
    <row r="401">
      <c r="A401" s="20"/>
      <c r="B401" s="20"/>
    </row>
    <row r="402">
      <c r="A402" s="20"/>
      <c r="B402" s="20"/>
    </row>
    <row r="403">
      <c r="A403" s="20"/>
      <c r="B403" s="20"/>
    </row>
    <row r="404">
      <c r="A404" s="20"/>
      <c r="B404" s="20"/>
    </row>
    <row r="405">
      <c r="A405" s="20"/>
      <c r="B405" s="20"/>
    </row>
    <row r="406">
      <c r="A406" s="20"/>
      <c r="B406" s="20"/>
    </row>
    <row r="407">
      <c r="A407" s="20"/>
      <c r="B407" s="20"/>
    </row>
    <row r="408">
      <c r="A408" s="20"/>
      <c r="B408" s="20"/>
    </row>
    <row r="409">
      <c r="A409" s="20"/>
      <c r="B409" s="20"/>
    </row>
    <row r="410">
      <c r="A410" s="20"/>
      <c r="B410" s="20"/>
    </row>
    <row r="411">
      <c r="A411" s="20"/>
      <c r="B411" s="20"/>
    </row>
    <row r="412">
      <c r="A412" s="20"/>
      <c r="B412" s="20"/>
    </row>
    <row r="413">
      <c r="A413" s="20"/>
      <c r="B413" s="20"/>
    </row>
    <row r="414">
      <c r="A414" s="20"/>
      <c r="B414" s="20"/>
    </row>
    <row r="415">
      <c r="A415" s="20"/>
      <c r="B415" s="20"/>
    </row>
    <row r="416">
      <c r="A416" s="20"/>
      <c r="B416" s="20"/>
    </row>
    <row r="417">
      <c r="A417" s="20"/>
      <c r="B417" s="20"/>
    </row>
    <row r="418">
      <c r="A418" s="20"/>
      <c r="B418" s="20"/>
    </row>
    <row r="419">
      <c r="A419" s="20"/>
      <c r="B419" s="20"/>
    </row>
    <row r="420">
      <c r="A420" s="20"/>
      <c r="B420" s="20"/>
    </row>
    <row r="421">
      <c r="A421" s="20"/>
      <c r="B421" s="20"/>
    </row>
    <row r="422">
      <c r="A422" s="20"/>
      <c r="B422" s="20"/>
    </row>
    <row r="423">
      <c r="A423" s="20"/>
      <c r="B423" s="20"/>
    </row>
    <row r="424">
      <c r="A424" s="20"/>
      <c r="B424" s="20"/>
    </row>
    <row r="425">
      <c r="A425" s="20"/>
      <c r="B425" s="20"/>
    </row>
    <row r="426">
      <c r="A426" s="20"/>
      <c r="B426" s="20"/>
    </row>
    <row r="427">
      <c r="A427" s="20"/>
      <c r="B427" s="20"/>
    </row>
    <row r="428">
      <c r="A428" s="20"/>
      <c r="B428" s="20"/>
    </row>
    <row r="429">
      <c r="A429" s="20"/>
      <c r="B429" s="20"/>
    </row>
    <row r="430">
      <c r="A430" s="20"/>
      <c r="B430" s="20"/>
    </row>
    <row r="431">
      <c r="A431" s="20"/>
      <c r="B431" s="20"/>
    </row>
    <row r="432">
      <c r="A432" s="20"/>
      <c r="B432" s="20"/>
    </row>
    <row r="433">
      <c r="A433" s="20"/>
      <c r="B433" s="20"/>
    </row>
    <row r="434">
      <c r="A434" s="20"/>
      <c r="B434" s="20"/>
    </row>
    <row r="435">
      <c r="A435" s="20"/>
      <c r="B435" s="20"/>
    </row>
    <row r="436">
      <c r="A436" s="20"/>
      <c r="B436" s="20"/>
    </row>
    <row r="437">
      <c r="A437" s="20"/>
      <c r="B437" s="20"/>
    </row>
    <row r="438">
      <c r="A438" s="20"/>
      <c r="B438" s="20"/>
    </row>
    <row r="439">
      <c r="A439" s="20"/>
      <c r="B439" s="20"/>
    </row>
    <row r="440">
      <c r="A440" s="20"/>
      <c r="B440" s="20"/>
    </row>
    <row r="441">
      <c r="A441" s="20"/>
      <c r="B441" s="20"/>
    </row>
    <row r="442">
      <c r="A442" s="20"/>
      <c r="B442" s="20"/>
    </row>
    <row r="443">
      <c r="A443" s="20"/>
      <c r="B443" s="20"/>
    </row>
    <row r="444">
      <c r="A444" s="20"/>
      <c r="B444" s="20"/>
    </row>
    <row r="445">
      <c r="A445" s="20"/>
      <c r="B445" s="20"/>
    </row>
    <row r="446">
      <c r="A446" s="20"/>
      <c r="B446" s="20"/>
    </row>
    <row r="447">
      <c r="A447" s="20"/>
      <c r="B447" s="20"/>
    </row>
    <row r="448">
      <c r="A448" s="20"/>
      <c r="B448" s="20"/>
    </row>
    <row r="449">
      <c r="A449" s="20"/>
      <c r="B449" s="20"/>
    </row>
    <row r="450">
      <c r="A450" s="20"/>
      <c r="B450" s="20"/>
    </row>
    <row r="451">
      <c r="A451" s="20"/>
      <c r="B451" s="20"/>
    </row>
    <row r="452">
      <c r="A452" s="20"/>
      <c r="B452" s="20"/>
    </row>
    <row r="453">
      <c r="A453" s="20"/>
      <c r="B453" s="20"/>
    </row>
    <row r="454">
      <c r="A454" s="20"/>
      <c r="B454" s="20"/>
    </row>
    <row r="455">
      <c r="A455" s="20"/>
      <c r="B455" s="20"/>
    </row>
    <row r="456">
      <c r="A456" s="20"/>
      <c r="B456" s="20"/>
    </row>
    <row r="457">
      <c r="A457" s="20"/>
      <c r="B457" s="20"/>
    </row>
    <row r="458">
      <c r="A458" s="20"/>
      <c r="B458" s="20"/>
    </row>
    <row r="459">
      <c r="A459" s="20"/>
      <c r="B459" s="20"/>
    </row>
    <row r="460">
      <c r="A460" s="20"/>
      <c r="B460" s="20"/>
    </row>
    <row r="461">
      <c r="A461" s="20"/>
      <c r="B461" s="20"/>
    </row>
    <row r="462">
      <c r="A462" s="20"/>
      <c r="B462" s="20"/>
    </row>
    <row r="463">
      <c r="A463" s="20"/>
      <c r="B463" s="20"/>
    </row>
    <row r="464">
      <c r="A464" s="20"/>
      <c r="B464" s="20"/>
    </row>
    <row r="465">
      <c r="A465" s="20"/>
      <c r="B465" s="20"/>
    </row>
    <row r="466">
      <c r="A466" s="20"/>
      <c r="B466" s="20"/>
    </row>
    <row r="467">
      <c r="A467" s="20"/>
      <c r="B467" s="20"/>
    </row>
    <row r="468">
      <c r="A468" s="20"/>
      <c r="B468" s="20"/>
    </row>
    <row r="469">
      <c r="A469" s="20"/>
      <c r="B469" s="20"/>
    </row>
    <row r="470">
      <c r="A470" s="20"/>
      <c r="B470" s="20"/>
    </row>
    <row r="471">
      <c r="A471" s="20"/>
      <c r="B471" s="20"/>
    </row>
    <row r="472">
      <c r="A472" s="20"/>
      <c r="B472" s="20"/>
    </row>
    <row r="473">
      <c r="A473" s="20"/>
      <c r="B473" s="20"/>
    </row>
    <row r="474">
      <c r="A474" s="20"/>
      <c r="B474" s="20"/>
    </row>
    <row r="475">
      <c r="A475" s="20"/>
      <c r="B475" s="20"/>
    </row>
    <row r="476">
      <c r="A476" s="20"/>
      <c r="B476" s="20"/>
    </row>
    <row r="477">
      <c r="A477" s="20"/>
      <c r="B477" s="20"/>
    </row>
    <row r="478">
      <c r="A478" s="20"/>
      <c r="B478" s="20"/>
    </row>
    <row r="479">
      <c r="A479" s="20"/>
      <c r="B479" s="20"/>
    </row>
    <row r="480">
      <c r="A480" s="20"/>
      <c r="B480" s="20"/>
    </row>
    <row r="481">
      <c r="A481" s="20"/>
      <c r="B481" s="20"/>
    </row>
    <row r="482">
      <c r="A482" s="20"/>
      <c r="B482" s="20"/>
    </row>
    <row r="483">
      <c r="A483" s="20"/>
      <c r="B483" s="20"/>
    </row>
    <row r="484">
      <c r="A484" s="20"/>
      <c r="B484" s="20"/>
    </row>
    <row r="485">
      <c r="A485" s="20"/>
      <c r="B485" s="20"/>
    </row>
    <row r="486">
      <c r="A486" s="20"/>
      <c r="B486" s="20"/>
    </row>
    <row r="487">
      <c r="A487" s="20"/>
      <c r="B487" s="20"/>
    </row>
    <row r="488">
      <c r="A488" s="20"/>
      <c r="B488" s="20"/>
    </row>
    <row r="489">
      <c r="A489" s="20"/>
      <c r="B489" s="20"/>
    </row>
    <row r="490">
      <c r="A490" s="20"/>
      <c r="B490" s="20"/>
    </row>
    <row r="491">
      <c r="A491" s="20"/>
      <c r="B491" s="20"/>
    </row>
    <row r="492">
      <c r="A492" s="20"/>
      <c r="B492" s="20"/>
    </row>
    <row r="493">
      <c r="A493" s="20"/>
      <c r="B493" s="20"/>
    </row>
    <row r="494">
      <c r="A494" s="20"/>
      <c r="B494" s="20"/>
    </row>
    <row r="495">
      <c r="A495" s="20"/>
      <c r="B495" s="20"/>
    </row>
    <row r="496">
      <c r="A496" s="20"/>
      <c r="B496" s="20"/>
    </row>
    <row r="497">
      <c r="A497" s="20"/>
      <c r="B497" s="20"/>
    </row>
    <row r="498">
      <c r="A498" s="20"/>
      <c r="B498" s="20"/>
    </row>
    <row r="499">
      <c r="A499" s="20"/>
      <c r="B499" s="20"/>
    </row>
    <row r="500">
      <c r="A500" s="20"/>
      <c r="B500" s="20"/>
    </row>
    <row r="501">
      <c r="A501" s="20"/>
      <c r="B501" s="20"/>
    </row>
    <row r="502">
      <c r="A502" s="20"/>
      <c r="B502" s="20"/>
    </row>
    <row r="503">
      <c r="A503" s="20"/>
      <c r="B503" s="20"/>
    </row>
    <row r="504">
      <c r="A504" s="20"/>
      <c r="B504" s="20"/>
    </row>
    <row r="505">
      <c r="A505" s="20"/>
      <c r="B505" s="20"/>
    </row>
    <row r="506">
      <c r="A506" s="20"/>
      <c r="B506" s="20"/>
    </row>
    <row r="507">
      <c r="A507" s="20"/>
      <c r="B507" s="20"/>
    </row>
    <row r="508">
      <c r="A508" s="20"/>
      <c r="B508" s="20"/>
    </row>
    <row r="509">
      <c r="A509" s="20"/>
      <c r="B509" s="20"/>
    </row>
    <row r="510">
      <c r="A510" s="20"/>
      <c r="B510" s="20"/>
    </row>
    <row r="511">
      <c r="A511" s="20"/>
      <c r="B511" s="20"/>
    </row>
    <row r="512">
      <c r="A512" s="20"/>
      <c r="B512" s="20"/>
    </row>
    <row r="513">
      <c r="A513" s="20"/>
      <c r="B513" s="20"/>
    </row>
    <row r="514">
      <c r="A514" s="20"/>
      <c r="B514" s="20"/>
    </row>
    <row r="515">
      <c r="A515" s="20"/>
      <c r="B515" s="20"/>
    </row>
    <row r="516">
      <c r="A516" s="20"/>
      <c r="B516" s="20"/>
    </row>
    <row r="517">
      <c r="A517" s="20"/>
      <c r="B517" s="20"/>
    </row>
    <row r="518">
      <c r="A518" s="20"/>
      <c r="B518" s="20"/>
    </row>
    <row r="519">
      <c r="A519" s="20"/>
      <c r="B519" s="20"/>
    </row>
    <row r="520">
      <c r="A520" s="20"/>
      <c r="B520" s="20"/>
    </row>
    <row r="521">
      <c r="A521" s="20"/>
      <c r="B521" s="20"/>
    </row>
    <row r="522">
      <c r="A522" s="20"/>
      <c r="B522" s="20"/>
    </row>
    <row r="523">
      <c r="A523" s="20"/>
      <c r="B523" s="20"/>
    </row>
    <row r="524">
      <c r="A524" s="20"/>
      <c r="B524" s="20"/>
    </row>
    <row r="525">
      <c r="A525" s="20"/>
      <c r="B525" s="20"/>
    </row>
    <row r="526">
      <c r="A526" s="20"/>
      <c r="B526" s="20"/>
    </row>
    <row r="527">
      <c r="A527" s="20"/>
      <c r="B527" s="20"/>
    </row>
    <row r="528">
      <c r="A528" s="20"/>
      <c r="B528" s="20"/>
    </row>
    <row r="529">
      <c r="A529" s="20"/>
      <c r="B529" s="20"/>
    </row>
    <row r="530">
      <c r="A530" s="20"/>
      <c r="B530" s="20"/>
    </row>
    <row r="531">
      <c r="A531" s="20"/>
      <c r="B531" s="20"/>
    </row>
    <row r="532">
      <c r="A532" s="20"/>
      <c r="B532" s="20"/>
    </row>
    <row r="533">
      <c r="A533" s="20"/>
      <c r="B533" s="20"/>
    </row>
    <row r="534">
      <c r="A534" s="20"/>
      <c r="B534" s="20"/>
    </row>
    <row r="535">
      <c r="A535" s="20"/>
      <c r="B535" s="20"/>
    </row>
    <row r="536">
      <c r="A536" s="20"/>
      <c r="B536" s="20"/>
    </row>
    <row r="537">
      <c r="A537" s="20"/>
      <c r="B537" s="20"/>
    </row>
    <row r="538">
      <c r="A538" s="20"/>
      <c r="B538" s="20"/>
    </row>
    <row r="539">
      <c r="A539" s="20"/>
      <c r="B539" s="20"/>
    </row>
    <row r="540">
      <c r="A540" s="20"/>
      <c r="B540" s="20"/>
    </row>
    <row r="541">
      <c r="A541" s="20"/>
      <c r="B541" s="20"/>
    </row>
    <row r="542">
      <c r="A542" s="20"/>
      <c r="B542" s="20"/>
    </row>
    <row r="543">
      <c r="A543" s="20"/>
      <c r="B543" s="20"/>
    </row>
    <row r="544">
      <c r="A544" s="20"/>
      <c r="B544" s="20"/>
    </row>
    <row r="545">
      <c r="A545" s="20"/>
      <c r="B545" s="20"/>
    </row>
    <row r="546">
      <c r="A546" s="20"/>
      <c r="B546" s="20"/>
    </row>
    <row r="547">
      <c r="A547" s="20"/>
      <c r="B547" s="20"/>
    </row>
    <row r="548">
      <c r="A548" s="20"/>
      <c r="B548" s="20"/>
    </row>
    <row r="549">
      <c r="A549" s="20"/>
      <c r="B549" s="20"/>
    </row>
    <row r="550">
      <c r="A550" s="20"/>
      <c r="B550" s="20"/>
    </row>
    <row r="551">
      <c r="A551" s="20"/>
      <c r="B551" s="20"/>
    </row>
    <row r="552">
      <c r="A552" s="20"/>
      <c r="B552" s="20"/>
    </row>
    <row r="553">
      <c r="A553" s="20"/>
      <c r="B553" s="20"/>
    </row>
    <row r="554">
      <c r="A554" s="20"/>
      <c r="B554" s="20"/>
    </row>
    <row r="555">
      <c r="A555" s="20"/>
      <c r="B555" s="20"/>
    </row>
    <row r="556">
      <c r="A556" s="20"/>
      <c r="B556" s="20"/>
    </row>
    <row r="557">
      <c r="A557" s="20"/>
      <c r="B557" s="20"/>
    </row>
    <row r="558">
      <c r="A558" s="20"/>
      <c r="B558" s="20"/>
    </row>
    <row r="559">
      <c r="A559" s="20"/>
      <c r="B559" s="20"/>
    </row>
    <row r="560">
      <c r="A560" s="20"/>
      <c r="B560" s="20"/>
    </row>
    <row r="561">
      <c r="A561" s="20"/>
      <c r="B561" s="20"/>
    </row>
    <row r="562">
      <c r="A562" s="20"/>
      <c r="B562" s="20"/>
    </row>
    <row r="563">
      <c r="A563" s="20"/>
      <c r="B563" s="20"/>
    </row>
    <row r="564">
      <c r="A564" s="20"/>
      <c r="B564" s="20"/>
    </row>
    <row r="565">
      <c r="A565" s="20"/>
      <c r="B565" s="20"/>
    </row>
    <row r="566">
      <c r="A566" s="20"/>
      <c r="B566" s="20"/>
    </row>
    <row r="567">
      <c r="A567" s="20"/>
      <c r="B567" s="20"/>
    </row>
    <row r="568">
      <c r="A568" s="20"/>
      <c r="B568" s="20"/>
    </row>
    <row r="569">
      <c r="A569" s="20"/>
      <c r="B569" s="20"/>
    </row>
    <row r="570">
      <c r="A570" s="20"/>
      <c r="B570" s="20"/>
    </row>
    <row r="571">
      <c r="A571" s="20"/>
      <c r="B571" s="20"/>
    </row>
    <row r="572">
      <c r="A572" s="20"/>
      <c r="B572" s="20"/>
    </row>
    <row r="573">
      <c r="A573" s="20"/>
      <c r="B573" s="20"/>
    </row>
    <row r="574">
      <c r="A574" s="20"/>
      <c r="B574" s="20"/>
    </row>
    <row r="575">
      <c r="A575" s="20"/>
      <c r="B575" s="20"/>
    </row>
    <row r="576">
      <c r="A576" s="20"/>
      <c r="B576" s="20"/>
    </row>
    <row r="577">
      <c r="A577" s="20"/>
      <c r="B577" s="20"/>
    </row>
    <row r="578">
      <c r="A578" s="20"/>
      <c r="B578" s="20"/>
    </row>
    <row r="579">
      <c r="A579" s="20"/>
      <c r="B579" s="20"/>
    </row>
    <row r="580">
      <c r="A580" s="20"/>
      <c r="B580" s="20"/>
    </row>
    <row r="581">
      <c r="A581" s="20"/>
      <c r="B581" s="20"/>
    </row>
    <row r="582">
      <c r="A582" s="20"/>
      <c r="B582" s="20"/>
    </row>
    <row r="583">
      <c r="A583" s="20"/>
      <c r="B583" s="20"/>
    </row>
    <row r="584">
      <c r="A584" s="20"/>
      <c r="B584" s="20"/>
    </row>
    <row r="585">
      <c r="A585" s="20"/>
      <c r="B585" s="20"/>
    </row>
    <row r="586">
      <c r="A586" s="20"/>
      <c r="B586" s="20"/>
    </row>
    <row r="587">
      <c r="A587" s="20"/>
      <c r="B587" s="20"/>
    </row>
    <row r="588">
      <c r="A588" s="20"/>
      <c r="B588" s="20"/>
    </row>
    <row r="589">
      <c r="A589" s="20"/>
      <c r="B589" s="20"/>
    </row>
    <row r="590">
      <c r="A590" s="20"/>
      <c r="B590" s="20"/>
    </row>
    <row r="591">
      <c r="A591" s="20"/>
      <c r="B591" s="20"/>
    </row>
    <row r="592">
      <c r="A592" s="20"/>
      <c r="B592" s="20"/>
    </row>
    <row r="593">
      <c r="A593" s="20"/>
      <c r="B593" s="20"/>
    </row>
    <row r="594">
      <c r="A594" s="20"/>
      <c r="B594" s="20"/>
    </row>
    <row r="595">
      <c r="A595" s="20"/>
      <c r="B595" s="20"/>
    </row>
    <row r="596">
      <c r="A596" s="20"/>
      <c r="B596" s="20"/>
    </row>
    <row r="597">
      <c r="A597" s="20"/>
      <c r="B597" s="20"/>
    </row>
    <row r="598">
      <c r="A598" s="20"/>
      <c r="B598" s="20"/>
    </row>
    <row r="599">
      <c r="A599" s="20"/>
      <c r="B599" s="20"/>
    </row>
    <row r="600">
      <c r="A600" s="20"/>
      <c r="B600" s="20"/>
    </row>
    <row r="601">
      <c r="A601" s="20"/>
      <c r="B601" s="20"/>
    </row>
    <row r="602">
      <c r="A602" s="20"/>
      <c r="B602" s="20"/>
    </row>
    <row r="603">
      <c r="A603" s="20"/>
      <c r="B603" s="20"/>
    </row>
    <row r="604">
      <c r="A604" s="20"/>
      <c r="B604" s="20"/>
    </row>
    <row r="605">
      <c r="A605" s="20"/>
      <c r="B605" s="20"/>
    </row>
    <row r="606">
      <c r="A606" s="20"/>
      <c r="B606" s="20"/>
    </row>
    <row r="607">
      <c r="A607" s="20"/>
      <c r="B607" s="20"/>
    </row>
    <row r="608">
      <c r="A608" s="20"/>
      <c r="B608" s="20"/>
    </row>
    <row r="609">
      <c r="A609" s="20"/>
      <c r="B609" s="20"/>
    </row>
    <row r="610">
      <c r="A610" s="20"/>
      <c r="B610" s="20"/>
    </row>
    <row r="611">
      <c r="A611" s="20"/>
      <c r="B611" s="20"/>
    </row>
    <row r="612">
      <c r="A612" s="20"/>
      <c r="B612" s="20"/>
    </row>
    <row r="613">
      <c r="A613" s="20"/>
      <c r="B613" s="20"/>
    </row>
    <row r="614">
      <c r="A614" s="20"/>
      <c r="B614" s="20"/>
    </row>
    <row r="615">
      <c r="A615" s="20"/>
      <c r="B615" s="20"/>
    </row>
    <row r="616">
      <c r="A616" s="20"/>
      <c r="B616" s="20"/>
    </row>
    <row r="617">
      <c r="A617" s="20"/>
      <c r="B617" s="20"/>
    </row>
    <row r="618">
      <c r="A618" s="20"/>
      <c r="B618" s="20"/>
    </row>
    <row r="619">
      <c r="A619" s="20"/>
      <c r="B619" s="20"/>
    </row>
    <row r="620">
      <c r="A620" s="20"/>
      <c r="B620" s="20"/>
    </row>
    <row r="621">
      <c r="A621" s="20"/>
      <c r="B621" s="20"/>
    </row>
    <row r="622">
      <c r="A622" s="20"/>
      <c r="B622" s="20"/>
    </row>
    <row r="623">
      <c r="A623" s="20"/>
      <c r="B623" s="20"/>
    </row>
    <row r="624">
      <c r="A624" s="20"/>
      <c r="B624" s="20"/>
    </row>
    <row r="625">
      <c r="A625" s="20"/>
      <c r="B625" s="20"/>
    </row>
    <row r="626">
      <c r="A626" s="20"/>
      <c r="B626" s="20"/>
    </row>
    <row r="627">
      <c r="A627" s="20"/>
      <c r="B627" s="20"/>
    </row>
    <row r="628">
      <c r="A628" s="20"/>
      <c r="B628" s="20"/>
    </row>
    <row r="629">
      <c r="A629" s="20"/>
      <c r="B629" s="20"/>
    </row>
    <row r="630">
      <c r="A630" s="20"/>
      <c r="B630" s="20"/>
    </row>
    <row r="631">
      <c r="A631" s="20"/>
      <c r="B631" s="20"/>
    </row>
    <row r="632">
      <c r="A632" s="20"/>
      <c r="B632" s="20"/>
    </row>
    <row r="633">
      <c r="A633" s="20"/>
      <c r="B633" s="20"/>
    </row>
    <row r="634">
      <c r="A634" s="20"/>
      <c r="B634" s="20"/>
    </row>
    <row r="635">
      <c r="A635" s="20"/>
      <c r="B635" s="20"/>
    </row>
    <row r="636">
      <c r="A636" s="20"/>
      <c r="B636" s="20"/>
    </row>
    <row r="637">
      <c r="A637" s="20"/>
      <c r="B637" s="20"/>
    </row>
    <row r="638">
      <c r="A638" s="20"/>
      <c r="B638" s="20"/>
    </row>
    <row r="639">
      <c r="A639" s="20"/>
      <c r="B639" s="20"/>
    </row>
    <row r="640">
      <c r="A640" s="20"/>
      <c r="B640" s="20"/>
    </row>
    <row r="641">
      <c r="A641" s="20"/>
      <c r="B641" s="20"/>
    </row>
    <row r="642">
      <c r="A642" s="20"/>
      <c r="B642" s="20"/>
    </row>
    <row r="643">
      <c r="A643" s="20"/>
      <c r="B643" s="20"/>
    </row>
    <row r="644">
      <c r="A644" s="20"/>
      <c r="B644" s="20"/>
    </row>
    <row r="645">
      <c r="A645" s="20"/>
      <c r="B645" s="20"/>
    </row>
    <row r="646">
      <c r="A646" s="20"/>
      <c r="B646" s="20"/>
    </row>
    <row r="647">
      <c r="A647" s="20"/>
      <c r="B647" s="20"/>
    </row>
    <row r="648">
      <c r="A648" s="20"/>
      <c r="B648" s="20"/>
    </row>
    <row r="649">
      <c r="A649" s="20"/>
      <c r="B649" s="20"/>
    </row>
    <row r="650">
      <c r="A650" s="20"/>
      <c r="B650" s="20"/>
    </row>
    <row r="651">
      <c r="A651" s="20"/>
      <c r="B651" s="20"/>
    </row>
    <row r="652">
      <c r="A652" s="20"/>
      <c r="B652" s="20"/>
    </row>
    <row r="653">
      <c r="A653" s="20"/>
      <c r="B653" s="20"/>
    </row>
    <row r="654">
      <c r="A654" s="20"/>
      <c r="B654" s="20"/>
    </row>
    <row r="655">
      <c r="A655" s="20"/>
      <c r="B655" s="20"/>
    </row>
    <row r="656">
      <c r="A656" s="20"/>
      <c r="B656" s="20"/>
    </row>
    <row r="657">
      <c r="A657" s="20"/>
      <c r="B657" s="20"/>
    </row>
    <row r="658">
      <c r="A658" s="20"/>
      <c r="B658" s="20"/>
    </row>
    <row r="659">
      <c r="A659" s="20"/>
      <c r="B659" s="20"/>
    </row>
    <row r="660">
      <c r="A660" s="20"/>
      <c r="B660" s="20"/>
    </row>
    <row r="661">
      <c r="A661" s="20"/>
      <c r="B661" s="20"/>
    </row>
    <row r="662">
      <c r="A662" s="20"/>
      <c r="B662" s="20"/>
    </row>
    <row r="663">
      <c r="A663" s="20"/>
      <c r="B663" s="20"/>
    </row>
    <row r="664">
      <c r="A664" s="20"/>
      <c r="B664" s="20"/>
    </row>
    <row r="665">
      <c r="A665" s="20"/>
      <c r="B665" s="20"/>
    </row>
    <row r="666">
      <c r="A666" s="20"/>
      <c r="B666" s="20"/>
    </row>
    <row r="667">
      <c r="A667" s="20"/>
      <c r="B667" s="20"/>
    </row>
    <row r="668">
      <c r="A668" s="20"/>
      <c r="B668" s="20"/>
    </row>
    <row r="669">
      <c r="A669" s="20"/>
      <c r="B669" s="20"/>
    </row>
    <row r="670">
      <c r="A670" s="20"/>
      <c r="B670" s="20"/>
    </row>
    <row r="671">
      <c r="A671" s="20"/>
      <c r="B671" s="20"/>
    </row>
    <row r="672">
      <c r="A672" s="20"/>
      <c r="B672" s="20"/>
    </row>
    <row r="673">
      <c r="A673" s="20"/>
      <c r="B673" s="20"/>
    </row>
    <row r="674">
      <c r="A674" s="20"/>
      <c r="B674" s="20"/>
    </row>
    <row r="675">
      <c r="A675" s="20"/>
      <c r="B675" s="20"/>
    </row>
    <row r="676">
      <c r="A676" s="20"/>
      <c r="B676" s="20"/>
    </row>
    <row r="677">
      <c r="A677" s="20"/>
      <c r="B677" s="20"/>
    </row>
    <row r="678">
      <c r="A678" s="20"/>
      <c r="B678" s="20"/>
    </row>
    <row r="679">
      <c r="A679" s="20"/>
      <c r="B679" s="20"/>
    </row>
    <row r="680">
      <c r="A680" s="20"/>
      <c r="B680" s="20"/>
    </row>
    <row r="681">
      <c r="A681" s="20"/>
      <c r="B681" s="20"/>
    </row>
    <row r="682">
      <c r="A682" s="20"/>
      <c r="B682" s="20"/>
    </row>
    <row r="683">
      <c r="A683" s="20"/>
      <c r="B683" s="20"/>
    </row>
    <row r="684">
      <c r="A684" s="20"/>
      <c r="B684" s="20"/>
    </row>
    <row r="685">
      <c r="A685" s="20"/>
      <c r="B685" s="20"/>
    </row>
    <row r="686">
      <c r="A686" s="20"/>
      <c r="B686" s="20"/>
    </row>
    <row r="687">
      <c r="A687" s="20"/>
      <c r="B687" s="20"/>
    </row>
    <row r="688">
      <c r="A688" s="20"/>
      <c r="B688" s="20"/>
    </row>
    <row r="689">
      <c r="A689" s="20"/>
      <c r="B689" s="20"/>
    </row>
    <row r="690">
      <c r="A690" s="20"/>
      <c r="B690" s="20"/>
    </row>
    <row r="691">
      <c r="A691" s="20"/>
      <c r="B691" s="20"/>
    </row>
    <row r="692">
      <c r="A692" s="20"/>
      <c r="B692" s="20"/>
    </row>
    <row r="693">
      <c r="A693" s="20"/>
      <c r="B693" s="20"/>
    </row>
    <row r="694">
      <c r="A694" s="20"/>
      <c r="B694" s="20"/>
    </row>
    <row r="695">
      <c r="A695" s="20"/>
      <c r="B695" s="20"/>
    </row>
    <row r="696">
      <c r="A696" s="20"/>
      <c r="B696" s="20"/>
    </row>
    <row r="697">
      <c r="A697" s="20"/>
      <c r="B697" s="20"/>
    </row>
    <row r="698">
      <c r="A698" s="20"/>
      <c r="B698" s="20"/>
    </row>
    <row r="699">
      <c r="A699" s="20"/>
      <c r="B699" s="20"/>
    </row>
    <row r="700">
      <c r="A700" s="20"/>
      <c r="B700" s="20"/>
    </row>
    <row r="701">
      <c r="A701" s="20"/>
      <c r="B701" s="20"/>
    </row>
    <row r="702">
      <c r="A702" s="20"/>
      <c r="B702" s="20"/>
    </row>
    <row r="703">
      <c r="A703" s="20"/>
      <c r="B703" s="20"/>
    </row>
    <row r="704">
      <c r="A704" s="20"/>
      <c r="B704" s="20"/>
    </row>
    <row r="705">
      <c r="A705" s="20"/>
      <c r="B705" s="20"/>
    </row>
    <row r="706">
      <c r="A706" s="20"/>
      <c r="B706" s="20"/>
    </row>
    <row r="707">
      <c r="A707" s="20"/>
      <c r="B707" s="20"/>
    </row>
    <row r="708">
      <c r="A708" s="20"/>
      <c r="B708" s="20"/>
    </row>
    <row r="709">
      <c r="A709" s="20"/>
      <c r="B709" s="20"/>
    </row>
    <row r="710">
      <c r="A710" s="20"/>
      <c r="B710" s="20"/>
    </row>
    <row r="711">
      <c r="A711" s="20"/>
      <c r="B711" s="20"/>
    </row>
    <row r="712">
      <c r="A712" s="20"/>
      <c r="B712" s="20"/>
    </row>
    <row r="713">
      <c r="A713" s="20"/>
      <c r="B713" s="20"/>
    </row>
    <row r="714">
      <c r="A714" s="20"/>
      <c r="B714" s="20"/>
    </row>
    <row r="715">
      <c r="A715" s="20"/>
      <c r="B715" s="20"/>
    </row>
    <row r="716">
      <c r="A716" s="20"/>
      <c r="B716" s="20"/>
    </row>
    <row r="717">
      <c r="A717" s="20"/>
      <c r="B717" s="20"/>
    </row>
    <row r="718">
      <c r="A718" s="20"/>
      <c r="B718" s="20"/>
    </row>
    <row r="719">
      <c r="A719" s="20"/>
      <c r="B719" s="20"/>
    </row>
    <row r="720">
      <c r="A720" s="20"/>
      <c r="B720" s="20"/>
    </row>
    <row r="721">
      <c r="A721" s="20"/>
      <c r="B721" s="20"/>
    </row>
    <row r="722">
      <c r="A722" s="20"/>
      <c r="B722" s="20"/>
    </row>
    <row r="723">
      <c r="A723" s="20"/>
      <c r="B723" s="20"/>
    </row>
    <row r="724">
      <c r="A724" s="20"/>
      <c r="B724" s="20"/>
    </row>
    <row r="725">
      <c r="A725" s="20"/>
      <c r="B725" s="20"/>
    </row>
    <row r="726">
      <c r="A726" s="20"/>
      <c r="B726" s="20"/>
    </row>
    <row r="727">
      <c r="A727" s="20"/>
      <c r="B727" s="20"/>
    </row>
    <row r="728">
      <c r="A728" s="20"/>
      <c r="B728" s="20"/>
    </row>
    <row r="729">
      <c r="A729" s="20"/>
      <c r="B729" s="20"/>
    </row>
    <row r="730">
      <c r="A730" s="20"/>
      <c r="B730" s="20"/>
    </row>
    <row r="731">
      <c r="A731" s="20"/>
      <c r="B731" s="20"/>
    </row>
    <row r="732">
      <c r="A732" s="20"/>
      <c r="B732" s="20"/>
    </row>
    <row r="733">
      <c r="A733" s="20"/>
      <c r="B733" s="20"/>
    </row>
    <row r="734">
      <c r="A734" s="20"/>
      <c r="B734" s="20"/>
    </row>
    <row r="735">
      <c r="A735" s="20"/>
      <c r="B735" s="20"/>
    </row>
    <row r="736">
      <c r="A736" s="20"/>
      <c r="B736" s="20"/>
    </row>
    <row r="737">
      <c r="A737" s="20"/>
      <c r="B737" s="20"/>
    </row>
    <row r="738">
      <c r="A738" s="20"/>
      <c r="B738" s="20"/>
    </row>
    <row r="739">
      <c r="A739" s="20"/>
      <c r="B739" s="20"/>
    </row>
    <row r="740">
      <c r="A740" s="20"/>
      <c r="B740" s="20"/>
    </row>
    <row r="741">
      <c r="A741" s="20"/>
      <c r="B741" s="20"/>
    </row>
    <row r="742">
      <c r="A742" s="20"/>
      <c r="B742" s="20"/>
    </row>
    <row r="743">
      <c r="A743" s="20"/>
      <c r="B743" s="20"/>
    </row>
    <row r="744">
      <c r="A744" s="20"/>
      <c r="B744" s="20"/>
    </row>
    <row r="745">
      <c r="A745" s="20"/>
      <c r="B745" s="20"/>
    </row>
    <row r="746">
      <c r="A746" s="20"/>
      <c r="B746" s="20"/>
    </row>
    <row r="747">
      <c r="A747" s="20"/>
      <c r="B747" s="20"/>
    </row>
    <row r="748">
      <c r="A748" s="20"/>
      <c r="B748" s="20"/>
    </row>
    <row r="749">
      <c r="A749" s="20"/>
      <c r="B749" s="20"/>
    </row>
    <row r="750">
      <c r="A750" s="20"/>
      <c r="B750" s="20"/>
    </row>
    <row r="751">
      <c r="A751" s="20"/>
      <c r="B751" s="20"/>
    </row>
    <row r="752">
      <c r="A752" s="20"/>
      <c r="B752" s="20"/>
    </row>
    <row r="753">
      <c r="A753" s="20"/>
      <c r="B753" s="20"/>
    </row>
    <row r="754">
      <c r="A754" s="20"/>
      <c r="B754" s="20"/>
    </row>
    <row r="755">
      <c r="A755" s="20"/>
      <c r="B755" s="20"/>
    </row>
    <row r="756">
      <c r="A756" s="20"/>
      <c r="B756" s="20"/>
    </row>
    <row r="757">
      <c r="A757" s="20"/>
      <c r="B757" s="20"/>
    </row>
    <row r="758">
      <c r="A758" s="20"/>
      <c r="B758" s="20"/>
    </row>
    <row r="759">
      <c r="A759" s="20"/>
      <c r="B759" s="20"/>
    </row>
    <row r="760">
      <c r="A760" s="20"/>
      <c r="B760" s="20"/>
    </row>
    <row r="761">
      <c r="A761" s="20"/>
      <c r="B761" s="20"/>
    </row>
    <row r="762">
      <c r="A762" s="20"/>
      <c r="B762" s="20"/>
    </row>
    <row r="763">
      <c r="A763" s="20"/>
      <c r="B763" s="20"/>
    </row>
    <row r="764">
      <c r="A764" s="20"/>
      <c r="B764" s="20"/>
    </row>
    <row r="765">
      <c r="A765" s="20"/>
      <c r="B765" s="20"/>
    </row>
    <row r="766">
      <c r="A766" s="20"/>
      <c r="B766" s="20"/>
    </row>
    <row r="767">
      <c r="A767" s="20"/>
      <c r="B767" s="20"/>
    </row>
    <row r="768">
      <c r="A768" s="20"/>
      <c r="B768" s="20"/>
    </row>
    <row r="769">
      <c r="A769" s="20"/>
      <c r="B769" s="20"/>
    </row>
    <row r="770">
      <c r="A770" s="20"/>
      <c r="B770" s="20"/>
    </row>
    <row r="771">
      <c r="A771" s="20"/>
      <c r="B771" s="20"/>
    </row>
    <row r="772">
      <c r="A772" s="20"/>
      <c r="B772" s="20"/>
    </row>
    <row r="773">
      <c r="A773" s="20"/>
      <c r="B773" s="20"/>
    </row>
    <row r="774">
      <c r="A774" s="20"/>
      <c r="B774" s="20"/>
    </row>
    <row r="775">
      <c r="A775" s="20"/>
      <c r="B775" s="20"/>
    </row>
    <row r="776">
      <c r="A776" s="20"/>
      <c r="B776" s="20"/>
    </row>
    <row r="777">
      <c r="A777" s="20"/>
      <c r="B777" s="20"/>
    </row>
    <row r="778">
      <c r="A778" s="20"/>
      <c r="B778" s="20"/>
    </row>
    <row r="779">
      <c r="A779" s="20"/>
      <c r="B779" s="20"/>
    </row>
    <row r="780">
      <c r="A780" s="20"/>
      <c r="B780" s="20"/>
    </row>
    <row r="781">
      <c r="A781" s="20"/>
      <c r="B781" s="20"/>
    </row>
    <row r="782">
      <c r="A782" s="20"/>
      <c r="B782" s="20"/>
    </row>
    <row r="783">
      <c r="A783" s="20"/>
      <c r="B783" s="20"/>
    </row>
    <row r="784">
      <c r="A784" s="20"/>
      <c r="B784" s="20"/>
    </row>
    <row r="785">
      <c r="A785" s="20"/>
      <c r="B785" s="20"/>
    </row>
    <row r="786">
      <c r="A786" s="20"/>
      <c r="B786" s="20"/>
    </row>
    <row r="787">
      <c r="A787" s="20"/>
      <c r="B787" s="20"/>
    </row>
    <row r="788">
      <c r="A788" s="20"/>
      <c r="B788" s="20"/>
    </row>
    <row r="789">
      <c r="A789" s="20"/>
      <c r="B789" s="20"/>
    </row>
    <row r="790">
      <c r="A790" s="20"/>
      <c r="B790" s="20"/>
    </row>
    <row r="791">
      <c r="A791" s="20"/>
      <c r="B791" s="20"/>
    </row>
    <row r="792">
      <c r="A792" s="20"/>
      <c r="B792" s="20"/>
    </row>
    <row r="793">
      <c r="A793" s="20"/>
      <c r="B793" s="20"/>
    </row>
    <row r="794">
      <c r="A794" s="20"/>
      <c r="B794" s="20"/>
    </row>
    <row r="795">
      <c r="A795" s="20"/>
      <c r="B795" s="20"/>
    </row>
    <row r="796">
      <c r="A796" s="20"/>
      <c r="B796" s="20"/>
    </row>
    <row r="797">
      <c r="A797" s="20"/>
      <c r="B797" s="20"/>
    </row>
    <row r="798">
      <c r="A798" s="20"/>
      <c r="B798" s="20"/>
    </row>
    <row r="799">
      <c r="A799" s="20"/>
      <c r="B799" s="20"/>
    </row>
    <row r="800">
      <c r="A800" s="20"/>
      <c r="B800" s="20"/>
    </row>
    <row r="801">
      <c r="A801" s="20"/>
      <c r="B801" s="20"/>
    </row>
    <row r="802">
      <c r="A802" s="20"/>
      <c r="B802" s="20"/>
    </row>
    <row r="803">
      <c r="A803" s="20"/>
      <c r="B803" s="20"/>
    </row>
    <row r="804">
      <c r="A804" s="20"/>
      <c r="B804" s="20"/>
    </row>
    <row r="805">
      <c r="A805" s="20"/>
      <c r="B805" s="20"/>
    </row>
    <row r="806">
      <c r="A806" s="20"/>
      <c r="B806" s="20"/>
    </row>
    <row r="807">
      <c r="A807" s="20"/>
      <c r="B807" s="20"/>
    </row>
    <row r="808">
      <c r="A808" s="20"/>
      <c r="B808" s="20"/>
    </row>
    <row r="809">
      <c r="A809" s="20"/>
      <c r="B809" s="20"/>
    </row>
    <row r="810">
      <c r="A810" s="20"/>
      <c r="B810" s="20"/>
    </row>
    <row r="811">
      <c r="A811" s="20"/>
      <c r="B811" s="20"/>
    </row>
    <row r="812">
      <c r="A812" s="20"/>
      <c r="B812" s="20"/>
    </row>
    <row r="813">
      <c r="A813" s="20"/>
      <c r="B813" s="20"/>
    </row>
    <row r="814">
      <c r="A814" s="20"/>
      <c r="B814" s="20"/>
    </row>
    <row r="815">
      <c r="A815" s="20"/>
      <c r="B815" s="20"/>
    </row>
    <row r="816">
      <c r="A816" s="20"/>
      <c r="B816" s="20"/>
    </row>
    <row r="817">
      <c r="A817" s="20"/>
      <c r="B817" s="20"/>
    </row>
    <row r="818">
      <c r="A818" s="20"/>
      <c r="B818" s="20"/>
    </row>
    <row r="819">
      <c r="A819" s="20"/>
      <c r="B819" s="20"/>
    </row>
    <row r="820">
      <c r="A820" s="20"/>
      <c r="B820" s="20"/>
    </row>
    <row r="821">
      <c r="A821" s="20"/>
      <c r="B821" s="20"/>
    </row>
    <row r="822">
      <c r="A822" s="20"/>
      <c r="B822" s="20"/>
    </row>
    <row r="823">
      <c r="A823" s="20"/>
      <c r="B823" s="20"/>
    </row>
    <row r="824">
      <c r="A824" s="20"/>
      <c r="B824" s="20"/>
    </row>
    <row r="825">
      <c r="A825" s="20"/>
      <c r="B825" s="20"/>
    </row>
    <row r="826">
      <c r="A826" s="20"/>
      <c r="B826" s="20"/>
    </row>
    <row r="827">
      <c r="A827" s="20"/>
      <c r="B827" s="20"/>
    </row>
    <row r="828">
      <c r="A828" s="20"/>
      <c r="B828" s="20"/>
    </row>
    <row r="829">
      <c r="A829" s="20"/>
      <c r="B829" s="20"/>
    </row>
    <row r="830">
      <c r="A830" s="20"/>
      <c r="B830" s="20"/>
    </row>
    <row r="831">
      <c r="A831" s="20"/>
      <c r="B831" s="20"/>
    </row>
    <row r="832">
      <c r="A832" s="20"/>
      <c r="B832" s="20"/>
    </row>
    <row r="833">
      <c r="A833" s="20"/>
      <c r="B833" s="20"/>
    </row>
    <row r="834">
      <c r="A834" s="20"/>
      <c r="B834" s="20"/>
    </row>
    <row r="835">
      <c r="A835" s="20"/>
      <c r="B835" s="20"/>
    </row>
    <row r="836">
      <c r="A836" s="20"/>
      <c r="B836" s="20"/>
    </row>
    <row r="837">
      <c r="A837" s="20"/>
      <c r="B837" s="20"/>
    </row>
    <row r="838">
      <c r="A838" s="20"/>
      <c r="B838" s="20"/>
    </row>
    <row r="839">
      <c r="A839" s="20"/>
      <c r="B839" s="20"/>
    </row>
    <row r="840">
      <c r="A840" s="20"/>
      <c r="B840" s="20"/>
    </row>
    <row r="841">
      <c r="A841" s="20"/>
      <c r="B841" s="20"/>
    </row>
    <row r="842">
      <c r="A842" s="20"/>
      <c r="B842" s="20"/>
    </row>
    <row r="843">
      <c r="A843" s="20"/>
      <c r="B843" s="20"/>
    </row>
    <row r="844">
      <c r="A844" s="20"/>
      <c r="B844" s="20"/>
    </row>
    <row r="845">
      <c r="A845" s="20"/>
      <c r="B845" s="20"/>
    </row>
    <row r="846">
      <c r="A846" s="20"/>
      <c r="B846" s="20"/>
    </row>
    <row r="847">
      <c r="A847" s="20"/>
      <c r="B847" s="20"/>
    </row>
    <row r="848">
      <c r="A848" s="20"/>
      <c r="B848" s="20"/>
    </row>
    <row r="849">
      <c r="A849" s="20"/>
      <c r="B849" s="20"/>
    </row>
    <row r="850">
      <c r="A850" s="20"/>
      <c r="B850" s="20"/>
    </row>
    <row r="851">
      <c r="A851" s="20"/>
      <c r="B851" s="20"/>
    </row>
    <row r="852">
      <c r="A852" s="20"/>
      <c r="B852" s="20"/>
    </row>
    <row r="853">
      <c r="A853" s="20"/>
      <c r="B853" s="20"/>
    </row>
    <row r="854">
      <c r="A854" s="20"/>
      <c r="B854" s="20"/>
    </row>
    <row r="855">
      <c r="A855" s="20"/>
      <c r="B855" s="20"/>
    </row>
    <row r="856">
      <c r="A856" s="20"/>
      <c r="B856" s="20"/>
    </row>
    <row r="857">
      <c r="A857" s="20"/>
      <c r="B857" s="20"/>
    </row>
    <row r="858">
      <c r="A858" s="20"/>
      <c r="B858" s="20"/>
    </row>
    <row r="859">
      <c r="A859" s="20"/>
      <c r="B859" s="20"/>
    </row>
    <row r="860">
      <c r="A860" s="20"/>
      <c r="B860" s="20"/>
    </row>
    <row r="861">
      <c r="A861" s="20"/>
      <c r="B861" s="20"/>
    </row>
    <row r="862">
      <c r="A862" s="20"/>
      <c r="B862" s="20"/>
    </row>
    <row r="863">
      <c r="A863" s="20"/>
      <c r="B863" s="20"/>
    </row>
    <row r="864">
      <c r="A864" s="20"/>
      <c r="B864" s="20"/>
    </row>
    <row r="865">
      <c r="A865" s="20"/>
      <c r="B865" s="20"/>
    </row>
    <row r="866">
      <c r="A866" s="20"/>
      <c r="B866" s="20"/>
    </row>
    <row r="867">
      <c r="A867" s="20"/>
      <c r="B867" s="20"/>
    </row>
    <row r="868">
      <c r="A868" s="20"/>
      <c r="B868" s="20"/>
    </row>
    <row r="869">
      <c r="A869" s="20"/>
      <c r="B869" s="20"/>
    </row>
    <row r="870">
      <c r="A870" s="20"/>
      <c r="B870" s="20"/>
    </row>
    <row r="871">
      <c r="A871" s="20"/>
      <c r="B871" s="20"/>
    </row>
    <row r="872">
      <c r="A872" s="20"/>
      <c r="B872" s="20"/>
    </row>
    <row r="873">
      <c r="A873" s="20"/>
      <c r="B873" s="20"/>
    </row>
    <row r="874">
      <c r="A874" s="20"/>
      <c r="B874" s="20"/>
    </row>
    <row r="875">
      <c r="A875" s="20"/>
      <c r="B875" s="20"/>
    </row>
    <row r="876">
      <c r="A876" s="20"/>
      <c r="B876" s="20"/>
    </row>
    <row r="877">
      <c r="A877" s="20"/>
      <c r="B877" s="20"/>
    </row>
    <row r="878">
      <c r="A878" s="20"/>
      <c r="B878" s="20"/>
    </row>
    <row r="879">
      <c r="A879" s="20"/>
      <c r="B879" s="20"/>
    </row>
    <row r="880">
      <c r="A880" s="20"/>
      <c r="B880" s="20"/>
    </row>
    <row r="881">
      <c r="A881" s="20"/>
      <c r="B881" s="20"/>
    </row>
    <row r="882">
      <c r="A882" s="20"/>
      <c r="B882" s="20"/>
    </row>
    <row r="883">
      <c r="A883" s="20"/>
      <c r="B883" s="20"/>
    </row>
    <row r="884">
      <c r="A884" s="20"/>
      <c r="B884" s="20"/>
    </row>
    <row r="885">
      <c r="A885" s="20"/>
      <c r="B885" s="20"/>
    </row>
    <row r="886">
      <c r="A886" s="20"/>
      <c r="B886" s="20"/>
    </row>
    <row r="887">
      <c r="A887" s="20"/>
      <c r="B887" s="20"/>
    </row>
    <row r="888">
      <c r="A888" s="20"/>
      <c r="B888" s="20"/>
    </row>
    <row r="889">
      <c r="A889" s="20"/>
      <c r="B889" s="20"/>
    </row>
    <row r="890">
      <c r="A890" s="20"/>
      <c r="B890" s="20"/>
    </row>
    <row r="891">
      <c r="A891" s="20"/>
      <c r="B891" s="20"/>
    </row>
    <row r="892">
      <c r="A892" s="20"/>
      <c r="B892" s="20"/>
    </row>
    <row r="893">
      <c r="A893" s="20"/>
      <c r="B893" s="20"/>
    </row>
    <row r="894">
      <c r="A894" s="20"/>
      <c r="B894" s="20"/>
    </row>
    <row r="895">
      <c r="A895" s="20"/>
      <c r="B895" s="20"/>
    </row>
    <row r="896">
      <c r="A896" s="20"/>
      <c r="B896" s="20"/>
    </row>
    <row r="897">
      <c r="A897" s="20"/>
      <c r="B897" s="20"/>
    </row>
    <row r="898">
      <c r="A898" s="20"/>
      <c r="B898" s="20"/>
    </row>
    <row r="899">
      <c r="A899" s="20"/>
      <c r="B899" s="20"/>
    </row>
    <row r="900">
      <c r="A900" s="20"/>
      <c r="B900" s="20"/>
    </row>
    <row r="901">
      <c r="A901" s="20"/>
      <c r="B901" s="20"/>
    </row>
    <row r="902">
      <c r="A902" s="20"/>
      <c r="B902" s="20"/>
    </row>
    <row r="903">
      <c r="A903" s="20"/>
      <c r="B903" s="20"/>
    </row>
    <row r="904">
      <c r="A904" s="20"/>
      <c r="B904" s="20"/>
    </row>
    <row r="905">
      <c r="A905" s="20"/>
      <c r="B905" s="20"/>
    </row>
    <row r="906">
      <c r="A906" s="20"/>
      <c r="B906" s="20"/>
    </row>
    <row r="907">
      <c r="A907" s="20"/>
      <c r="B907" s="20"/>
    </row>
    <row r="908">
      <c r="A908" s="20"/>
      <c r="B908" s="20"/>
    </row>
    <row r="909">
      <c r="A909" s="20"/>
      <c r="B909" s="20"/>
    </row>
    <row r="910">
      <c r="A910" s="20"/>
      <c r="B910" s="20"/>
    </row>
    <row r="911">
      <c r="A911" s="20"/>
      <c r="B911" s="20"/>
    </row>
    <row r="912">
      <c r="A912" s="20"/>
      <c r="B912" s="20"/>
    </row>
    <row r="913">
      <c r="A913" s="20"/>
      <c r="B913" s="20"/>
    </row>
    <row r="914">
      <c r="A914" s="20"/>
      <c r="B914" s="20"/>
    </row>
    <row r="915">
      <c r="A915" s="20"/>
      <c r="B915" s="20"/>
    </row>
    <row r="916">
      <c r="A916" s="20"/>
      <c r="B916" s="20"/>
    </row>
    <row r="917">
      <c r="A917" s="20"/>
      <c r="B917" s="20"/>
    </row>
    <row r="918">
      <c r="A918" s="20"/>
      <c r="B918" s="20"/>
    </row>
    <row r="919">
      <c r="A919" s="20"/>
      <c r="B919" s="20"/>
    </row>
    <row r="920">
      <c r="A920" s="20"/>
      <c r="B920" s="20"/>
    </row>
    <row r="921">
      <c r="A921" s="20"/>
      <c r="B921" s="20"/>
    </row>
    <row r="922">
      <c r="A922" s="20"/>
      <c r="B922" s="20"/>
    </row>
    <row r="923">
      <c r="A923" s="20"/>
      <c r="B923" s="20"/>
    </row>
    <row r="924">
      <c r="A924" s="20"/>
      <c r="B924" s="20"/>
    </row>
    <row r="925">
      <c r="A925" s="20"/>
      <c r="B925" s="20"/>
    </row>
    <row r="926">
      <c r="A926" s="20"/>
      <c r="B926" s="20"/>
    </row>
    <row r="927">
      <c r="A927" s="20"/>
      <c r="B927" s="20"/>
    </row>
    <row r="928">
      <c r="A928" s="20"/>
      <c r="B928" s="20"/>
    </row>
    <row r="929">
      <c r="A929" s="20"/>
      <c r="B929" s="20"/>
    </row>
    <row r="930">
      <c r="A930" s="20"/>
      <c r="B930" s="20"/>
    </row>
    <row r="931">
      <c r="A931" s="20"/>
      <c r="B931" s="20"/>
    </row>
    <row r="932">
      <c r="A932" s="20"/>
      <c r="B932" s="20"/>
    </row>
    <row r="933">
      <c r="A933" s="20"/>
      <c r="B933" s="20"/>
    </row>
    <row r="934">
      <c r="A934" s="20"/>
      <c r="B934" s="20"/>
    </row>
    <row r="935">
      <c r="A935" s="20"/>
      <c r="B935" s="20"/>
    </row>
    <row r="936">
      <c r="A936" s="20"/>
      <c r="B936" s="20"/>
    </row>
    <row r="937">
      <c r="A937" s="20"/>
      <c r="B937" s="20"/>
    </row>
    <row r="938">
      <c r="A938" s="20"/>
      <c r="B938" s="20"/>
    </row>
    <row r="939">
      <c r="A939" s="20"/>
      <c r="B939" s="20"/>
    </row>
    <row r="940">
      <c r="A940" s="20"/>
      <c r="B940" s="20"/>
    </row>
    <row r="941">
      <c r="A941" s="20"/>
      <c r="B941" s="20"/>
    </row>
    <row r="942">
      <c r="A942" s="20"/>
      <c r="B942" s="20"/>
    </row>
    <row r="943">
      <c r="A943" s="20"/>
      <c r="B943" s="20"/>
    </row>
    <row r="944">
      <c r="A944" s="20"/>
      <c r="B944" s="20"/>
    </row>
    <row r="945">
      <c r="A945" s="20"/>
      <c r="B945" s="20"/>
    </row>
    <row r="946">
      <c r="A946" s="20"/>
      <c r="B946" s="20"/>
    </row>
    <row r="947">
      <c r="A947" s="20"/>
      <c r="B947" s="20"/>
    </row>
    <row r="948">
      <c r="A948" s="20"/>
      <c r="B948" s="20"/>
    </row>
    <row r="949">
      <c r="A949" s="20"/>
      <c r="B949" s="20"/>
    </row>
    <row r="950">
      <c r="A950" s="20"/>
      <c r="B950" s="20"/>
    </row>
    <row r="951">
      <c r="A951" s="20"/>
      <c r="B951" s="20"/>
    </row>
    <row r="952">
      <c r="A952" s="20"/>
      <c r="B952" s="20"/>
    </row>
    <row r="953">
      <c r="A953" s="20"/>
      <c r="B953" s="20"/>
    </row>
    <row r="954">
      <c r="A954" s="20"/>
      <c r="B954" s="20"/>
    </row>
    <row r="955">
      <c r="A955" s="20"/>
      <c r="B955" s="20"/>
    </row>
    <row r="956">
      <c r="A956" s="20"/>
      <c r="B956" s="20"/>
    </row>
    <row r="957">
      <c r="A957" s="20"/>
      <c r="B957" s="20"/>
    </row>
    <row r="958">
      <c r="A958" s="20"/>
      <c r="B958" s="20"/>
    </row>
    <row r="959">
      <c r="A959" s="20"/>
      <c r="B959" s="20"/>
    </row>
    <row r="960">
      <c r="A960" s="20"/>
      <c r="B960" s="20"/>
    </row>
    <row r="961">
      <c r="A961" s="20"/>
      <c r="B961" s="20"/>
    </row>
    <row r="962">
      <c r="A962" s="20"/>
      <c r="B962" s="20"/>
    </row>
    <row r="963">
      <c r="A963" s="20"/>
      <c r="B963" s="20"/>
    </row>
    <row r="964">
      <c r="A964" s="20"/>
      <c r="B964" s="20"/>
    </row>
    <row r="965">
      <c r="A965" s="20"/>
      <c r="B965" s="20"/>
    </row>
    <row r="966">
      <c r="A966" s="20"/>
      <c r="B966" s="20"/>
    </row>
    <row r="967">
      <c r="A967" s="20"/>
      <c r="B967" s="20"/>
    </row>
    <row r="968">
      <c r="A968" s="20"/>
      <c r="B968" s="20"/>
    </row>
    <row r="969">
      <c r="A969" s="20"/>
      <c r="B969" s="20"/>
    </row>
    <row r="970">
      <c r="A970" s="20"/>
      <c r="B970" s="20"/>
    </row>
    <row r="971">
      <c r="A971" s="20"/>
      <c r="B971" s="20"/>
    </row>
    <row r="972">
      <c r="A972" s="20"/>
      <c r="B972" s="20"/>
    </row>
    <row r="973">
      <c r="A973" s="20"/>
      <c r="B973" s="20"/>
    </row>
    <row r="974">
      <c r="A974" s="20"/>
      <c r="B974" s="20"/>
    </row>
    <row r="975">
      <c r="A975" s="20"/>
      <c r="B975" s="20"/>
    </row>
    <row r="976">
      <c r="A976" s="20"/>
      <c r="B976" s="20"/>
    </row>
    <row r="977">
      <c r="A977" s="20"/>
      <c r="B977" s="20"/>
    </row>
    <row r="978">
      <c r="A978" s="20"/>
      <c r="B978" s="20"/>
    </row>
    <row r="979">
      <c r="A979" s="20"/>
      <c r="B979" s="20"/>
    </row>
    <row r="980">
      <c r="A980" s="20"/>
      <c r="B980" s="20"/>
    </row>
    <row r="981">
      <c r="A981" s="20"/>
      <c r="B981" s="20"/>
    </row>
    <row r="982">
      <c r="A982" s="20"/>
      <c r="B982" s="20"/>
    </row>
    <row r="983">
      <c r="A983" s="20"/>
      <c r="B983" s="20"/>
    </row>
    <row r="984">
      <c r="A984" s="20"/>
      <c r="B984" s="20"/>
    </row>
    <row r="985">
      <c r="A985" s="20"/>
      <c r="B985" s="20"/>
    </row>
    <row r="986">
      <c r="A986" s="20"/>
      <c r="B986" s="20"/>
    </row>
    <row r="987">
      <c r="A987" s="20"/>
      <c r="B987" s="20"/>
    </row>
    <row r="988">
      <c r="A988" s="20"/>
      <c r="B988" s="20"/>
    </row>
    <row r="989">
      <c r="A989" s="20"/>
      <c r="B989" s="20"/>
    </row>
    <row r="990">
      <c r="A990" s="20"/>
      <c r="B990" s="20"/>
    </row>
    <row r="991">
      <c r="A991" s="20"/>
      <c r="B991" s="20"/>
    </row>
    <row r="992">
      <c r="A992" s="20"/>
      <c r="B992" s="20"/>
    </row>
    <row r="993">
      <c r="A993" s="20"/>
      <c r="B993" s="20"/>
    </row>
    <row r="994">
      <c r="A994" s="20"/>
      <c r="B994" s="20"/>
    </row>
    <row r="995">
      <c r="A995" s="20"/>
      <c r="B995" s="20"/>
    </row>
    <row r="996">
      <c r="A996" s="20"/>
      <c r="B996" s="20"/>
    </row>
    <row r="997">
      <c r="A997" s="20"/>
      <c r="B997" s="20"/>
    </row>
    <row r="998">
      <c r="A998" s="20"/>
      <c r="B998" s="20"/>
    </row>
    <row r="999">
      <c r="A999" s="20"/>
      <c r="B999" s="20"/>
    </row>
  </sheetData>
  <drawing r:id="rId1"/>
</worksheet>
</file>