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ESTOR_CONTRATACION\Downloads\"/>
    </mc:Choice>
  </mc:AlternateContent>
  <xr:revisionPtr revIDLastSave="0" documentId="8_{CAC2D000-FB17-45F1-9D03-4D6C29FC15F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ASIGNACIONES" sheetId="1" r:id="rId1"/>
    <sheet name="LOCKERES" sheetId="2" r:id="rId2"/>
    <sheet name="SECA BOTAS" sheetId="3" r:id="rId3"/>
    <sheet name="RETIROS" sheetId="4" r:id="rId4"/>
    <sheet name="PERSONAL" sheetId="5" r:id="rId5"/>
    <sheet name="OPERARIOS" sheetId="6" r:id="rId6"/>
    <sheet name="DOTACIONES" sheetId="7" r:id="rId7"/>
    <sheet name="DOTACIONES DISPONIBLES" sheetId="8" r:id="rId8"/>
    <sheet name="AREAS" sheetId="9" r:id="rId9"/>
    <sheet name="AREAS DE PROCESO" sheetId="10" r:id="rId10"/>
    <sheet name="TALLAS" sheetId="11" state="hidden" r:id="rId11"/>
    <sheet name="AREAS DE LOCKER" sheetId="12" r:id="rId12"/>
    <sheet name="LOCKER DISPONIBLES" sheetId="13" r:id="rId13"/>
    <sheet name="SECA BOTAS DISPONIBLES" sheetId="14" r:id="rId14"/>
    <sheet name="PERSONAL PRESUPUESTADO" sheetId="15" r:id="rId15"/>
  </sheets>
  <definedNames>
    <definedName name="_xlnm._FilterDatabase" localSheetId="0" hidden="1">ASIGNACIONES!$A$1:$M$1</definedName>
    <definedName name="_xlnm._FilterDatabase" localSheetId="6" hidden="1">DOTACIONES!$A$1:$E$293</definedName>
    <definedName name="_xlnm._FilterDatabase" localSheetId="7" hidden="1">'DOTACIONES DISPONIBLES'!$A$1:$C$1000</definedName>
    <definedName name="_xlnm._FilterDatabase" localSheetId="1" hidden="1">LOCKERES!$A$1:$E$230</definedName>
    <definedName name="_xlnm._FilterDatabase" localSheetId="4" hidden="1">PERSONAL!$A$1:$H$862</definedName>
    <definedName name="_xlnm._FilterDatabase" localSheetId="3" hidden="1">RETIROS!$A$1:$M$977</definedName>
    <definedName name="_xlnm._FilterDatabase" localSheetId="2" hidden="1">'SECA BOTAS'!$A$1:$D$231</definedName>
    <definedName name="Area">PERSONAL!$L$3:$L$16</definedName>
    <definedName name="AreadeLockers">#REF!</definedName>
    <definedName name="DOTACION">#REF!</definedName>
    <definedName name="LOCKERT" localSheetId="2">#REF!</definedName>
    <definedName name="LOCKERT">#REF!</definedName>
    <definedName name="PERSONAL">PERSONAL!$J$3:$J$79</definedName>
    <definedName name="Talla">PERSONAL!$M$3:$M$9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4" l="1"/>
  <c r="A18" i="14"/>
  <c r="C17" i="14"/>
  <c r="A17" i="14"/>
  <c r="C16" i="14"/>
  <c r="A16" i="14"/>
  <c r="C15" i="14"/>
  <c r="A15" i="14"/>
  <c r="C14" i="14"/>
  <c r="A14" i="14"/>
  <c r="C13" i="14"/>
  <c r="A13" i="14"/>
  <c r="C12" i="14"/>
  <c r="A12" i="14"/>
  <c r="C11" i="14"/>
  <c r="A11" i="14"/>
  <c r="C10" i="14"/>
  <c r="A10" i="14"/>
  <c r="C9" i="14"/>
  <c r="A9" i="14"/>
  <c r="C8" i="14"/>
  <c r="A8" i="14"/>
  <c r="C7" i="14"/>
  <c r="A7" i="14"/>
  <c r="C6" i="14"/>
  <c r="A6" i="14"/>
  <c r="C5" i="14"/>
  <c r="A5" i="14"/>
  <c r="C4" i="14"/>
  <c r="A4" i="14"/>
  <c r="C3" i="14"/>
  <c r="A3" i="14"/>
  <c r="C2" i="14"/>
  <c r="B2" i="14"/>
  <c r="A2" i="14"/>
  <c r="C44" i="13"/>
  <c r="B44" i="13"/>
  <c r="A44" i="13"/>
  <c r="C43" i="13"/>
  <c r="B43" i="13"/>
  <c r="A43" i="13"/>
  <c r="C42" i="13"/>
  <c r="B42" i="13"/>
  <c r="A42" i="13"/>
  <c r="C41" i="13"/>
  <c r="B41" i="13"/>
  <c r="A41" i="13"/>
  <c r="C40" i="13"/>
  <c r="B40" i="13"/>
  <c r="A40" i="13"/>
  <c r="C39" i="13"/>
  <c r="B39" i="13"/>
  <c r="A39" i="13"/>
  <c r="C38" i="13"/>
  <c r="B38" i="13"/>
  <c r="A38" i="13"/>
  <c r="C37" i="13"/>
  <c r="B37" i="13"/>
  <c r="A37" i="13"/>
  <c r="C36" i="13"/>
  <c r="B36" i="13"/>
  <c r="A36" i="13"/>
  <c r="C35" i="13"/>
  <c r="B35" i="13"/>
  <c r="A35" i="13"/>
  <c r="C34" i="13"/>
  <c r="B34" i="13"/>
  <c r="A34" i="13"/>
  <c r="C33" i="13"/>
  <c r="B33" i="13"/>
  <c r="A33" i="13"/>
  <c r="C32" i="13"/>
  <c r="B32" i="13"/>
  <c r="A32" i="13"/>
  <c r="C31" i="13"/>
  <c r="B31" i="13"/>
  <c r="A31" i="13"/>
  <c r="C30" i="13"/>
  <c r="B30" i="13"/>
  <c r="A30" i="13"/>
  <c r="C29" i="13"/>
  <c r="B29" i="13"/>
  <c r="A29" i="13"/>
  <c r="C28" i="13"/>
  <c r="B28" i="13"/>
  <c r="A28" i="13"/>
  <c r="C27" i="13"/>
  <c r="B27" i="13"/>
  <c r="A27" i="13"/>
  <c r="C26" i="13"/>
  <c r="B26" i="13"/>
  <c r="A26" i="13"/>
  <c r="C25" i="13"/>
  <c r="B25" i="13"/>
  <c r="A25" i="13"/>
  <c r="C24" i="13"/>
  <c r="B24" i="13"/>
  <c r="A24" i="13"/>
  <c r="C23" i="13"/>
  <c r="B23" i="13"/>
  <c r="A23" i="13"/>
  <c r="C22" i="13"/>
  <c r="B22" i="13"/>
  <c r="A22" i="13"/>
  <c r="C21" i="13"/>
  <c r="B21" i="13"/>
  <c r="A21" i="13"/>
  <c r="C20" i="13"/>
  <c r="B20" i="13"/>
  <c r="A20" i="13"/>
  <c r="C19" i="13"/>
  <c r="B19" i="13"/>
  <c r="A19" i="13"/>
  <c r="C18" i="13"/>
  <c r="B18" i="13"/>
  <c r="A18" i="13"/>
  <c r="C17" i="13"/>
  <c r="B17" i="13"/>
  <c r="A17" i="13"/>
  <c r="C16" i="13"/>
  <c r="B16" i="13"/>
  <c r="A16" i="13"/>
  <c r="C15" i="13"/>
  <c r="B15" i="13"/>
  <c r="A15" i="13"/>
  <c r="C14" i="13"/>
  <c r="B14" i="13"/>
  <c r="A14" i="13"/>
  <c r="C13" i="13"/>
  <c r="B13" i="13"/>
  <c r="A13" i="13"/>
  <c r="C12" i="13"/>
  <c r="B12" i="13"/>
  <c r="A12" i="13"/>
  <c r="C11" i="13"/>
  <c r="B11" i="13"/>
  <c r="A11" i="13"/>
  <c r="C10" i="13"/>
  <c r="B10" i="13"/>
  <c r="A10" i="13"/>
  <c r="C9" i="13"/>
  <c r="B9" i="13"/>
  <c r="A9" i="13"/>
  <c r="C8" i="13"/>
  <c r="B8" i="13"/>
  <c r="A8" i="13"/>
  <c r="C7" i="13"/>
  <c r="B7" i="13"/>
  <c r="A7" i="13"/>
  <c r="C6" i="13"/>
  <c r="B6" i="13"/>
  <c r="A6" i="13"/>
  <c r="C5" i="13"/>
  <c r="B5" i="13"/>
  <c r="A5" i="13"/>
  <c r="C4" i="13"/>
  <c r="B4" i="13"/>
  <c r="A4" i="13"/>
  <c r="C3" i="13"/>
  <c r="B3" i="13"/>
  <c r="A3" i="13"/>
  <c r="C2" i="13"/>
  <c r="B2" i="13"/>
  <c r="A2" i="13"/>
  <c r="C69" i="8"/>
  <c r="B69" i="8"/>
  <c r="A69" i="8"/>
  <c r="C68" i="8"/>
  <c r="B68" i="8"/>
  <c r="A68" i="8"/>
  <c r="C67" i="8"/>
  <c r="B67" i="8"/>
  <c r="A67" i="8"/>
  <c r="C66" i="8"/>
  <c r="B66" i="8"/>
  <c r="A66" i="8"/>
  <c r="C65" i="8"/>
  <c r="B65" i="8"/>
  <c r="A65" i="8"/>
  <c r="C64" i="8"/>
  <c r="B64" i="8"/>
  <c r="A64" i="8"/>
  <c r="C63" i="8"/>
  <c r="B63" i="8"/>
  <c r="A63" i="8"/>
  <c r="C62" i="8"/>
  <c r="B62" i="8"/>
  <c r="A62" i="8"/>
  <c r="C61" i="8"/>
  <c r="B61" i="8"/>
  <c r="A61" i="8"/>
  <c r="C60" i="8"/>
  <c r="B60" i="8"/>
  <c r="A60" i="8"/>
  <c r="C59" i="8"/>
  <c r="B59" i="8"/>
  <c r="A59" i="8"/>
  <c r="C58" i="8"/>
  <c r="B58" i="8"/>
  <c r="A58" i="8"/>
  <c r="C57" i="8"/>
  <c r="B57" i="8"/>
  <c r="A57" i="8"/>
  <c r="C56" i="8"/>
  <c r="B56" i="8"/>
  <c r="A56" i="8"/>
  <c r="C55" i="8"/>
  <c r="B55" i="8"/>
  <c r="A55" i="8"/>
  <c r="C54" i="8"/>
  <c r="B54" i="8"/>
  <c r="A54" i="8"/>
  <c r="C53" i="8"/>
  <c r="B53" i="8"/>
  <c r="A53" i="8"/>
  <c r="C52" i="8"/>
  <c r="B52" i="8"/>
  <c r="A52" i="8"/>
  <c r="C51" i="8"/>
  <c r="B51" i="8"/>
  <c r="A51" i="8"/>
  <c r="C50" i="8"/>
  <c r="B50" i="8"/>
  <c r="A50" i="8"/>
  <c r="C49" i="8"/>
  <c r="B49" i="8"/>
  <c r="A49" i="8"/>
  <c r="C48" i="8"/>
  <c r="B48" i="8"/>
  <c r="A48" i="8"/>
  <c r="C47" i="8"/>
  <c r="B47" i="8"/>
  <c r="A47" i="8"/>
  <c r="C46" i="8"/>
  <c r="B46" i="8"/>
  <c r="A46" i="8"/>
  <c r="C45" i="8"/>
  <c r="B45" i="8"/>
  <c r="A45" i="8"/>
  <c r="C44" i="8"/>
  <c r="B44" i="8"/>
  <c r="A44" i="8"/>
  <c r="C43" i="8"/>
  <c r="B43" i="8"/>
  <c r="A43" i="8"/>
  <c r="C42" i="8"/>
  <c r="B42" i="8"/>
  <c r="A42" i="8"/>
  <c r="C41" i="8"/>
  <c r="B41" i="8"/>
  <c r="A41" i="8"/>
  <c r="C40" i="8"/>
  <c r="B40" i="8"/>
  <c r="A40" i="8"/>
  <c r="C39" i="8"/>
  <c r="B39" i="8"/>
  <c r="A39" i="8"/>
  <c r="C38" i="8"/>
  <c r="B38" i="8"/>
  <c r="A38" i="8"/>
  <c r="C37" i="8"/>
  <c r="B37" i="8"/>
  <c r="A37" i="8"/>
  <c r="C36" i="8"/>
  <c r="B36" i="8"/>
  <c r="A36" i="8"/>
  <c r="C35" i="8"/>
  <c r="B35" i="8"/>
  <c r="A35" i="8"/>
  <c r="C34" i="8"/>
  <c r="B34" i="8"/>
  <c r="A34" i="8"/>
  <c r="C33" i="8"/>
  <c r="B33" i="8"/>
  <c r="A33" i="8"/>
  <c r="C32" i="8"/>
  <c r="B32" i="8"/>
  <c r="A32" i="8"/>
  <c r="C31" i="8"/>
  <c r="B31" i="8"/>
  <c r="A31" i="8"/>
  <c r="C30" i="8"/>
  <c r="B30" i="8"/>
  <c r="A30" i="8"/>
  <c r="C29" i="8"/>
  <c r="B29" i="8"/>
  <c r="A29" i="8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C18" i="8"/>
  <c r="B18" i="8"/>
  <c r="A18" i="8"/>
  <c r="C17" i="8"/>
  <c r="B17" i="8"/>
  <c r="A17" i="8"/>
  <c r="C16" i="8"/>
  <c r="B16" i="8"/>
  <c r="A16" i="8"/>
  <c r="C15" i="8"/>
  <c r="B15" i="8"/>
  <c r="A15" i="8"/>
  <c r="C14" i="8"/>
  <c r="B14" i="8"/>
  <c r="A14" i="8"/>
  <c r="C13" i="8"/>
  <c r="B13" i="8"/>
  <c r="A13" i="8"/>
  <c r="C12" i="8"/>
  <c r="B12" i="8"/>
  <c r="A12" i="8"/>
  <c r="C11" i="8"/>
  <c r="B11" i="8"/>
  <c r="A11" i="8"/>
  <c r="C10" i="8"/>
  <c r="B10" i="8"/>
  <c r="A10" i="8"/>
  <c r="C9" i="8"/>
  <c r="B9" i="8"/>
  <c r="A9" i="8"/>
  <c r="C8" i="8"/>
  <c r="B8" i="8"/>
  <c r="A8" i="8"/>
  <c r="C7" i="8"/>
  <c r="B7" i="8"/>
  <c r="A7" i="8"/>
  <c r="C6" i="8"/>
  <c r="B6" i="8"/>
  <c r="A6" i="8"/>
  <c r="C5" i="8"/>
  <c r="B5" i="8"/>
  <c r="A5" i="8"/>
  <c r="C4" i="8"/>
  <c r="B4" i="8"/>
  <c r="A4" i="8"/>
  <c r="C3" i="8"/>
  <c r="B3" i="8"/>
  <c r="A3" i="8"/>
  <c r="C2" i="8"/>
  <c r="B2" i="8"/>
  <c r="A2" i="8"/>
  <c r="E948" i="7"/>
  <c r="E947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B2" i="6"/>
  <c r="A2" i="6"/>
  <c r="H276" i="5"/>
  <c r="H275" i="5"/>
  <c r="H274" i="5"/>
  <c r="H268" i="5"/>
  <c r="H265" i="5"/>
  <c r="H213" i="5"/>
  <c r="H190" i="5"/>
  <c r="H132" i="5"/>
  <c r="H130" i="5"/>
  <c r="H51" i="5"/>
  <c r="H32" i="5"/>
  <c r="H2" i="5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0" i="3"/>
  <c r="C189" i="3"/>
  <c r="C188" i="3"/>
  <c r="C183" i="3"/>
  <c r="C182" i="3"/>
  <c r="C179" i="3"/>
  <c r="C172" i="3"/>
  <c r="C158" i="3"/>
  <c r="C143" i="3"/>
  <c r="C94" i="3"/>
  <c r="C56" i="3"/>
  <c r="C55" i="3"/>
  <c r="C40" i="3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93" i="2"/>
  <c r="D92" i="2"/>
  <c r="D91" i="2"/>
  <c r="D90" i="2"/>
  <c r="D89" i="2"/>
  <c r="M2" i="1" a="1"/>
  <c r="K2" i="1" a="1"/>
  <c r="J2" i="1" a="1"/>
  <c r="I2" i="1" a="1"/>
  <c r="H2" i="1" a="1"/>
  <c r="F2" i="1" a="1"/>
  <c r="M864" i="1" l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2" i="1"/>
  <c r="M115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C153" i="3" s="1"/>
  <c r="K244" i="1"/>
  <c r="C170" i="3" s="1"/>
  <c r="K243" i="1"/>
  <c r="C147" i="3" s="1"/>
  <c r="K242" i="1"/>
  <c r="C163" i="3" s="1"/>
  <c r="K241" i="1"/>
  <c r="C48" i="3" s="1"/>
  <c r="K240" i="1"/>
  <c r="C43" i="3" s="1"/>
  <c r="K239" i="1"/>
  <c r="C5" i="3" s="1"/>
  <c r="K238" i="1"/>
  <c r="C95" i="3" s="1"/>
  <c r="K237" i="1"/>
  <c r="C90" i="3" s="1"/>
  <c r="K236" i="1"/>
  <c r="K235" i="1"/>
  <c r="C142" i="3" s="1"/>
  <c r="K234" i="1"/>
  <c r="C53" i="3" s="1"/>
  <c r="K233" i="1"/>
  <c r="C31" i="3" s="1"/>
  <c r="K232" i="1"/>
  <c r="C23" i="3" s="1"/>
  <c r="K231" i="1"/>
  <c r="C71" i="3" s="1"/>
  <c r="K230" i="1"/>
  <c r="C62" i="3" s="1"/>
  <c r="K229" i="1"/>
  <c r="C120" i="3" s="1"/>
  <c r="K228" i="1"/>
  <c r="C136" i="3" s="1"/>
  <c r="K227" i="1"/>
  <c r="C169" i="3" s="1"/>
  <c r="K226" i="1"/>
  <c r="K225" i="1"/>
  <c r="C125" i="3" s="1"/>
  <c r="K224" i="1"/>
  <c r="C118" i="3" s="1"/>
  <c r="K223" i="1"/>
  <c r="K222" i="1"/>
  <c r="K221" i="1"/>
  <c r="K220" i="1"/>
  <c r="C57" i="3" s="1"/>
  <c r="K219" i="1"/>
  <c r="C186" i="3" s="1"/>
  <c r="K218" i="1"/>
  <c r="K217" i="1"/>
  <c r="C15" i="3" s="1"/>
  <c r="K216" i="1"/>
  <c r="C11" i="3" s="1"/>
  <c r="K215" i="1"/>
  <c r="K214" i="1"/>
  <c r="C110" i="3" s="1"/>
  <c r="K213" i="1"/>
  <c r="C72" i="3" s="1"/>
  <c r="K212" i="1"/>
  <c r="C107" i="3" s="1"/>
  <c r="K211" i="1"/>
  <c r="K210" i="1"/>
  <c r="K209" i="1"/>
  <c r="C50" i="3" s="1"/>
  <c r="K208" i="1"/>
  <c r="C185" i="3" s="1"/>
  <c r="K207" i="1"/>
  <c r="C14" i="3" s="1"/>
  <c r="K206" i="1"/>
  <c r="C49" i="3" s="1"/>
  <c r="K205" i="1"/>
  <c r="K204" i="1"/>
  <c r="C187" i="3" s="1"/>
  <c r="K203" i="1"/>
  <c r="C84" i="3" s="1"/>
  <c r="K202" i="1"/>
  <c r="K201" i="1"/>
  <c r="K200" i="1"/>
  <c r="C133" i="3" s="1"/>
  <c r="K199" i="1"/>
  <c r="K198" i="1"/>
  <c r="K197" i="1"/>
  <c r="C181" i="3" s="1"/>
  <c r="K196" i="1"/>
  <c r="C146" i="3" s="1"/>
  <c r="K195" i="1"/>
  <c r="C29" i="3" s="1"/>
  <c r="K194" i="1"/>
  <c r="C102" i="3" s="1"/>
  <c r="K193" i="1"/>
  <c r="K192" i="1"/>
  <c r="K191" i="1"/>
  <c r="K190" i="1"/>
  <c r="C38" i="3" s="1"/>
  <c r="K189" i="1"/>
  <c r="C91" i="3" s="1"/>
  <c r="K188" i="1"/>
  <c r="C88" i="3" s="1"/>
  <c r="K187" i="1"/>
  <c r="K186" i="1"/>
  <c r="K185" i="1"/>
  <c r="K184" i="1"/>
  <c r="C70" i="3" s="1"/>
  <c r="K183" i="1"/>
  <c r="C140" i="3" s="1"/>
  <c r="K182" i="1"/>
  <c r="K181" i="1"/>
  <c r="C65" i="3" s="1"/>
  <c r="K180" i="1"/>
  <c r="K179" i="1"/>
  <c r="C13" i="3" s="1"/>
  <c r="K178" i="1"/>
  <c r="K177" i="1"/>
  <c r="C122" i="3" s="1"/>
  <c r="K176" i="1"/>
  <c r="C104" i="3" s="1"/>
  <c r="K175" i="1"/>
  <c r="K174" i="1"/>
  <c r="C119" i="3" s="1"/>
  <c r="K173" i="1"/>
  <c r="K172" i="1"/>
  <c r="C30" i="3" s="1"/>
  <c r="K171" i="1"/>
  <c r="C35" i="3" s="1"/>
  <c r="K170" i="1"/>
  <c r="C132" i="3" s="1"/>
  <c r="K169" i="1"/>
  <c r="K168" i="1"/>
  <c r="K167" i="1"/>
  <c r="C167" i="3" s="1"/>
  <c r="K166" i="1"/>
  <c r="C54" i="3" s="1"/>
  <c r="K165" i="1"/>
  <c r="C152" i="3" s="1"/>
  <c r="K164" i="1"/>
  <c r="K163" i="1"/>
  <c r="K162" i="1"/>
  <c r="C96" i="3" s="1"/>
  <c r="K161" i="1"/>
  <c r="K160" i="1"/>
  <c r="C121" i="3" s="1"/>
  <c r="K159" i="1"/>
  <c r="C93" i="3" s="1"/>
  <c r="K158" i="1"/>
  <c r="C145" i="3" s="1"/>
  <c r="K157" i="1"/>
  <c r="C105" i="3" s="1"/>
  <c r="K156" i="1"/>
  <c r="C42" i="3" s="1"/>
  <c r="K155" i="1"/>
  <c r="C135" i="3" s="1"/>
  <c r="K154" i="1"/>
  <c r="C103" i="3" s="1"/>
  <c r="K153" i="1"/>
  <c r="C79" i="3" s="1"/>
  <c r="K152" i="1"/>
  <c r="C85" i="3" s="1"/>
  <c r="K151" i="1"/>
  <c r="C19" i="3" s="1"/>
  <c r="K150" i="1"/>
  <c r="C137" i="3" s="1"/>
  <c r="K149" i="1"/>
  <c r="C156" i="3" s="1"/>
  <c r="K148" i="1"/>
  <c r="C157" i="3" s="1"/>
  <c r="K147" i="1"/>
  <c r="C160" i="3" s="1"/>
  <c r="K146" i="1"/>
  <c r="K145" i="1"/>
  <c r="C191" i="3" s="1"/>
  <c r="K144" i="1"/>
  <c r="C155" i="3" s="1"/>
  <c r="K143" i="1"/>
  <c r="C166" i="3" s="1"/>
  <c r="K142" i="1"/>
  <c r="C162" i="3" s="1"/>
  <c r="K141" i="1"/>
  <c r="C63" i="3" s="1"/>
  <c r="K140" i="1"/>
  <c r="C39" i="3" s="1"/>
  <c r="K139" i="1"/>
  <c r="K138" i="1"/>
  <c r="C161" i="3" s="1"/>
  <c r="K137" i="1"/>
  <c r="K136" i="1"/>
  <c r="C114" i="3" s="1"/>
  <c r="K135" i="1"/>
  <c r="C127" i="3" s="1"/>
  <c r="K134" i="1"/>
  <c r="K133" i="1"/>
  <c r="C97" i="3" s="1"/>
  <c r="K132" i="1"/>
  <c r="K131" i="1"/>
  <c r="K130" i="1"/>
  <c r="C165" i="3" s="1"/>
  <c r="K129" i="1"/>
  <c r="C173" i="3" s="1"/>
  <c r="K128" i="1"/>
  <c r="K127" i="1"/>
  <c r="C159" i="3" s="1"/>
  <c r="K126" i="1"/>
  <c r="K2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125" i="1"/>
  <c r="C141" i="3" s="1"/>
  <c r="K124" i="1"/>
  <c r="C44" i="3" s="1"/>
  <c r="K123" i="1"/>
  <c r="K122" i="1"/>
  <c r="C52" i="3" s="1"/>
  <c r="K121" i="1"/>
  <c r="C7" i="3" s="1"/>
  <c r="K120" i="1"/>
  <c r="C36" i="3" s="1"/>
  <c r="K119" i="1"/>
  <c r="K118" i="1"/>
  <c r="C106" i="3" s="1"/>
  <c r="K117" i="1"/>
  <c r="C109" i="3" s="1"/>
  <c r="K116" i="1"/>
  <c r="K115" i="1"/>
  <c r="C130" i="3" s="1"/>
  <c r="K114" i="1"/>
  <c r="C46" i="3" s="1"/>
  <c r="K113" i="1"/>
  <c r="C58" i="3" s="1"/>
  <c r="K112" i="1"/>
  <c r="K111" i="1"/>
  <c r="K110" i="1"/>
  <c r="K109" i="1"/>
  <c r="C9" i="3" s="1"/>
  <c r="K108" i="1"/>
  <c r="C41" i="3" s="1"/>
  <c r="K107" i="1"/>
  <c r="C51" i="3" s="1"/>
  <c r="K106" i="1"/>
  <c r="C92" i="3" s="1"/>
  <c r="K105" i="1"/>
  <c r="C47" i="3" s="1"/>
  <c r="K104" i="1"/>
  <c r="C116" i="3" s="1"/>
  <c r="K103" i="1"/>
  <c r="K102" i="1"/>
  <c r="C108" i="3" s="1"/>
  <c r="K101" i="1"/>
  <c r="C112" i="3" s="1"/>
  <c r="K100" i="1"/>
  <c r="C174" i="3" s="1"/>
  <c r="K99" i="1"/>
  <c r="C131" i="3" s="1"/>
  <c r="K98" i="1"/>
  <c r="C180" i="3" s="1"/>
  <c r="K97" i="1"/>
  <c r="C115" i="3" s="1"/>
  <c r="K96" i="1"/>
  <c r="C25" i="3" s="1"/>
  <c r="K95" i="1"/>
  <c r="C113" i="3" s="1"/>
  <c r="K94" i="1"/>
  <c r="C45" i="3" s="1"/>
  <c r="K93" i="1"/>
  <c r="C111" i="3" s="1"/>
  <c r="K92" i="1"/>
  <c r="C80" i="3" s="1"/>
  <c r="K91" i="1"/>
  <c r="C154" i="3" s="1"/>
  <c r="K90" i="1"/>
  <c r="K89" i="1"/>
  <c r="K88" i="1"/>
  <c r="C151" i="3" s="1"/>
  <c r="K87" i="1"/>
  <c r="K86" i="1"/>
  <c r="C37" i="3" s="1"/>
  <c r="K85" i="1"/>
  <c r="C150" i="3" s="1"/>
  <c r="K84" i="1"/>
  <c r="C178" i="3" s="1"/>
  <c r="K83" i="1"/>
  <c r="K82" i="1"/>
  <c r="K81" i="1"/>
  <c r="C101" i="3" s="1"/>
  <c r="K80" i="1"/>
  <c r="K79" i="1"/>
  <c r="C100" i="3" s="1"/>
  <c r="K78" i="1"/>
  <c r="C99" i="3" s="1"/>
  <c r="K77" i="1"/>
  <c r="K76" i="1"/>
  <c r="C34" i="3" s="1"/>
  <c r="K75" i="1"/>
  <c r="C33" i="3" s="1"/>
  <c r="K74" i="1"/>
  <c r="C148" i="3" s="1"/>
  <c r="K73" i="1"/>
  <c r="C32" i="3" s="1"/>
  <c r="K72" i="1"/>
  <c r="C98" i="3" s="1"/>
  <c r="K71" i="1"/>
  <c r="K70" i="1"/>
  <c r="K69" i="1"/>
  <c r="K68" i="1"/>
  <c r="C177" i="3" s="1"/>
  <c r="K67" i="1"/>
  <c r="C176" i="3" s="1"/>
  <c r="K66" i="1"/>
  <c r="C184" i="3" s="1"/>
  <c r="K65" i="1"/>
  <c r="C28" i="3" s="1"/>
  <c r="K64" i="1"/>
  <c r="C27" i="3" s="1"/>
  <c r="K63" i="1"/>
  <c r="C26" i="3" s="1"/>
  <c r="K62" i="1"/>
  <c r="C175" i="3" s="1"/>
  <c r="K61" i="1"/>
  <c r="K60" i="1"/>
  <c r="K59" i="1"/>
  <c r="C22" i="3" s="1"/>
  <c r="K58" i="1"/>
  <c r="C21" i="3" s="1"/>
  <c r="K57" i="1"/>
  <c r="C20" i="3" s="1"/>
  <c r="K56" i="1"/>
  <c r="C89" i="3" s="1"/>
  <c r="K55" i="1"/>
  <c r="C129" i="3" s="1"/>
  <c r="K54" i="1"/>
  <c r="C144" i="3" s="1"/>
  <c r="K53" i="1"/>
  <c r="C171" i="3" s="1"/>
  <c r="K52" i="1"/>
  <c r="C18" i="3" s="1"/>
  <c r="K51" i="1"/>
  <c r="C128" i="3" s="1"/>
  <c r="K50" i="1"/>
  <c r="C87" i="3" s="1"/>
  <c r="K49" i="1"/>
  <c r="K48" i="1"/>
  <c r="K47" i="1"/>
  <c r="C6" i="3" s="1"/>
  <c r="K46" i="1"/>
  <c r="C168" i="3" s="1"/>
  <c r="K45" i="1"/>
  <c r="C17" i="3" s="1"/>
  <c r="K44" i="1"/>
  <c r="C16" i="3" s="1"/>
  <c r="K43" i="1"/>
  <c r="C134" i="3" s="1"/>
  <c r="K42" i="1"/>
  <c r="C86" i="3" s="1"/>
  <c r="K41" i="1"/>
  <c r="C126" i="3" s="1"/>
  <c r="K40" i="1"/>
  <c r="K39" i="1"/>
  <c r="C83" i="3" s="1"/>
  <c r="K38" i="1"/>
  <c r="C82" i="3" s="1"/>
  <c r="K37" i="1"/>
  <c r="K36" i="1"/>
  <c r="K35" i="1"/>
  <c r="K34" i="1"/>
  <c r="C81" i="3" s="1"/>
  <c r="K33" i="1"/>
  <c r="K32" i="1"/>
  <c r="C78" i="3" s="1"/>
  <c r="K31" i="1"/>
  <c r="C12" i="3" s="1"/>
  <c r="K30" i="1"/>
  <c r="C117" i="3" s="1"/>
  <c r="K29" i="1"/>
  <c r="K28" i="1"/>
  <c r="K27" i="1"/>
  <c r="C138" i="3" s="1"/>
  <c r="K26" i="1"/>
  <c r="C76" i="3" s="1"/>
  <c r="K25" i="1"/>
  <c r="C75" i="3" s="1"/>
  <c r="K24" i="1"/>
  <c r="C74" i="3" s="1"/>
  <c r="K23" i="1"/>
  <c r="C73" i="3" s="1"/>
  <c r="K22" i="1"/>
  <c r="K21" i="1"/>
  <c r="K20" i="1"/>
  <c r="K19" i="1"/>
  <c r="K18" i="1"/>
  <c r="C8" i="3" s="1"/>
  <c r="K17" i="1"/>
  <c r="K16" i="1"/>
  <c r="K15" i="1"/>
  <c r="C4" i="3" s="1"/>
  <c r="K14" i="1"/>
  <c r="K13" i="1"/>
  <c r="C69" i="3" s="1"/>
  <c r="K12" i="1"/>
  <c r="K11" i="1"/>
  <c r="K10" i="1"/>
  <c r="K9" i="1"/>
  <c r="K8" i="1"/>
  <c r="C64" i="3" s="1"/>
  <c r="K7" i="1"/>
  <c r="K6" i="1"/>
  <c r="K5" i="1"/>
  <c r="C60" i="3" s="1"/>
  <c r="K4" i="1"/>
  <c r="K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864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2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366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H114" i="5" s="1"/>
  <c r="I96" i="1"/>
  <c r="H118" i="5" s="1"/>
  <c r="I95" i="1"/>
  <c r="H84" i="5" s="1"/>
  <c r="I94" i="1"/>
  <c r="H7" i="5" s="1"/>
  <c r="I93" i="1"/>
  <c r="H113" i="5" s="1"/>
  <c r="I92" i="1"/>
  <c r="H54" i="5" s="1"/>
  <c r="I91" i="1"/>
  <c r="H107" i="5" s="1"/>
  <c r="I90" i="1"/>
  <c r="I89" i="1"/>
  <c r="H92" i="5" s="1"/>
  <c r="I88" i="1"/>
  <c r="H153" i="5" s="1"/>
  <c r="I87" i="1"/>
  <c r="I86" i="1"/>
  <c r="H86" i="5" s="1"/>
  <c r="I85" i="1"/>
  <c r="H55" i="5" s="1"/>
  <c r="I84" i="1"/>
  <c r="H8" i="5" s="1"/>
  <c r="I83" i="1"/>
  <c r="I82" i="1"/>
  <c r="H101" i="5" s="1"/>
  <c r="I81" i="1"/>
  <c r="H135" i="5" s="1"/>
  <c r="I80" i="1"/>
  <c r="H163" i="5" s="1"/>
  <c r="I79" i="1"/>
  <c r="H3" i="5" s="1"/>
  <c r="I78" i="1"/>
  <c r="H187" i="5" s="1"/>
  <c r="I77" i="1"/>
  <c r="I76" i="1"/>
  <c r="H121" i="5" s="1"/>
  <c r="I75" i="1"/>
  <c r="H144" i="5" s="1"/>
  <c r="I74" i="1"/>
  <c r="H79" i="5" s="1"/>
  <c r="I73" i="1"/>
  <c r="H117" i="5" s="1"/>
  <c r="I72" i="1"/>
  <c r="H164" i="5" s="1"/>
  <c r="I71" i="1"/>
  <c r="I70" i="1"/>
  <c r="I69" i="1"/>
  <c r="I68" i="1"/>
  <c r="H34" i="5" s="1"/>
  <c r="I67" i="1"/>
  <c r="H30" i="5" s="1"/>
  <c r="I66" i="1"/>
  <c r="H29" i="5" s="1"/>
  <c r="I65" i="1"/>
  <c r="H108" i="5" s="1"/>
  <c r="I64" i="1"/>
  <c r="H40" i="5" s="1"/>
  <c r="I63" i="1"/>
  <c r="H11" i="5" s="1"/>
  <c r="I62" i="1"/>
  <c r="H60" i="5" s="1"/>
  <c r="I61" i="1"/>
  <c r="H87" i="5" s="1"/>
  <c r="I60" i="1"/>
  <c r="I59" i="1"/>
  <c r="H58" i="5" s="1"/>
  <c r="I58" i="1"/>
  <c r="H50" i="5" s="1"/>
  <c r="I57" i="1"/>
  <c r="H25" i="5" s="1"/>
  <c r="I56" i="1"/>
  <c r="H119" i="5" s="1"/>
  <c r="I55" i="1"/>
  <c r="H20" i="5" s="1"/>
  <c r="I2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H15" i="5" s="1"/>
  <c r="I27" i="1"/>
  <c r="H17" i="5" s="1"/>
  <c r="I26" i="1"/>
  <c r="H116" i="5" s="1"/>
  <c r="I25" i="1"/>
  <c r="H14" i="5" s="1"/>
  <c r="I24" i="1"/>
  <c r="H133" i="5" s="1"/>
  <c r="I23" i="1"/>
  <c r="H52" i="5" s="1"/>
  <c r="I22" i="1"/>
  <c r="H23" i="5" s="1"/>
  <c r="I21" i="1"/>
  <c r="H112" i="5" s="1"/>
  <c r="I20" i="1"/>
  <c r="I19" i="1"/>
  <c r="H136" i="5" s="1"/>
  <c r="I18" i="1"/>
  <c r="H123" i="5" s="1"/>
  <c r="I17" i="1"/>
  <c r="H21" i="5" s="1"/>
  <c r="I16" i="1"/>
  <c r="I15" i="1"/>
  <c r="H44" i="5" s="1"/>
  <c r="I14" i="1"/>
  <c r="I13" i="1"/>
  <c r="H37" i="5" s="1"/>
  <c r="I12" i="1"/>
  <c r="H93" i="5" s="1"/>
  <c r="I11" i="1"/>
  <c r="H80" i="5" s="1"/>
  <c r="I10" i="1"/>
  <c r="I9" i="1"/>
  <c r="H48" i="5" s="1"/>
  <c r="I8" i="1"/>
  <c r="H76" i="5" s="1"/>
  <c r="I7" i="1"/>
  <c r="H41" i="5" s="1"/>
  <c r="I6" i="1"/>
  <c r="H61" i="5" s="1"/>
  <c r="I5" i="1"/>
  <c r="H126" i="5" s="1"/>
  <c r="I4" i="1"/>
  <c r="H46" i="5" s="1"/>
  <c r="I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2" i="1"/>
  <c r="H642" i="1"/>
  <c r="H864" i="1"/>
  <c r="H863" i="1"/>
  <c r="H862" i="1"/>
  <c r="H861" i="1"/>
  <c r="H860" i="1"/>
  <c r="H3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F864" i="1"/>
  <c r="F863" i="1"/>
  <c r="F862" i="1"/>
  <c r="F861" i="1"/>
  <c r="F860" i="1"/>
  <c r="F859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858" i="1"/>
  <c r="F210" i="1"/>
  <c r="F209" i="1"/>
  <c r="F208" i="1"/>
  <c r="F207" i="1"/>
  <c r="F206" i="1"/>
  <c r="F205" i="1"/>
  <c r="F204" i="1"/>
  <c r="F426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211" i="1"/>
  <c r="D135" i="2" l="1"/>
  <c r="C24" i="3"/>
  <c r="D213" i="2"/>
  <c r="C149" i="3"/>
  <c r="D18" i="2"/>
  <c r="C59" i="3"/>
  <c r="C139" i="3"/>
  <c r="D133" i="2"/>
  <c r="C77" i="3"/>
  <c r="D120" i="2"/>
  <c r="D5" i="2"/>
  <c r="C124" i="3"/>
  <c r="C164" i="3"/>
  <c r="D21" i="2"/>
  <c r="D19" i="2"/>
  <c r="C10" i="3"/>
  <c r="D150" i="2"/>
  <c r="C123" i="3"/>
  <c r="D157" i="2"/>
  <c r="C68" i="3"/>
  <c r="D212" i="2"/>
  <c r="C67" i="3"/>
  <c r="D9" i="2"/>
  <c r="C66" i="3"/>
  <c r="C3" i="3"/>
  <c r="D152" i="2"/>
  <c r="D20" i="2"/>
  <c r="C61" i="3"/>
  <c r="D7" i="2"/>
  <c r="C2" i="3"/>
  <c r="D76" i="2"/>
  <c r="D198" i="2"/>
  <c r="D87" i="2"/>
  <c r="D209" i="2"/>
  <c r="D82" i="2"/>
  <c r="D204" i="2"/>
  <c r="D81" i="2"/>
  <c r="D203" i="2"/>
  <c r="D85" i="2"/>
  <c r="D207" i="2"/>
  <c r="D72" i="2"/>
  <c r="D194" i="2"/>
  <c r="D73" i="2"/>
  <c r="D195" i="2"/>
  <c r="D69" i="2"/>
  <c r="D191" i="2"/>
  <c r="D41" i="2"/>
  <c r="D107" i="2"/>
  <c r="D134" i="2"/>
  <c r="D163" i="2"/>
  <c r="D214" i="2"/>
  <c r="D66" i="2"/>
  <c r="D188" i="2"/>
  <c r="D70" i="2"/>
  <c r="D192" i="2"/>
  <c r="D77" i="2"/>
  <c r="D199" i="2"/>
  <c r="D65" i="2"/>
  <c r="D187" i="2"/>
  <c r="D62" i="2"/>
  <c r="D184" i="2"/>
  <c r="D79" i="2"/>
  <c r="D201" i="2"/>
  <c r="D88" i="2"/>
  <c r="D210" i="2"/>
  <c r="D61" i="2"/>
  <c r="D183" i="2"/>
  <c r="D44" i="2"/>
  <c r="D110" i="2"/>
  <c r="D138" i="2"/>
  <c r="D166" i="2"/>
  <c r="D29" i="2"/>
  <c r="D53" i="2"/>
  <c r="D118" i="2"/>
  <c r="D175" i="2"/>
  <c r="D80" i="2"/>
  <c r="D202" i="2"/>
  <c r="D39" i="2"/>
  <c r="D105" i="2"/>
  <c r="D131" i="2"/>
  <c r="D161" i="2"/>
  <c r="D86" i="2"/>
  <c r="D208" i="2"/>
  <c r="D75" i="2"/>
  <c r="D197" i="2"/>
  <c r="D56" i="2"/>
  <c r="D148" i="2"/>
  <c r="D178" i="2"/>
  <c r="D78" i="2"/>
  <c r="D200" i="2"/>
  <c r="D74" i="2"/>
  <c r="D196" i="2"/>
  <c r="D84" i="2"/>
  <c r="D206" i="2"/>
  <c r="D3" i="2"/>
  <c r="D57" i="2"/>
  <c r="D179" i="2"/>
  <c r="D67" i="2"/>
  <c r="D189" i="2"/>
  <c r="D14" i="2"/>
  <c r="D52" i="2"/>
  <c r="D117" i="2"/>
  <c r="D146" i="2"/>
  <c r="D174" i="2"/>
  <c r="D83" i="2"/>
  <c r="D205" i="2"/>
  <c r="D68" i="2"/>
  <c r="D190" i="2"/>
  <c r="D17" i="2"/>
  <c r="D59" i="2"/>
  <c r="D181" i="2"/>
  <c r="D16" i="2"/>
  <c r="D58" i="2"/>
  <c r="D180" i="2"/>
  <c r="D63" i="2"/>
  <c r="D185" i="2"/>
  <c r="D2" i="2"/>
  <c r="D45" i="2"/>
  <c r="D111" i="2"/>
  <c r="D139" i="2"/>
  <c r="D167" i="2"/>
  <c r="D64" i="2"/>
  <c r="D186" i="2"/>
  <c r="D28" i="2"/>
  <c r="D40" i="2"/>
  <c r="D106" i="2"/>
  <c r="D132" i="2"/>
  <c r="D162" i="2"/>
  <c r="D60" i="2"/>
  <c r="D182" i="2"/>
  <c r="D50" i="2"/>
  <c r="D51" i="2"/>
  <c r="D116" i="2"/>
  <c r="D145" i="2"/>
  <c r="D173" i="2"/>
  <c r="D15" i="2"/>
  <c r="D54" i="2"/>
  <c r="D119" i="2"/>
  <c r="D176" i="2"/>
  <c r="D55" i="2"/>
  <c r="D121" i="2"/>
  <c r="D177" i="2"/>
  <c r="D46" i="2"/>
  <c r="D112" i="2"/>
  <c r="D140" i="2"/>
  <c r="D141" i="2"/>
  <c r="D168" i="2"/>
  <c r="D47" i="2"/>
  <c r="D113" i="2"/>
  <c r="D142" i="2"/>
  <c r="D169" i="2"/>
  <c r="D170" i="2"/>
  <c r="D13" i="2"/>
  <c r="D48" i="2"/>
  <c r="D114" i="2"/>
  <c r="D143" i="2"/>
  <c r="D171" i="2"/>
  <c r="D27" i="2"/>
  <c r="D34" i="2"/>
  <c r="D99" i="2"/>
  <c r="D126" i="2"/>
  <c r="D155" i="2"/>
  <c r="D10" i="2"/>
  <c r="D38" i="2"/>
  <c r="D104" i="2"/>
  <c r="D130" i="2"/>
  <c r="D160" i="2"/>
  <c r="D49" i="2"/>
  <c r="D115" i="2"/>
  <c r="D144" i="2"/>
  <c r="D172" i="2"/>
  <c r="C2" i="15"/>
  <c r="D2" i="15" s="1"/>
  <c r="C3" i="15"/>
  <c r="D3" i="15" s="1"/>
  <c r="C4" i="15"/>
  <c r="D4" i="15" s="1"/>
  <c r="C5" i="15"/>
  <c r="D5" i="15" s="1"/>
  <c r="C6" i="15"/>
  <c r="D6" i="15" s="1"/>
  <c r="D11" i="2"/>
  <c r="D42" i="2"/>
  <c r="D108" i="2"/>
  <c r="D136" i="2"/>
  <c r="D164" i="2"/>
  <c r="D4" i="2"/>
  <c r="D22" i="2"/>
  <c r="D30" i="2"/>
  <c r="D95" i="2"/>
  <c r="D122" i="2"/>
  <c r="D149" i="2"/>
  <c r="D71" i="2"/>
  <c r="D193" i="2"/>
  <c r="D12" i="2"/>
  <c r="D43" i="2"/>
  <c r="D109" i="2"/>
  <c r="D137" i="2"/>
  <c r="D165" i="2"/>
  <c r="D8" i="2"/>
  <c r="D35" i="2"/>
  <c r="D100" i="2"/>
  <c r="D127" i="2"/>
  <c r="D156" i="2"/>
  <c r="D36" i="2"/>
  <c r="D101" i="2"/>
  <c r="D102" i="2"/>
  <c r="D128" i="2"/>
  <c r="D158" i="2"/>
  <c r="D37" i="2"/>
  <c r="D103" i="2"/>
  <c r="D129" i="2"/>
  <c r="D159" i="2"/>
  <c r="D215" i="2"/>
  <c r="D211" i="2"/>
  <c r="D23" i="2"/>
  <c r="D31" i="2"/>
  <c r="D96" i="2"/>
  <c r="D123" i="2"/>
  <c r="D151" i="2"/>
  <c r="D6" i="2"/>
  <c r="D24" i="2"/>
  <c r="D32" i="2"/>
  <c r="D97" i="2"/>
  <c r="D124" i="2"/>
  <c r="D153" i="2"/>
  <c r="D25" i="2"/>
  <c r="D26" i="2"/>
  <c r="D33" i="2"/>
  <c r="D98" i="2"/>
  <c r="D125" i="2"/>
  <c r="D154" i="2"/>
  <c r="H243" i="5"/>
  <c r="H229" i="5"/>
  <c r="H216" i="5"/>
  <c r="H200" i="5"/>
  <c r="H158" i="5"/>
  <c r="H134" i="5"/>
  <c r="H106" i="5"/>
  <c r="H138" i="5"/>
  <c r="H178" i="5"/>
  <c r="H146" i="5"/>
  <c r="H102" i="5"/>
  <c r="H53" i="5"/>
  <c r="H245" i="5"/>
  <c r="H226" i="5"/>
  <c r="H215" i="5"/>
  <c r="H209" i="5"/>
  <c r="H90" i="5"/>
  <c r="H94" i="5"/>
  <c r="H147" i="5"/>
  <c r="H152" i="5"/>
  <c r="H196" i="5"/>
  <c r="H148" i="5"/>
  <c r="H64" i="5"/>
  <c r="H97" i="5"/>
  <c r="H4" i="5"/>
  <c r="H291" i="5"/>
  <c r="H294" i="5"/>
  <c r="H296" i="5"/>
  <c r="H289" i="5"/>
  <c r="H288" i="5"/>
  <c r="H285" i="5"/>
  <c r="H258" i="5"/>
  <c r="H280" i="5"/>
  <c r="H278" i="5"/>
  <c r="H271" i="5"/>
  <c r="H269" i="5"/>
  <c r="H266" i="5"/>
  <c r="H261" i="5"/>
  <c r="H257" i="5"/>
  <c r="H254" i="5"/>
  <c r="H253" i="5"/>
  <c r="H237" i="5"/>
  <c r="H249" i="5"/>
  <c r="H248" i="5"/>
  <c r="H247" i="5"/>
  <c r="H233" i="5"/>
  <c r="H222" i="5"/>
  <c r="H211" i="5"/>
  <c r="H202" i="5"/>
  <c r="H81" i="5"/>
  <c r="H175" i="5"/>
  <c r="H31" i="5"/>
  <c r="H168" i="5"/>
  <c r="H161" i="5"/>
  <c r="H77" i="5"/>
  <c r="H99" i="5"/>
  <c r="H195" i="5"/>
  <c r="H246" i="5"/>
  <c r="H286" i="5"/>
  <c r="H283" i="5"/>
  <c r="H281" i="5"/>
  <c r="H282" i="5"/>
  <c r="H295" i="5"/>
  <c r="H293" i="5"/>
  <c r="H292" i="5"/>
  <c r="H290" i="5"/>
  <c r="H287" i="5"/>
  <c r="H284" i="5"/>
  <c r="H279" i="5"/>
  <c r="H277" i="5"/>
  <c r="H273" i="5"/>
  <c r="H270" i="5"/>
  <c r="H267" i="5"/>
  <c r="H264" i="5"/>
  <c r="H259" i="5"/>
  <c r="H256" i="5"/>
  <c r="H252" i="5"/>
  <c r="H241" i="5"/>
  <c r="H251" i="5"/>
  <c r="H238" i="5"/>
  <c r="H234" i="5"/>
  <c r="H218" i="5"/>
  <c r="H199" i="5"/>
  <c r="H137" i="5"/>
  <c r="H74" i="5"/>
  <c r="H193" i="5"/>
  <c r="H72" i="5"/>
  <c r="H5" i="5"/>
  <c r="H36" i="5"/>
  <c r="H145" i="5"/>
  <c r="H184" i="5"/>
  <c r="H100" i="5"/>
  <c r="H57" i="5"/>
  <c r="H28" i="5"/>
  <c r="H159" i="5"/>
  <c r="H120" i="5"/>
  <c r="H19" i="5"/>
  <c r="H42" i="5"/>
  <c r="H45" i="5"/>
  <c r="H151" i="5"/>
  <c r="H104" i="5"/>
  <c r="H26" i="5"/>
  <c r="H103" i="5"/>
  <c r="H63" i="5"/>
  <c r="H39" i="5"/>
  <c r="H59" i="5"/>
  <c r="H115" i="5"/>
  <c r="H10" i="5"/>
  <c r="H85" i="5"/>
  <c r="H13" i="5"/>
  <c r="H47" i="5"/>
  <c r="H49" i="5"/>
  <c r="D147" i="2"/>
  <c r="D94" i="2"/>
  <c r="H191" i="5"/>
  <c r="H189" i="5"/>
  <c r="H183" i="5"/>
  <c r="H98" i="5"/>
  <c r="H141" i="5"/>
  <c r="H110" i="5"/>
  <c r="H165" i="5"/>
  <c r="H235" i="5"/>
  <c r="H220" i="5"/>
  <c r="H214" i="5"/>
  <c r="H206" i="5"/>
  <c r="H185" i="5"/>
  <c r="H162" i="5"/>
  <c r="H56" i="5"/>
  <c r="H167" i="5"/>
  <c r="H143" i="5"/>
  <c r="H75" i="5"/>
  <c r="H65" i="5"/>
  <c r="H17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tc={0c131a3c-b6c1-4ab1-ade0-c6f512e2f387}</author>
    <author>tc={00f12ec8-5141-40ba-97dd-b53ce6dc8493}</author>
  </authors>
  <commentList>
    <comment ref="B57" authorId="0" shapeId="0" xr:uid="{0C131A3C-B6C1-4AB1-ADE0-C6F512E2F3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Locker de línea cedido por entrenamiento</t>
      </text>
    </comment>
    <comment ref="B87" authorId="1" shapeId="0" xr:uid="{00F12EC8-5141-40BA-97DD-B53CE6DC84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Locker de línea cedido por entrenamiento</t>
      </text>
    </comment>
  </commentList>
</comments>
</file>

<file path=xl/sharedStrings.xml><?xml version="1.0" encoding="utf-8"?>
<sst xmlns="http://schemas.openxmlformats.org/spreadsheetml/2006/main" count="7589" uniqueCount="2430">
  <si>
    <t>Codigo de Seca Botas</t>
  </si>
  <si>
    <t>Codigo de Lockets</t>
  </si>
  <si>
    <t>ID asignaciones</t>
  </si>
  <si>
    <t>Area de Lockers</t>
  </si>
  <si>
    <t>Area</t>
  </si>
  <si>
    <t>ESTADO</t>
  </si>
  <si>
    <t>UNIDAD</t>
  </si>
  <si>
    <t>Codigo de Dotacion</t>
  </si>
  <si>
    <t>Fecha de Entrega</t>
  </si>
  <si>
    <t>ID RETIRO</t>
  </si>
  <si>
    <t>Operario</t>
  </si>
  <si>
    <t>ADM</t>
  </si>
  <si>
    <t>ADMINISTRACION</t>
  </si>
  <si>
    <t>identificacion</t>
  </si>
  <si>
    <t>1 PCC</t>
  </si>
  <si>
    <t>VESTIDOR HOMBRES</t>
  </si>
  <si>
    <t>Talla de Operarios</t>
  </si>
  <si>
    <t>Talla de dotacion asignada</t>
  </si>
  <si>
    <t>Observaciones</t>
  </si>
  <si>
    <t>Imagen</t>
  </si>
  <si>
    <t>Fecha de Retiro</t>
  </si>
  <si>
    <t>5a8f7287</t>
  </si>
  <si>
    <t>2 PCC</t>
  </si>
  <si>
    <t>n/a</t>
  </si>
  <si>
    <t>020</t>
  </si>
  <si>
    <t>CASTILLO VIDES TANIA NICOL</t>
  </si>
  <si>
    <t>7</t>
  </si>
  <si>
    <t>SST</t>
  </si>
  <si>
    <t>M</t>
  </si>
  <si>
    <t>3 PCC</t>
  </si>
  <si>
    <t>L</t>
  </si>
  <si>
    <t>VESTIDOR MUJERES</t>
  </si>
  <si>
    <t>1cc5f3ea</t>
  </si>
  <si>
    <t>1092389738</t>
  </si>
  <si>
    <t>171</t>
  </si>
  <si>
    <t>CORVACHO RODRÍGUEZ CRISTHIAN ANDRÉS</t>
  </si>
  <si>
    <t>56</t>
  </si>
  <si>
    <t>4 PCC</t>
  </si>
  <si>
    <t>LN</t>
  </si>
  <si>
    <t>no realizo entrega formal</t>
  </si>
  <si>
    <t>5a8f7286</t>
  </si>
  <si>
    <t>91512215</t>
  </si>
  <si>
    <t>188</t>
  </si>
  <si>
    <t>RODRIGUEZ HERRERA NICOLAS</t>
  </si>
  <si>
    <t>20</t>
  </si>
  <si>
    <t>5 PCC</t>
  </si>
  <si>
    <t>LOG</t>
  </si>
  <si>
    <t>ASUR</t>
  </si>
  <si>
    <t>XL</t>
  </si>
  <si>
    <t xml:space="preserve">Acendio a gestor en desposte </t>
  </si>
  <si>
    <t>81fc02dd</t>
  </si>
  <si>
    <t>91356514</t>
  </si>
  <si>
    <t>115</t>
  </si>
  <si>
    <t>BARAJAS REY WILSON</t>
  </si>
  <si>
    <t>26</t>
  </si>
  <si>
    <t>6 PCC</t>
  </si>
  <si>
    <t>b2286812</t>
  </si>
  <si>
    <t>1096243133</t>
  </si>
  <si>
    <t>067</t>
  </si>
  <si>
    <t>VIDES MARTINEZ KEVIN JUNNER</t>
  </si>
  <si>
    <t>13</t>
  </si>
  <si>
    <t>3f3ba076</t>
  </si>
  <si>
    <t>1001815858</t>
  </si>
  <si>
    <t>107</t>
  </si>
  <si>
    <t>DIAZ ROJAS DAVINSON</t>
  </si>
  <si>
    <t>7 PCC</t>
  </si>
  <si>
    <t>6</t>
  </si>
  <si>
    <t>PCC</t>
  </si>
  <si>
    <t>Retiro por Extraccion de calculos</t>
  </si>
  <si>
    <t>0e81f7b9</t>
  </si>
  <si>
    <t>1099368102</t>
  </si>
  <si>
    <t>185</t>
  </si>
  <si>
    <t>SANCHEZ BERNAL SAULO EDUARDO</t>
  </si>
  <si>
    <t>32</t>
  </si>
  <si>
    <t>8 PCC</t>
  </si>
  <si>
    <t>7157b2e8</t>
  </si>
  <si>
    <t>1098722582</t>
  </si>
  <si>
    <t>145</t>
  </si>
  <si>
    <t>FONSECA SILVA LUDYN GABRIELA</t>
  </si>
  <si>
    <t>10</t>
  </si>
  <si>
    <t>4ea1cc91</t>
  </si>
  <si>
    <t>1543684</t>
  </si>
  <si>
    <t>064</t>
  </si>
  <si>
    <t>CORDERO YAGUARAN CHARLE</t>
  </si>
  <si>
    <t>5</t>
  </si>
  <si>
    <t>9 PCC</t>
  </si>
  <si>
    <t>53edf475</t>
  </si>
  <si>
    <t>1095819172</t>
  </si>
  <si>
    <t>119</t>
  </si>
  <si>
    <t>RODRIGUEZ MARTINEZ IVAN ANDRÉS</t>
  </si>
  <si>
    <t>CAL</t>
  </si>
  <si>
    <t>8d791b9c</t>
  </si>
  <si>
    <t>2677781</t>
  </si>
  <si>
    <t>017</t>
  </si>
  <si>
    <t>NARVÁEZ RONDON DOUGLAS EZEQUIEL</t>
  </si>
  <si>
    <t>16</t>
  </si>
  <si>
    <t>10 PCC</t>
  </si>
  <si>
    <t>S</t>
  </si>
  <si>
    <t xml:space="preserve">Renuncia voluntaria </t>
  </si>
  <si>
    <t>589f9cc8</t>
  </si>
  <si>
    <t>12503914</t>
  </si>
  <si>
    <t>126</t>
  </si>
  <si>
    <t>NIÑO FRANKLIN MANUEL</t>
  </si>
  <si>
    <t>Retiro bajo rendimiento</t>
  </si>
  <si>
    <t>11 PCC</t>
  </si>
  <si>
    <t>81c0de94</t>
  </si>
  <si>
    <t>1066083139</t>
  </si>
  <si>
    <t>261</t>
  </si>
  <si>
    <t>BONILLA PACHECO ANDRES FELIPE</t>
  </si>
  <si>
    <t>22</t>
  </si>
  <si>
    <t>7ce70d61</t>
  </si>
  <si>
    <t>1101204999</t>
  </si>
  <si>
    <t>300</t>
  </si>
  <si>
    <t>CARRERO RINCON GONZALO STIVEL</t>
  </si>
  <si>
    <t>15</t>
  </si>
  <si>
    <t>d98eb1ce</t>
  </si>
  <si>
    <t>12 PCC</t>
  </si>
  <si>
    <t>1007688229</t>
  </si>
  <si>
    <t>019</t>
  </si>
  <si>
    <t>PORTELA MAÑARA OSMAIDER</t>
  </si>
  <si>
    <t>21</t>
  </si>
  <si>
    <t>00cef8c6</t>
  </si>
  <si>
    <t>1007439705</t>
  </si>
  <si>
    <t>160</t>
  </si>
  <si>
    <t>BELLO BLANCO BEURY ALEXANDER</t>
  </si>
  <si>
    <t>13 PCC</t>
  </si>
  <si>
    <t>ada44c4e</t>
  </si>
  <si>
    <t>1005478935</t>
  </si>
  <si>
    <t>093</t>
  </si>
  <si>
    <t>MTTO</t>
  </si>
  <si>
    <t>HERNANDEZ MARIÑO ANDELFO</t>
  </si>
  <si>
    <t>Renuncia voluntaria (no trabajo)</t>
  </si>
  <si>
    <t>cbabbc6f</t>
  </si>
  <si>
    <t>91232589</t>
  </si>
  <si>
    <t>176</t>
  </si>
  <si>
    <t>QUINTERO PIMENTEL JORGE</t>
  </si>
  <si>
    <t>23</t>
  </si>
  <si>
    <t>GG</t>
  </si>
  <si>
    <t>14 PCC</t>
  </si>
  <si>
    <t>81b5fc82</t>
  </si>
  <si>
    <t>1095825899</t>
  </si>
  <si>
    <t>200</t>
  </si>
  <si>
    <t>LAMUS HERNANDEZ FABIO ALONSO</t>
  </si>
  <si>
    <t>14</t>
  </si>
  <si>
    <t>af7ac927</t>
  </si>
  <si>
    <t>1232892334</t>
  </si>
  <si>
    <t>061</t>
  </si>
  <si>
    <t>PALOMINO MARULANDA BRAYAN JAVIER</t>
  </si>
  <si>
    <t>19</t>
  </si>
  <si>
    <t>LYD</t>
  </si>
  <si>
    <t>15 PCC</t>
  </si>
  <si>
    <t>c70b949a</t>
  </si>
  <si>
    <t>1095907091</t>
  </si>
  <si>
    <t>BLANCO SEPULVEDA IVAN ANDRES</t>
  </si>
  <si>
    <t>72dafde4</t>
  </si>
  <si>
    <t>1047450497</t>
  </si>
  <si>
    <t>226</t>
  </si>
  <si>
    <t>REYES GOMEZ RAFAEL EDUARDO</t>
  </si>
  <si>
    <t>36</t>
  </si>
  <si>
    <t>16 PCC</t>
  </si>
  <si>
    <t>9c2c4f65</t>
  </si>
  <si>
    <t>1098716949</t>
  </si>
  <si>
    <t>204</t>
  </si>
  <si>
    <t>PINZÓN PEDRAZA GERZON ANDRÉS</t>
  </si>
  <si>
    <t>41</t>
  </si>
  <si>
    <t>a601d765</t>
  </si>
  <si>
    <t>1005371766</t>
  </si>
  <si>
    <t>129</t>
  </si>
  <si>
    <t>VALDERRAMA PINEDA KEVIN STEVEN</t>
  </si>
  <si>
    <t>57</t>
  </si>
  <si>
    <t>Renuncia voluntaria (bajo rendimiento, consumo de drogas)</t>
  </si>
  <si>
    <t>9f5ef897</t>
  </si>
  <si>
    <t>1098807906</t>
  </si>
  <si>
    <t>030</t>
  </si>
  <si>
    <t>17 PCC</t>
  </si>
  <si>
    <t>CANONIGO ORTIZ JESSICA PAOLA</t>
  </si>
  <si>
    <t>48c61bc5</t>
  </si>
  <si>
    <t>1098815659</t>
  </si>
  <si>
    <t>007</t>
  </si>
  <si>
    <t>GUIZA HERRERA YULI KATHERINE</t>
  </si>
  <si>
    <t>8</t>
  </si>
  <si>
    <t>c0a06ed3</t>
  </si>
  <si>
    <t>1005339880</t>
  </si>
  <si>
    <t>002</t>
  </si>
  <si>
    <t>DIAZ CANTILLO SAMIR ANDRES</t>
  </si>
  <si>
    <t>18 PCC</t>
  </si>
  <si>
    <t>50</t>
  </si>
  <si>
    <t>2d1edc8f</t>
  </si>
  <si>
    <t>1101695854</t>
  </si>
  <si>
    <t>097</t>
  </si>
  <si>
    <t>BENAVIDES PABA NAVIN LEONARDIS</t>
  </si>
  <si>
    <t>31</t>
  </si>
  <si>
    <t>19 PCC</t>
  </si>
  <si>
    <t>20 PCC</t>
  </si>
  <si>
    <t>8ed5d5d4</t>
  </si>
  <si>
    <t>1005040763</t>
  </si>
  <si>
    <t>187</t>
  </si>
  <si>
    <t>GALVIS GALVIS EVER MILCIADES</t>
  </si>
  <si>
    <t>b4d02fe0</t>
  </si>
  <si>
    <t>1100893628</t>
  </si>
  <si>
    <t>005</t>
  </si>
  <si>
    <t>GUERRERO ALMEIDA CRISTIAN JAVIER</t>
  </si>
  <si>
    <t>2</t>
  </si>
  <si>
    <t>21 PCC</t>
  </si>
  <si>
    <t>a439e3aa</t>
  </si>
  <si>
    <t>1095932394</t>
  </si>
  <si>
    <t>PARADA ORTEGA GUSTAVO ADOLFO</t>
  </si>
  <si>
    <t>a2a58866</t>
  </si>
  <si>
    <t>1065577704</t>
  </si>
  <si>
    <t>S001</t>
  </si>
  <si>
    <t>MOYA MUÑOZ JHON ALBERTO</t>
  </si>
  <si>
    <t>51</t>
  </si>
  <si>
    <t>22 PCC</t>
  </si>
  <si>
    <t>faee112a</t>
  </si>
  <si>
    <t>1129485327</t>
  </si>
  <si>
    <t>063</t>
  </si>
  <si>
    <t>ARIZA MOLINA DEIVIS MANUEL</t>
  </si>
  <si>
    <t>Renuncia voluntaria (cambio de ambiente)</t>
  </si>
  <si>
    <t>89970959</t>
  </si>
  <si>
    <t>1098751464</t>
  </si>
  <si>
    <t>105</t>
  </si>
  <si>
    <t>SEPULVEDA MANRIQUE MISAEL</t>
  </si>
  <si>
    <t>d3aebb8e</t>
  </si>
  <si>
    <t>23 PCC</t>
  </si>
  <si>
    <t>1098618560</t>
  </si>
  <si>
    <t>139</t>
  </si>
  <si>
    <t>ARAQUE HERRERA DIEGO JAVIER</t>
  </si>
  <si>
    <t>482a95f9</t>
  </si>
  <si>
    <t>1005650539</t>
  </si>
  <si>
    <t>BOHÓRQUEZ CORREDOR LENNIS TATIANA</t>
  </si>
  <si>
    <t>0ed839a1</t>
  </si>
  <si>
    <t>1098660541</t>
  </si>
  <si>
    <t>24 PCC</t>
  </si>
  <si>
    <t>PINZON RUEDA ERIN JOHAN</t>
  </si>
  <si>
    <t>5ab81d8c</t>
  </si>
  <si>
    <t>12aafa9f</t>
  </si>
  <si>
    <t>1006822494</t>
  </si>
  <si>
    <t>003</t>
  </si>
  <si>
    <t>264</t>
  </si>
  <si>
    <t>VILLAMIZAR URBINA OMAR ANDRES</t>
  </si>
  <si>
    <t>47</t>
  </si>
  <si>
    <t>Retiro imcumplimiento de BPM</t>
  </si>
  <si>
    <t>3c8e1c81</t>
  </si>
  <si>
    <t>RIVERA COLMENARES JHON NEIDER</t>
  </si>
  <si>
    <t>1007769879</t>
  </si>
  <si>
    <t>012</t>
  </si>
  <si>
    <t>25 PCC</t>
  </si>
  <si>
    <t>DIAZ LIZARAZO JHIMMI FABIAN</t>
  </si>
  <si>
    <t>44</t>
  </si>
  <si>
    <t>1066093880</t>
  </si>
  <si>
    <t>3708f05c</t>
  </si>
  <si>
    <t>1095963764</t>
  </si>
  <si>
    <t>250</t>
  </si>
  <si>
    <t>PABON ARAQUE JOSE YSAIAS</t>
  </si>
  <si>
    <t>54</t>
  </si>
  <si>
    <t>d49d32d1</t>
  </si>
  <si>
    <t>1095950229</t>
  </si>
  <si>
    <t>210</t>
  </si>
  <si>
    <t>26 PCC</t>
  </si>
  <si>
    <t>SANCHEZ LONDOÑO JAIME ALEXANDER</t>
  </si>
  <si>
    <t>006</t>
  </si>
  <si>
    <t>BARAJAS APARICIO FIDEL</t>
  </si>
  <si>
    <t>e2a3ebc0</t>
  </si>
  <si>
    <t>1003335359</t>
  </si>
  <si>
    <t>91223001</t>
  </si>
  <si>
    <t>183</t>
  </si>
  <si>
    <t>1 LN</t>
  </si>
  <si>
    <t>ORTIZ CARRASCAL JOSE IGNACIO</t>
  </si>
  <si>
    <t>186a8c6c</t>
  </si>
  <si>
    <t>1005280727</t>
  </si>
  <si>
    <t>009</t>
  </si>
  <si>
    <t>ARIZA PAREDES JUAN SEBASTIAN</t>
  </si>
  <si>
    <t>CORTES NINO YENSON ERNESTO</t>
  </si>
  <si>
    <t>27 PCC</t>
  </si>
  <si>
    <t>91466133</t>
  </si>
  <si>
    <t>2 LN</t>
  </si>
  <si>
    <t>53d38ad6</t>
  </si>
  <si>
    <t>1005272415</t>
  </si>
  <si>
    <t>052</t>
  </si>
  <si>
    <t>AYALA ANGEL GIOVANNY</t>
  </si>
  <si>
    <t>013</t>
  </si>
  <si>
    <t>PABON ARAQUE OCTAVIO</t>
  </si>
  <si>
    <t>6ddb4990</t>
  </si>
  <si>
    <t>1007439697</t>
  </si>
  <si>
    <t>166</t>
  </si>
  <si>
    <t>RODRIGUEZ PULIDO CAMILO</t>
  </si>
  <si>
    <t>28 PCC</t>
  </si>
  <si>
    <t>Renuncia bajo rendimiento</t>
  </si>
  <si>
    <t>b8b14227</t>
  </si>
  <si>
    <t>015</t>
  </si>
  <si>
    <t>TOLOZA JAIMES CLEIVER ERMIDES</t>
  </si>
  <si>
    <t>d19fdc64</t>
  </si>
  <si>
    <t>1098700274</t>
  </si>
  <si>
    <t>1095943754</t>
  </si>
  <si>
    <t>5 LN</t>
  </si>
  <si>
    <t>113</t>
  </si>
  <si>
    <t>CACUA RINCON JOSE GIOVANY</t>
  </si>
  <si>
    <t>63</t>
  </si>
  <si>
    <t>e821a632</t>
  </si>
  <si>
    <t>1005156911</t>
  </si>
  <si>
    <t>230</t>
  </si>
  <si>
    <t>DIAZ RAMIREZ GILBERT ABDON</t>
  </si>
  <si>
    <t>61</t>
  </si>
  <si>
    <t>ROBLES BELEÑO RONALDO</t>
  </si>
  <si>
    <t>29 PCC</t>
  </si>
  <si>
    <t>1098805526</t>
  </si>
  <si>
    <t>7 LN</t>
  </si>
  <si>
    <t>35f3742c</t>
  </si>
  <si>
    <t>1005108752</t>
  </si>
  <si>
    <t>149</t>
  </si>
  <si>
    <t>GONZALES GARCÍA OSCAR ARLEY</t>
  </si>
  <si>
    <t>fe2ee47b</t>
  </si>
  <si>
    <t>1098697292</t>
  </si>
  <si>
    <t>169</t>
  </si>
  <si>
    <t>BAYONA RAMIREZ JAHIR STEVEN</t>
  </si>
  <si>
    <t>35</t>
  </si>
  <si>
    <t>Retiro por revuelta y imcumplimiento de horario</t>
  </si>
  <si>
    <t>30 PCC</t>
  </si>
  <si>
    <t>f189684a</t>
  </si>
  <si>
    <t>022</t>
  </si>
  <si>
    <t>81b1260d</t>
  </si>
  <si>
    <t>1007667600</t>
  </si>
  <si>
    <t>SUAREZ JAIMES ALBERTO</t>
  </si>
  <si>
    <t>BRAVO SAJONERO ANDREA CAMILA</t>
  </si>
  <si>
    <t>91452758</t>
  </si>
  <si>
    <t>9</t>
  </si>
  <si>
    <t>8 LN</t>
  </si>
  <si>
    <t>4388a79c</t>
  </si>
  <si>
    <t>1095827638</t>
  </si>
  <si>
    <t>025</t>
  </si>
  <si>
    <t>DURAN AVILA ANDERSON HARLEY</t>
  </si>
  <si>
    <t>CAMACHO DIAZ DIEGO</t>
  </si>
  <si>
    <t>1095813788</t>
  </si>
  <si>
    <t>31 PCC</t>
  </si>
  <si>
    <t>9 LN</t>
  </si>
  <si>
    <t>66fe13c2</t>
  </si>
  <si>
    <t>100437722</t>
  </si>
  <si>
    <t>REBOLLEDO BOLAÑO JULIO CESAR</t>
  </si>
  <si>
    <t>27</t>
  </si>
  <si>
    <t>029</t>
  </si>
  <si>
    <t>AFANADOR PINEDA NELSON</t>
  </si>
  <si>
    <t>1102368534</t>
  </si>
  <si>
    <t>5167fcf0</t>
  </si>
  <si>
    <t>1005447475</t>
  </si>
  <si>
    <t>10 LN</t>
  </si>
  <si>
    <t>ROJAS EDINSON ANDRES</t>
  </si>
  <si>
    <t>32 PCC</t>
  </si>
  <si>
    <t>947e263c</t>
  </si>
  <si>
    <t>20772195</t>
  </si>
  <si>
    <t>ANZOÁTEGUI LARA DANIEL JACINTO</t>
  </si>
  <si>
    <t>11</t>
  </si>
  <si>
    <t>ce48be1a</t>
  </si>
  <si>
    <t>1098622425</t>
  </si>
  <si>
    <t>038</t>
  </si>
  <si>
    <t>086</t>
  </si>
  <si>
    <t>MENDEZ CALDERON JORGE ARMANDO</t>
  </si>
  <si>
    <t>REYES SISA VICTOR ALFONSO</t>
  </si>
  <si>
    <t>29</t>
  </si>
  <si>
    <t>1098741455</t>
  </si>
  <si>
    <t>33 PCC</t>
  </si>
  <si>
    <t>5639a0b6</t>
  </si>
  <si>
    <t>1098705695</t>
  </si>
  <si>
    <t>142</t>
  </si>
  <si>
    <t>ROJAS HERNANDEZ VICTOR ALFONSO</t>
  </si>
  <si>
    <t>9593f6a2</t>
  </si>
  <si>
    <t>1101598119</t>
  </si>
  <si>
    <t>MEDINA HERNANDEZ WILSON EDUARDO</t>
  </si>
  <si>
    <t>c471b06a</t>
  </si>
  <si>
    <t>044</t>
  </si>
  <si>
    <t>169dba21</t>
  </si>
  <si>
    <t>BAUTISTA CRUZ JOSE DANIEL</t>
  </si>
  <si>
    <t>1100971152</t>
  </si>
  <si>
    <t>101</t>
  </si>
  <si>
    <t>1090520256</t>
  </si>
  <si>
    <t>6 LYD</t>
  </si>
  <si>
    <t>QUECHO LOZANO FABIAN ANDRES</t>
  </si>
  <si>
    <t>34 PCC</t>
  </si>
  <si>
    <t>28</t>
  </si>
  <si>
    <t>d637f305</t>
  </si>
  <si>
    <t>9bf1ecfd</t>
  </si>
  <si>
    <t>1096243471</t>
  </si>
  <si>
    <t>047</t>
  </si>
  <si>
    <t>201</t>
  </si>
  <si>
    <t>REYES ALVAREZ JORGE ENRIQUE</t>
  </si>
  <si>
    <t>35 PCC</t>
  </si>
  <si>
    <t>24</t>
  </si>
  <si>
    <t>64a40914</t>
  </si>
  <si>
    <t>1110576442</t>
  </si>
  <si>
    <t>130</t>
  </si>
  <si>
    <t>VALLEJO CAICEDO CRISTIAN ANDRÉS</t>
  </si>
  <si>
    <t>22ab3533</t>
  </si>
  <si>
    <t>1232894792</t>
  </si>
  <si>
    <t>008</t>
  </si>
  <si>
    <t>CHINCHILLA DIAZ JHON ROMARIO</t>
  </si>
  <si>
    <t>tapa partida</t>
  </si>
  <si>
    <t>36 PCC</t>
  </si>
  <si>
    <t>d4411991</t>
  </si>
  <si>
    <t>1102381907</t>
  </si>
  <si>
    <t>216</t>
  </si>
  <si>
    <t>DURAN BURGOS OSCAR FERNANDO</t>
  </si>
  <si>
    <t>3</t>
  </si>
  <si>
    <t>AMADOR SUAN SIXTO</t>
  </si>
  <si>
    <t>3d4f0d94</t>
  </si>
  <si>
    <t>91258301</t>
  </si>
  <si>
    <t>1098612610</t>
  </si>
  <si>
    <t>074</t>
  </si>
  <si>
    <t>GONZALEZ SUAREZ MANUEL FERNANDO</t>
  </si>
  <si>
    <t>37 PCC</t>
  </si>
  <si>
    <t>18</t>
  </si>
  <si>
    <t>Retiro pelea con compañero</t>
  </si>
  <si>
    <t>7648d8e2</t>
  </si>
  <si>
    <t>049</t>
  </si>
  <si>
    <t>b5a05cde</t>
  </si>
  <si>
    <t>1095820357</t>
  </si>
  <si>
    <t>051</t>
  </si>
  <si>
    <t>GUERRERO RAMOS LUIS DAVID</t>
  </si>
  <si>
    <t>SUAREZ BLANCO LUIS EDUARDO</t>
  </si>
  <si>
    <t>12</t>
  </si>
  <si>
    <t>1098770376</t>
  </si>
  <si>
    <t>2eee6043</t>
  </si>
  <si>
    <t>1095950268</t>
  </si>
  <si>
    <t>N/A</t>
  </si>
  <si>
    <t>38 PCC</t>
  </si>
  <si>
    <t>PORTILLA ROZO ELIANA</t>
  </si>
  <si>
    <t>22d27f2f</t>
  </si>
  <si>
    <t>1094840635</t>
  </si>
  <si>
    <t>036</t>
  </si>
  <si>
    <t>FUENTES URIBE JOEL JOSUE</t>
  </si>
  <si>
    <t>Renuncia salida del pais</t>
  </si>
  <si>
    <t>a2085acc</t>
  </si>
  <si>
    <t>1064728458</t>
  </si>
  <si>
    <t>004</t>
  </si>
  <si>
    <t>ROMERO PEREZ OSCAR EDUARDO</t>
  </si>
  <si>
    <t>39 PCC</t>
  </si>
  <si>
    <t>e31b802a</t>
  </si>
  <si>
    <t>054</t>
  </si>
  <si>
    <t>PEREZ ZORRILLA ELVER ANDRES</t>
  </si>
  <si>
    <t>64b815a8</t>
  </si>
  <si>
    <t>1234340651</t>
  </si>
  <si>
    <t>1102375619</t>
  </si>
  <si>
    <t>CEBALLOS SERRANO DIEGO ANDREY</t>
  </si>
  <si>
    <t>2 ADM</t>
  </si>
  <si>
    <t>b245b3d4</t>
  </si>
  <si>
    <t>1065245775</t>
  </si>
  <si>
    <t>P004</t>
  </si>
  <si>
    <t>HURTADO QUINTERO ORLANDO AQUILES</t>
  </si>
  <si>
    <t>Renuncia ausentismo</t>
  </si>
  <si>
    <t>40 PCC</t>
  </si>
  <si>
    <t>055</t>
  </si>
  <si>
    <t>e59adc23</t>
  </si>
  <si>
    <t>CORREA MANRIQUE LEONARDO</t>
  </si>
  <si>
    <t>1005280634</t>
  </si>
  <si>
    <t>1100891753</t>
  </si>
  <si>
    <t>PATIÑO MUÑOZ BRAYAN STEVEN</t>
  </si>
  <si>
    <t>7 LYD</t>
  </si>
  <si>
    <t>1114c5a9</t>
  </si>
  <si>
    <t>91535197</t>
  </si>
  <si>
    <t>SOTO MATEUS WILLIAM</t>
  </si>
  <si>
    <t>058</t>
  </si>
  <si>
    <t>Renuncia voluntaria (trabajo 1 dia)</t>
  </si>
  <si>
    <t>41 PCC</t>
  </si>
  <si>
    <t>CARDENAS CAICEDO URIEL</t>
  </si>
  <si>
    <t>210ef12b</t>
  </si>
  <si>
    <t>5255222</t>
  </si>
  <si>
    <t>056</t>
  </si>
  <si>
    <t>LINARES PALENCIA YOHENDRY JOSE</t>
  </si>
  <si>
    <t>299a450f</t>
  </si>
  <si>
    <t>1005259277</t>
  </si>
  <si>
    <t>PRADA RUEDA ANDRES FELIPE</t>
  </si>
  <si>
    <t>26b5aac4</t>
  </si>
  <si>
    <t>1095829622</t>
  </si>
  <si>
    <t>018</t>
  </si>
  <si>
    <t>42 PCC</t>
  </si>
  <si>
    <t>LANZZIANO DUARTE OMAR SNEIDER</t>
  </si>
  <si>
    <t>13748778</t>
  </si>
  <si>
    <t>14 LN</t>
  </si>
  <si>
    <t>7fd2f2f3</t>
  </si>
  <si>
    <t>1098773168</t>
  </si>
  <si>
    <t>235</t>
  </si>
  <si>
    <t>HERRERA RODRIGUEZ BRAYAM ANDREY</t>
  </si>
  <si>
    <t>Paso a laborar con asurcarnes</t>
  </si>
  <si>
    <t>aee01764</t>
  </si>
  <si>
    <t>1232888572</t>
  </si>
  <si>
    <t>43 PCC</t>
  </si>
  <si>
    <t>SANDOVAL PEREZ ANDERSON JULIAN</t>
  </si>
  <si>
    <t>4e5c439c</t>
  </si>
  <si>
    <t>1142915174</t>
  </si>
  <si>
    <t>LEZAMA BAUTISTA JHON EDWIN</t>
  </si>
  <si>
    <t>83e9ce7e</t>
  </si>
  <si>
    <t>af3958c3</t>
  </si>
  <si>
    <t>91541834</t>
  </si>
  <si>
    <t>103</t>
  </si>
  <si>
    <t>059</t>
  </si>
  <si>
    <t>MARULANDA MEJIA JOSE ANTONIO</t>
  </si>
  <si>
    <t>37</t>
  </si>
  <si>
    <t>44 PCC</t>
  </si>
  <si>
    <t>Renuncia voluntaria (personal con recomendaciones)</t>
  </si>
  <si>
    <t>LOPEZ HURTADO ANDRES FABIAN</t>
  </si>
  <si>
    <t>6d56d229</t>
  </si>
  <si>
    <t>1098700957</t>
  </si>
  <si>
    <t>192</t>
  </si>
  <si>
    <t>PARRA DURAN JAVIER ORLANDO</t>
  </si>
  <si>
    <t>XXXL</t>
  </si>
  <si>
    <t>1098659117</t>
  </si>
  <si>
    <t>15 LN</t>
  </si>
  <si>
    <t>b9bfb127</t>
  </si>
  <si>
    <t>1095821450</t>
  </si>
  <si>
    <t>QUIJANO ARAQUE JAIRO YESID</t>
  </si>
  <si>
    <t>45 PCC</t>
  </si>
  <si>
    <t>3f8b4d6f</t>
  </si>
  <si>
    <t>060</t>
  </si>
  <si>
    <t>0a146c80</t>
  </si>
  <si>
    <t>1098765043</t>
  </si>
  <si>
    <t>CARDENAS MELENDES JHON FREDY</t>
  </si>
  <si>
    <t>BLANCO LOPEZ CARLOS DANIEL</t>
  </si>
  <si>
    <t>91159389</t>
  </si>
  <si>
    <t>16 LN</t>
  </si>
  <si>
    <t>eea959aa</t>
  </si>
  <si>
    <t>1091132102</t>
  </si>
  <si>
    <t>VERGEL MORENO BRAUNY MAURICIO</t>
  </si>
  <si>
    <t>Renuncia voluntaria (trabajo 2 dia)</t>
  </si>
  <si>
    <t>46 PCC</t>
  </si>
  <si>
    <t>065</t>
  </si>
  <si>
    <t>b885cd23</t>
  </si>
  <si>
    <t>BARAJAS GUEVARA EULISES</t>
  </si>
  <si>
    <t>1004364659</t>
  </si>
  <si>
    <t>027</t>
  </si>
  <si>
    <t>1098619262</t>
  </si>
  <si>
    <t>DAZA HERNANDEZ CARLOS DE JESUS</t>
  </si>
  <si>
    <t>17 LN</t>
  </si>
  <si>
    <t>48</t>
  </si>
  <si>
    <t>5795a30d</t>
  </si>
  <si>
    <t>1005329972</t>
  </si>
  <si>
    <t>SANCHEZ JUAN MANUEL</t>
  </si>
  <si>
    <t>219a6573</t>
  </si>
  <si>
    <t>066</t>
  </si>
  <si>
    <t>47 PCC</t>
  </si>
  <si>
    <t>VARGAS OSSES JHON ELKIN</t>
  </si>
  <si>
    <t>f435c6cd</t>
  </si>
  <si>
    <t>1005452210</t>
  </si>
  <si>
    <t>1012363759</t>
  </si>
  <si>
    <t>053</t>
  </si>
  <si>
    <t>3 LOG</t>
  </si>
  <si>
    <t>QUIROGA DUARTE DIEGO ALEXANDER</t>
  </si>
  <si>
    <t>91c01441</t>
  </si>
  <si>
    <t>070</t>
  </si>
  <si>
    <t>MOGOLLON HERRENO JHON FREDY</t>
  </si>
  <si>
    <t>1098706254</t>
  </si>
  <si>
    <t>18 LN</t>
  </si>
  <si>
    <t>4252c782</t>
  </si>
  <si>
    <t>1096538631</t>
  </si>
  <si>
    <t>CARVAJAL ARDILA JOHAN SEBASTIAN</t>
  </si>
  <si>
    <t>57988f62</t>
  </si>
  <si>
    <t>1005541986</t>
  </si>
  <si>
    <t>094</t>
  </si>
  <si>
    <t>ROJAS MORENO JEFERSON STIVEN</t>
  </si>
  <si>
    <t>fbf8e181</t>
  </si>
  <si>
    <t>1050920056</t>
  </si>
  <si>
    <t>147</t>
  </si>
  <si>
    <t>FLOREZ BADILLO ANDRES MAURICIO</t>
  </si>
  <si>
    <t>48 PCC</t>
  </si>
  <si>
    <t>073</t>
  </si>
  <si>
    <t>93f58fb0</t>
  </si>
  <si>
    <t>1095817542</t>
  </si>
  <si>
    <t>ROMERO PEDRAZA SERGIO OMAR</t>
  </si>
  <si>
    <t>076</t>
  </si>
  <si>
    <t>GALVIS DIAZ BRAYAN SNEYDER</t>
  </si>
  <si>
    <t>1098738467</t>
  </si>
  <si>
    <t>58 LN</t>
  </si>
  <si>
    <t>Renuncia voluntaria (asistomatico)</t>
  </si>
  <si>
    <t>9aa495a2</t>
  </si>
  <si>
    <t>1063482428</t>
  </si>
  <si>
    <t>SALAS JIMÉNEZ CAMILO JESUS</t>
  </si>
  <si>
    <t>49 PCC</t>
  </si>
  <si>
    <t>6056c619</t>
  </si>
  <si>
    <t>075</t>
  </si>
  <si>
    <t>BOTHIA RAMIREZ OMAR</t>
  </si>
  <si>
    <t>13542099</t>
  </si>
  <si>
    <t>253f5789</t>
  </si>
  <si>
    <t>1005371592</t>
  </si>
  <si>
    <t>194</t>
  </si>
  <si>
    <t>GUTIERREZ MUÑOZ LUIS MIGUEL</t>
  </si>
  <si>
    <t>50 PCC</t>
  </si>
  <si>
    <t>1a5eac28</t>
  </si>
  <si>
    <t>5425331</t>
  </si>
  <si>
    <t>199f3bba</t>
  </si>
  <si>
    <t>078</t>
  </si>
  <si>
    <t>CARRILLO FAMA JESUS YOEL</t>
  </si>
  <si>
    <t>IBARRA MOLINA JEAN CARLOS</t>
  </si>
  <si>
    <t>1100976668</t>
  </si>
  <si>
    <t>19 LN</t>
  </si>
  <si>
    <t>1d16448a</t>
  </si>
  <si>
    <t>1193567011</t>
  </si>
  <si>
    <t>024</t>
  </si>
  <si>
    <t>MALAGON GAMEZ ANDERSON RONALDO</t>
  </si>
  <si>
    <t>TIC</t>
  </si>
  <si>
    <t>51 PCC</t>
  </si>
  <si>
    <t>e7d3d6ec</t>
  </si>
  <si>
    <t>f9407c21</t>
  </si>
  <si>
    <t>079</t>
  </si>
  <si>
    <t>1094962899</t>
  </si>
  <si>
    <t>DERIVADOS CARNICOS</t>
  </si>
  <si>
    <t>VILLA CORTES JUAN DIEGO</t>
  </si>
  <si>
    <t>Renuncia voluntaria (trabajo 3 dias)</t>
  </si>
  <si>
    <t>EXT</t>
  </si>
  <si>
    <t>5ae1ac79</t>
  </si>
  <si>
    <t>1095917873</t>
  </si>
  <si>
    <t>AMARIS VEGA DEIVIS</t>
  </si>
  <si>
    <t>52 PCC</t>
  </si>
  <si>
    <t>37ee0ee3</t>
  </si>
  <si>
    <t>083</t>
  </si>
  <si>
    <t>80842536</t>
  </si>
  <si>
    <t>PACHECO MANRIQUE ANDRES FELIPE</t>
  </si>
  <si>
    <t>MARTINEZ RAMIREZ MARIO ALEXANDER</t>
  </si>
  <si>
    <t>1005346356</t>
  </si>
  <si>
    <t>22 LN</t>
  </si>
  <si>
    <t>16010243</t>
  </si>
  <si>
    <t>18974435</t>
  </si>
  <si>
    <t>085</t>
  </si>
  <si>
    <t>ROMERO BERRUECO DAIRO DARIO</t>
  </si>
  <si>
    <t>38</t>
  </si>
  <si>
    <t>Renuncia voluntaria (desacuerdo con bonificacion cabezas)</t>
  </si>
  <si>
    <t>53 PCC</t>
  </si>
  <si>
    <t>6d4b7301</t>
  </si>
  <si>
    <t>1102362432</t>
  </si>
  <si>
    <t>CARVAJAL ORDUZ JULIÁN ANDRES</t>
  </si>
  <si>
    <t>49</t>
  </si>
  <si>
    <t>aca52516</t>
  </si>
  <si>
    <t>1095909053</t>
  </si>
  <si>
    <t>DELGADO RUEDA DANIEL RICARDO</t>
  </si>
  <si>
    <t>3c6b4cf7</t>
  </si>
  <si>
    <t>91353575</t>
  </si>
  <si>
    <t>54 PCC</t>
  </si>
  <si>
    <t>PEÑA FUENTES EDWIN ANTONIO</t>
  </si>
  <si>
    <t>Renuncia voluntaria  (ausentismo)</t>
  </si>
  <si>
    <t>088</t>
  </si>
  <si>
    <t>b631a8c1</t>
  </si>
  <si>
    <t>1005153680</t>
  </si>
  <si>
    <t>092</t>
  </si>
  <si>
    <t>PEÑA RODRIGUEZ JEIDER ESSTIVEN</t>
  </si>
  <si>
    <t>SANCHEZ RODRIGUEZ EUDY JOSE</t>
  </si>
  <si>
    <t>97d734e1</t>
  </si>
  <si>
    <t>0</t>
  </si>
  <si>
    <t>8123448070</t>
  </si>
  <si>
    <t>068</t>
  </si>
  <si>
    <t>4 LOG</t>
  </si>
  <si>
    <t>LUQUE RODRIGUEZ FREDY ALEXANDER</t>
  </si>
  <si>
    <t>55 PCC</t>
  </si>
  <si>
    <t>73c1e119</t>
  </si>
  <si>
    <t>91526854</t>
  </si>
  <si>
    <t>dd723b86</t>
  </si>
  <si>
    <t>ARCILA ESPINOSA EVER ALEXANDER</t>
  </si>
  <si>
    <t>090</t>
  </si>
  <si>
    <t>CANCINO WILMAR JAVIER</t>
  </si>
  <si>
    <t>91347680</t>
  </si>
  <si>
    <t>23 LN</t>
  </si>
  <si>
    <t>7efa3539</t>
  </si>
  <si>
    <t>1065245739</t>
  </si>
  <si>
    <t>174</t>
  </si>
  <si>
    <t>CAMELO ESPEJO JOSE ARMANDO</t>
  </si>
  <si>
    <t>33</t>
  </si>
  <si>
    <t>Renuncia voluntaria (indiciplinado y problematico)</t>
  </si>
  <si>
    <t>1 MUJ</t>
  </si>
  <si>
    <t>45b25eff</t>
  </si>
  <si>
    <t>1098782901</t>
  </si>
  <si>
    <t>1127947335</t>
  </si>
  <si>
    <t>S002</t>
  </si>
  <si>
    <t>096</t>
  </si>
  <si>
    <t>QUINTERO RADA GELBER JAVIER</t>
  </si>
  <si>
    <t>58</t>
  </si>
  <si>
    <t>RAMIREZ VARGAS OLINTO</t>
  </si>
  <si>
    <t>91176452</t>
  </si>
  <si>
    <t>Renuncia voluntaria (buen trabajor)</t>
  </si>
  <si>
    <t>24 LN</t>
  </si>
  <si>
    <t>2b495abb</t>
  </si>
  <si>
    <t>1007579361</t>
  </si>
  <si>
    <t>163</t>
  </si>
  <si>
    <t>RODRIGUEZ SILVA BRAYAN CAMILO</t>
  </si>
  <si>
    <t>2 MUJ</t>
  </si>
  <si>
    <t>102</t>
  </si>
  <si>
    <t>ee90524e</t>
  </si>
  <si>
    <t>1102383826</t>
  </si>
  <si>
    <t>RUBIANO LEMUS YUDY ANDREA</t>
  </si>
  <si>
    <t>PALACIOS CARVAJAL JEAN CARLOS</t>
  </si>
  <si>
    <t>40</t>
  </si>
  <si>
    <t>63560912</t>
  </si>
  <si>
    <t>3 MUJ</t>
  </si>
  <si>
    <t>c78f5dff</t>
  </si>
  <si>
    <t>1095937389</t>
  </si>
  <si>
    <t>118</t>
  </si>
  <si>
    <t>SANABRIA FLOREZ DEICY TATIANA</t>
  </si>
  <si>
    <t>104</t>
  </si>
  <si>
    <t>ARDILA SALAS EDWARD ALEXANDER</t>
  </si>
  <si>
    <t>ec21806c</t>
  </si>
  <si>
    <t>1098765061</t>
  </si>
  <si>
    <t>170</t>
  </si>
  <si>
    <t>1098645575</t>
  </si>
  <si>
    <t>NIÑO DIAZ JHORDAN ALEXIS</t>
  </si>
  <si>
    <t>9 LYD</t>
  </si>
  <si>
    <t>c07c0c9a</t>
  </si>
  <si>
    <t>1095825463</t>
  </si>
  <si>
    <t>167</t>
  </si>
  <si>
    <t>SANTOS PEÑUELA SEBASTIAN</t>
  </si>
  <si>
    <t>b0e3b29a</t>
  </si>
  <si>
    <t>110</t>
  </si>
  <si>
    <t>a0011b0f</t>
  </si>
  <si>
    <t>MANTILLA DELGADO LUIS ERNESTO</t>
  </si>
  <si>
    <t>1098708548</t>
  </si>
  <si>
    <t>91510509</t>
  </si>
  <si>
    <t>GIL RODRÍGUEZ WILMER</t>
  </si>
  <si>
    <t>27 LN</t>
  </si>
  <si>
    <t>d308261b</t>
  </si>
  <si>
    <t>91536699</t>
  </si>
  <si>
    <t>098</t>
  </si>
  <si>
    <t>ALBARRACÍN CARREÑO EDINSON</t>
  </si>
  <si>
    <t>116</t>
  </si>
  <si>
    <t>XXL</t>
  </si>
  <si>
    <t>SANDOVAL SUAREZ ELIANA YUDDYT</t>
  </si>
  <si>
    <t>Renuncia voluntaria (trabajo 8 dias)</t>
  </si>
  <si>
    <t>37729142</t>
  </si>
  <si>
    <t>4 MUJ</t>
  </si>
  <si>
    <t>81734cc9</t>
  </si>
  <si>
    <t>6202600</t>
  </si>
  <si>
    <t>HERNÁNDEZ ALEXIS JOSÉ</t>
  </si>
  <si>
    <t>Renuncia voluntaria (Bajo rendimiento operario con muchas observaciones negativa )</t>
  </si>
  <si>
    <t>117</t>
  </si>
  <si>
    <t>58002c77</t>
  </si>
  <si>
    <t>1007673743</t>
  </si>
  <si>
    <t>3 LN</t>
  </si>
  <si>
    <t>LOPEZ JAIMES LEONARDO FABIO</t>
  </si>
  <si>
    <t>AYALA PARRA YEISON FABIAN</t>
  </si>
  <si>
    <t>1097304486</t>
  </si>
  <si>
    <t>4da80b03</t>
  </si>
  <si>
    <t>1102387913</t>
  </si>
  <si>
    <t>037</t>
  </si>
  <si>
    <t>SANDOVAL MALDONADO BRAYAN JULIAN</t>
  </si>
  <si>
    <t>10af1800</t>
  </si>
  <si>
    <t>1094778405</t>
  </si>
  <si>
    <t>95db2cd4</t>
  </si>
  <si>
    <t>112</t>
  </si>
  <si>
    <t>122</t>
  </si>
  <si>
    <t>ROPERO CAÑAS JHOIMAR FABIAN</t>
  </si>
  <si>
    <t>4 LN</t>
  </si>
  <si>
    <t>RINCON TORRES JAVIER ENRIQUE</t>
  </si>
  <si>
    <t>Renuncia voluntaria (no trabajo se retiro 15 minutos despues de ingresar a proceso)</t>
  </si>
  <si>
    <t>91185275</t>
  </si>
  <si>
    <t>8f1e061e</t>
  </si>
  <si>
    <t>1066084106</t>
  </si>
  <si>
    <t>229</t>
  </si>
  <si>
    <t>PEDROZA DUARTE JORGE ELIECER</t>
  </si>
  <si>
    <t>23e21c32</t>
  </si>
  <si>
    <t>1099377191</t>
  </si>
  <si>
    <t>125</t>
  </si>
  <si>
    <t>MENDOZA SOLANO JORGE ENRIQUE</t>
  </si>
  <si>
    <t>ESTUPIÑAN VELANDIA PEDRO FELIPE</t>
  </si>
  <si>
    <t>1104184702</t>
  </si>
  <si>
    <t>6 ADM</t>
  </si>
  <si>
    <t>b049ed6d</t>
  </si>
  <si>
    <t>6990572</t>
  </si>
  <si>
    <t>RAMIREZ GONZÁLEZ ANTONIO RAFAEL</t>
  </si>
  <si>
    <t>5a1343b0</t>
  </si>
  <si>
    <t>1095951615</t>
  </si>
  <si>
    <t>255</t>
  </si>
  <si>
    <t>GOMEZ GRATEROL JORGE ANDRES</t>
  </si>
  <si>
    <t>6 LN</t>
  </si>
  <si>
    <t>GOMEZ LOPEZ LUIS CARLOS</t>
  </si>
  <si>
    <t>53</t>
  </si>
  <si>
    <t>1140417725</t>
  </si>
  <si>
    <t>No se renovo contrato ( presentaba afectacion en extremidades y indisciplinado)</t>
  </si>
  <si>
    <t>cb492fbf</t>
  </si>
  <si>
    <t>1095812471</t>
  </si>
  <si>
    <t>140</t>
  </si>
  <si>
    <t>JAIMES JAIMES FEDERICO</t>
  </si>
  <si>
    <t>MEDINA MALDONADO DARWIN JULIAN</t>
  </si>
  <si>
    <t>2198734</t>
  </si>
  <si>
    <t>28 LN</t>
  </si>
  <si>
    <t>b9bcf502</t>
  </si>
  <si>
    <t>1005371446</t>
  </si>
  <si>
    <t>HERRERA MANRIQUE JOSEPT SMITH</t>
  </si>
  <si>
    <t>150</t>
  </si>
  <si>
    <t>PARADA SILVA ANDREY ALIRIO</t>
  </si>
  <si>
    <t>1100895546</t>
  </si>
  <si>
    <t>11 LYD</t>
  </si>
  <si>
    <t>f8191b0d</t>
  </si>
  <si>
    <t>1100223026</t>
  </si>
  <si>
    <t>BARRERA REYES DEEYNE YURIANI</t>
  </si>
  <si>
    <t>d79deacf</t>
  </si>
  <si>
    <t>152</t>
  </si>
  <si>
    <t>8aa96378</t>
  </si>
  <si>
    <t>1098609372</t>
  </si>
  <si>
    <t>SIERRA LIZARAZO LUIS MIGUEL</t>
  </si>
  <si>
    <t>1100896781</t>
  </si>
  <si>
    <t>SANTOS CORREA JUAN DAVID</t>
  </si>
  <si>
    <t>Renuncia - cambio a Minerva</t>
  </si>
  <si>
    <t>97db4fd1</t>
  </si>
  <si>
    <t>1095933752</t>
  </si>
  <si>
    <t>SUAREZ REYES YORDY FABIAN</t>
  </si>
  <si>
    <t>c22633db</t>
  </si>
  <si>
    <t>157</t>
  </si>
  <si>
    <t>LOPEZ PEREZ BRAYAN ENRIQUE</t>
  </si>
  <si>
    <t>Terminacion (bajo rendimiento)</t>
  </si>
  <si>
    <t>1094579631</t>
  </si>
  <si>
    <t>9 ADM</t>
  </si>
  <si>
    <t>1708eb6c</t>
  </si>
  <si>
    <t>1005539233</t>
  </si>
  <si>
    <t>179</t>
  </si>
  <si>
    <t>GALVAN CONTRERAS EDUIN EMIRO</t>
  </si>
  <si>
    <t>11 LN</t>
  </si>
  <si>
    <t>af9180da</t>
  </si>
  <si>
    <t>1005328311</t>
  </si>
  <si>
    <t>231</t>
  </si>
  <si>
    <t>MACHADO BARRIOS SEBASTIAN</t>
  </si>
  <si>
    <t>ddccee53</t>
  </si>
  <si>
    <t>158</t>
  </si>
  <si>
    <t>GARRIDO VALDERRAMA EDILSON</t>
  </si>
  <si>
    <t>d538cae6</t>
  </si>
  <si>
    <t>1005162501</t>
  </si>
  <si>
    <t>83092161</t>
  </si>
  <si>
    <t>9 LOG</t>
  </si>
  <si>
    <t>OCHOA HERNÁNDEZ ANDRES FELIPE</t>
  </si>
  <si>
    <t>Renuncia (metiendo vicio en proceso)</t>
  </si>
  <si>
    <t>12 LN</t>
  </si>
  <si>
    <t>1e15cee2</t>
  </si>
  <si>
    <t>1004824012</t>
  </si>
  <si>
    <t>CASTILLO PABON OMAR JAVIER</t>
  </si>
  <si>
    <t>f0000b34</t>
  </si>
  <si>
    <t>159</t>
  </si>
  <si>
    <t>Renuncia voluntaria (falsificación incapacidades)</t>
  </si>
  <si>
    <t>TORRES JORGE ELIECER</t>
  </si>
  <si>
    <t>91294734</t>
  </si>
  <si>
    <t>12 LYD</t>
  </si>
  <si>
    <t>508e26b8</t>
  </si>
  <si>
    <t>1098698779</t>
  </si>
  <si>
    <t>254</t>
  </si>
  <si>
    <t>SIERRA RIVERA HORLEY</t>
  </si>
  <si>
    <t>Renuncia voluntaria</t>
  </si>
  <si>
    <t>13 LN</t>
  </si>
  <si>
    <t>12c01023</t>
  </si>
  <si>
    <t>ab8ad2b9</t>
  </si>
  <si>
    <t>1005340217</t>
  </si>
  <si>
    <t>161</t>
  </si>
  <si>
    <t>PARADA SIERRA FABIO ENRIQUE</t>
  </si>
  <si>
    <t>SARABIA GRIMALDOS ANDRES FELIPE</t>
  </si>
  <si>
    <t>1007929887</t>
  </si>
  <si>
    <t>30 LN</t>
  </si>
  <si>
    <t>8a382d80</t>
  </si>
  <si>
    <t>1005336879</t>
  </si>
  <si>
    <t>043</t>
  </si>
  <si>
    <t>ARENIS JAIMES JEISON ANDRES</t>
  </si>
  <si>
    <t>Renuncia voluntaria (cambio de ciudad)</t>
  </si>
  <si>
    <t>165</t>
  </si>
  <si>
    <t>845f8adf</t>
  </si>
  <si>
    <t>LIZCANO MARTINEZ ISIDRO</t>
  </si>
  <si>
    <t>1005162790</t>
  </si>
  <si>
    <t>REYES NARANJO MICHAEL STIWEN</t>
  </si>
  <si>
    <t>91275933</t>
  </si>
  <si>
    <t>Renuncia voluntaria (ausencias injustificadas)</t>
  </si>
  <si>
    <t>951316a3</t>
  </si>
  <si>
    <t>1005236832</t>
  </si>
  <si>
    <t>ALBARRACÍN CABALLERO JOSE SEBASTIÁN</t>
  </si>
  <si>
    <t>4f698900</t>
  </si>
  <si>
    <t>168</t>
  </si>
  <si>
    <t>SILVA QUIJANO ANDERSON JULIAN</t>
  </si>
  <si>
    <t>1005334196</t>
  </si>
  <si>
    <t>1a4cdbee</t>
  </si>
  <si>
    <t>1192743216</t>
  </si>
  <si>
    <t>199</t>
  </si>
  <si>
    <t>PRADILLA TAPIAS JUAN CAMILO</t>
  </si>
  <si>
    <t>5b873184</t>
  </si>
  <si>
    <t>1007715302</t>
  </si>
  <si>
    <t>144</t>
  </si>
  <si>
    <t>BLANCO ALVIARES MARIA FERNANDA</t>
  </si>
  <si>
    <t>d1f6da20</t>
  </si>
  <si>
    <t>4</t>
  </si>
  <si>
    <t>173</t>
  </si>
  <si>
    <t>VERA BUITRAGO EDISON DAYAN</t>
  </si>
  <si>
    <t>91533211</t>
  </si>
  <si>
    <t>eda7734b</t>
  </si>
  <si>
    <t>PINZON PEDRAZA GERSON ANDRES</t>
  </si>
  <si>
    <t>73a566e8</t>
  </si>
  <si>
    <t>1099734814</t>
  </si>
  <si>
    <t>ACEVEDO CORTES LUDWING OSWALDO</t>
  </si>
  <si>
    <t>33f7ddbb</t>
  </si>
  <si>
    <t>1097095153</t>
  </si>
  <si>
    <t>OVIEDO PABON JUAN DAVID</t>
  </si>
  <si>
    <t>42</t>
  </si>
  <si>
    <t>f60a167b</t>
  </si>
  <si>
    <t>214</t>
  </si>
  <si>
    <t>DERIVADOS CARNICOS EDWIN ORDUZ</t>
  </si>
  <si>
    <t>4f6889d0</t>
  </si>
  <si>
    <t>1126427502</t>
  </si>
  <si>
    <t>069</t>
  </si>
  <si>
    <t>CACERES BALLESTEROS HERNAN DARIO</t>
  </si>
  <si>
    <t>5b06b77e</t>
  </si>
  <si>
    <t>1193143191</t>
  </si>
  <si>
    <t>071</t>
  </si>
  <si>
    <t>RAMÍREZ ZAFRA DAVINSON</t>
  </si>
  <si>
    <t>7a37178e</t>
  </si>
  <si>
    <t>219</t>
  </si>
  <si>
    <t>ASURCARNES BRAYAN HERRERA</t>
  </si>
  <si>
    <t>13 ADM</t>
  </si>
  <si>
    <t>08fa1a78</t>
  </si>
  <si>
    <t>1003334809</t>
  </si>
  <si>
    <t>GARCIA BELEÑO JADER</t>
  </si>
  <si>
    <t>Consumo de marihuana, cancelacion de contrato</t>
  </si>
  <si>
    <t>228</t>
  </si>
  <si>
    <t>AGON PEDRAZA JAIRO FABIAN</t>
  </si>
  <si>
    <t>1007679366</t>
  </si>
  <si>
    <t>c7b47f26</t>
  </si>
  <si>
    <t>1098763741</t>
  </si>
  <si>
    <t>184</t>
  </si>
  <si>
    <t>SIERRA SANDOVAL CESAR AUGUSTO</t>
  </si>
  <si>
    <t>cambio a analista</t>
  </si>
  <si>
    <t>503c83cf</t>
  </si>
  <si>
    <t>1098673104</t>
  </si>
  <si>
    <t>CALDERON PABON JAVIER EDUARDO</t>
  </si>
  <si>
    <t>OLIVERA FLORES JOSE GABRIEL</t>
  </si>
  <si>
    <t>72342162</t>
  </si>
  <si>
    <t xml:space="preserve">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</t>
  </si>
  <si>
    <t>8f6d8bdd</t>
  </si>
  <si>
    <t>1005328954</t>
  </si>
  <si>
    <t>236</t>
  </si>
  <si>
    <t>LOPEZ GARCIA BRAYAN SNEIDER</t>
  </si>
  <si>
    <t>6fc52de5</t>
  </si>
  <si>
    <t>233</t>
  </si>
  <si>
    <t xml:space="preserve">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</t>
  </si>
  <si>
    <t>CABALLERO MOTTA ELIAS</t>
  </si>
  <si>
    <t>5684958</t>
  </si>
  <si>
    <t>b419883f</t>
  </si>
  <si>
    <t>1003335012</t>
  </si>
  <si>
    <t>MARMOL OLIVEROS DANIS MANUEL</t>
  </si>
  <si>
    <t>20 LN</t>
  </si>
  <si>
    <t xml:space="preserve">Tenia leccion que limitaba funciones </t>
  </si>
  <si>
    <t xml:space="preserve">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</t>
  </si>
  <si>
    <t>55c4d4cf</t>
  </si>
  <si>
    <t>249</t>
  </si>
  <si>
    <t>BETANCOURT AGUDELO LUZ JASMIN</t>
  </si>
  <si>
    <t>1bb604fc</t>
  </si>
  <si>
    <t>1005109559</t>
  </si>
  <si>
    <t>37557088</t>
  </si>
  <si>
    <t>146</t>
  </si>
  <si>
    <t>9 MUJ</t>
  </si>
  <si>
    <t>QUIÑONEZ CANTILLO DANIEL FELIPE</t>
  </si>
  <si>
    <t>59</t>
  </si>
  <si>
    <t>21 LN</t>
  </si>
  <si>
    <t xml:space="preserve">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</t>
  </si>
  <si>
    <t>MANTENIMIENTO</t>
  </si>
  <si>
    <t>14 ADM</t>
  </si>
  <si>
    <t>a35ce460</t>
  </si>
  <si>
    <t>1005327585</t>
  </si>
  <si>
    <t>S-M-L-XL</t>
  </si>
  <si>
    <t>SANTOS GOMEZ ANGEL ALBERTO</t>
  </si>
  <si>
    <t xml:space="preserve">por problematico </t>
  </si>
  <si>
    <t>25fcf1c9</t>
  </si>
  <si>
    <t>001</t>
  </si>
  <si>
    <t>ORDUZ SOLANO MARLON ALEXIS</t>
  </si>
  <si>
    <t>1098743062</t>
  </si>
  <si>
    <t>15 ADM</t>
  </si>
  <si>
    <t xml:space="preserve">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</t>
  </si>
  <si>
    <t>00096d73</t>
  </si>
  <si>
    <t>6833704</t>
  </si>
  <si>
    <t>HERRERA FLOREZ STARLYN JOSÉ</t>
  </si>
  <si>
    <t>25</t>
  </si>
  <si>
    <t>d3c82d34</t>
  </si>
  <si>
    <t>renuncia voluntaria</t>
  </si>
  <si>
    <t>TRANSCARNES</t>
  </si>
  <si>
    <t>7fa1486c</t>
  </si>
  <si>
    <t>d94129b8</t>
  </si>
  <si>
    <t>153</t>
  </si>
  <si>
    <t>CONTRERAS ROSALES JUAN CARLOS</t>
  </si>
  <si>
    <t>6151228</t>
  </si>
  <si>
    <t>39 LN</t>
  </si>
  <si>
    <t>25 LN</t>
  </si>
  <si>
    <t>6e8c0b9b</t>
  </si>
  <si>
    <t>198</t>
  </si>
  <si>
    <t>CALDERON ANTON SNEIDER JOSE</t>
  </si>
  <si>
    <t>5297986</t>
  </si>
  <si>
    <t xml:space="preserve">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</t>
  </si>
  <si>
    <t>26 LN</t>
  </si>
  <si>
    <t>ec1154ec</t>
  </si>
  <si>
    <t>1098604466</t>
  </si>
  <si>
    <t>7d8de974</t>
  </si>
  <si>
    <t>028</t>
  </si>
  <si>
    <t>MUÑOZ SOLANO DAVID FERNANDO</t>
  </si>
  <si>
    <t>GARCIA LINARES FREILEM BRANYAN</t>
  </si>
  <si>
    <t>5717879</t>
  </si>
  <si>
    <t xml:space="preserve">bajo rendimiento y incapacidades frecuentes y falsas </t>
  </si>
  <si>
    <t>13 LOG</t>
  </si>
  <si>
    <t>151</t>
  </si>
  <si>
    <t>ORTIZ RUIZ WILLINTON</t>
  </si>
  <si>
    <t>1234338572</t>
  </si>
  <si>
    <t>74f119a4</t>
  </si>
  <si>
    <t>127</t>
  </si>
  <si>
    <t>ESPITIA LANDAZABAL JAHIR FABIAN</t>
  </si>
  <si>
    <t>1098782929</t>
  </si>
  <si>
    <t xml:space="preserve">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</t>
  </si>
  <si>
    <t>d5cb7e06</t>
  </si>
  <si>
    <t>1124055390</t>
  </si>
  <si>
    <t>257</t>
  </si>
  <si>
    <t>CELEDON AVILA ELIAS RAFAEL</t>
  </si>
  <si>
    <t>Consumo de alcohol</t>
  </si>
  <si>
    <t>AGUILAR SAAVEDRA LUIS DAVID</t>
  </si>
  <si>
    <t>40 LN</t>
  </si>
  <si>
    <t>0662474e</t>
  </si>
  <si>
    <t>5496677</t>
  </si>
  <si>
    <t>191</t>
  </si>
  <si>
    <t>BELISARIO CARVAJAL ELIESER JOSE</t>
  </si>
  <si>
    <t>a6baf8bc</t>
  </si>
  <si>
    <t>29 LN</t>
  </si>
  <si>
    <t>135</t>
  </si>
  <si>
    <t>BECERRA JAIMES DIEGO ARMANDO</t>
  </si>
  <si>
    <t>1098724961</t>
  </si>
  <si>
    <t>41 LN</t>
  </si>
  <si>
    <t>707ad592</t>
  </si>
  <si>
    <t>1005327469</t>
  </si>
  <si>
    <t>CARDENAS RONDÓN DANIEL</t>
  </si>
  <si>
    <t>21 ADM</t>
  </si>
  <si>
    <t>AULAR CASTRILLO LEONEL ARNARDO</t>
  </si>
  <si>
    <t>4994640</t>
  </si>
  <si>
    <t>18 LYD</t>
  </si>
  <si>
    <t>1439cbec</t>
  </si>
  <si>
    <t>1005209693</t>
  </si>
  <si>
    <t>MEDINA GARZON IAN SEBASTIÁN</t>
  </si>
  <si>
    <t>9f7d01c1</t>
  </si>
  <si>
    <t>20 ADM</t>
  </si>
  <si>
    <t>P001</t>
  </si>
  <si>
    <t>SEQUEDA REATIGA ELBER ANDRES</t>
  </si>
  <si>
    <t>1005505533</t>
  </si>
  <si>
    <t>42 LN</t>
  </si>
  <si>
    <t>d7daba59</t>
  </si>
  <si>
    <t>1000046788</t>
  </si>
  <si>
    <t>AMOROCHO TAMI JOAQUIN</t>
  </si>
  <si>
    <t>Consumo de marihuana</t>
  </si>
  <si>
    <t>MOLINA RINCON LUIS MANUEL</t>
  </si>
  <si>
    <t>14 LOG</t>
  </si>
  <si>
    <t>83be2346</t>
  </si>
  <si>
    <t>1098733100</t>
  </si>
  <si>
    <t>ERAZO OLIVEROS DARIO JESUS</t>
  </si>
  <si>
    <t>31 LN</t>
  </si>
  <si>
    <t>no paso prueba</t>
  </si>
  <si>
    <t>5b7bf419</t>
  </si>
  <si>
    <t>1003167676</t>
  </si>
  <si>
    <t>ROMERO GUERRERO ANDRES CAMILO</t>
  </si>
  <si>
    <t>e40a41ab</t>
  </si>
  <si>
    <t>1116799172</t>
  </si>
  <si>
    <t>S006</t>
  </si>
  <si>
    <t>cd248872</t>
  </si>
  <si>
    <t>MEJIA MONTESINOS MIGUEL ANDRÉS</t>
  </si>
  <si>
    <t>39</t>
  </si>
  <si>
    <t>32 LN</t>
  </si>
  <si>
    <t>MANTENIMIENTO2</t>
  </si>
  <si>
    <t>16 ADM</t>
  </si>
  <si>
    <t>3ca0590a</t>
  </si>
  <si>
    <t>1100895396</t>
  </si>
  <si>
    <t>NIÑO NIÑO JOSE ALEXANDER</t>
  </si>
  <si>
    <t>a57508db</t>
  </si>
  <si>
    <t>e93f8711</t>
  </si>
  <si>
    <t>1007735486</t>
  </si>
  <si>
    <t>082</t>
  </si>
  <si>
    <t>DIAZ FRANCO DIEGO ANDRES</t>
  </si>
  <si>
    <t>33 LN</t>
  </si>
  <si>
    <t>RINCÓN DIAZ MILKIN YESID</t>
  </si>
  <si>
    <t>ee577fb8</t>
  </si>
  <si>
    <t>1065232462</t>
  </si>
  <si>
    <t>15 LOG</t>
  </si>
  <si>
    <t>CHAPARRO AREVALO LUIS ABEL</t>
  </si>
  <si>
    <t>55 LN</t>
  </si>
  <si>
    <t>34 LN</t>
  </si>
  <si>
    <t>926b9b3a</t>
  </si>
  <si>
    <t>91185357</t>
  </si>
  <si>
    <t>04db6441</t>
  </si>
  <si>
    <t>141</t>
  </si>
  <si>
    <t>TORRES RUEDA ROBINSON</t>
  </si>
  <si>
    <t>VILLAMIZAR RODRIGUEZ IVAN</t>
  </si>
  <si>
    <t>ee27adfb</t>
  </si>
  <si>
    <t>1065609442</t>
  </si>
  <si>
    <t>215</t>
  </si>
  <si>
    <t>35 LN</t>
  </si>
  <si>
    <t>JIMENEZ ALFARO CARLOS MARIO</t>
  </si>
  <si>
    <t>11 ADM</t>
  </si>
  <si>
    <t>21482519</t>
  </si>
  <si>
    <t>bdf6572a</t>
  </si>
  <si>
    <t>1095934331</t>
  </si>
  <si>
    <t>034</t>
  </si>
  <si>
    <t>MORENO RAMIREZ ANDRES FELIPE</t>
  </si>
  <si>
    <t>AFANADOR MENDEZ OSCAR FERNANDO</t>
  </si>
  <si>
    <t>16 LOG</t>
  </si>
  <si>
    <t>36 LN</t>
  </si>
  <si>
    <t>623a6929</t>
  </si>
  <si>
    <t>OSORIO ZANDUA JUAN SEBASTIAN</t>
  </si>
  <si>
    <t>19 ADM</t>
  </si>
  <si>
    <t>a6c62458</t>
  </si>
  <si>
    <t>1095935838</t>
  </si>
  <si>
    <t>138</t>
  </si>
  <si>
    <t>VILLANOVA CALDERON LEIDY VANESSA</t>
  </si>
  <si>
    <t>13 MUJ</t>
  </si>
  <si>
    <t>7f81574e</t>
  </si>
  <si>
    <t>15511951</t>
  </si>
  <si>
    <t>S004</t>
  </si>
  <si>
    <t>RAVAGO BASTARDO OSWALDO ANTONIO</t>
  </si>
  <si>
    <t>30</t>
  </si>
  <si>
    <t>37 LN</t>
  </si>
  <si>
    <t>f8bee131</t>
  </si>
  <si>
    <t>MARCANO GUZMÁN JOSE ERNESTO</t>
  </si>
  <si>
    <t>1004161830</t>
  </si>
  <si>
    <t>128</t>
  </si>
  <si>
    <t>CARRASQUILLA MERCADO EDUARDO JOSE</t>
  </si>
  <si>
    <t>19 LOG</t>
  </si>
  <si>
    <t>6 LOG</t>
  </si>
  <si>
    <t>761686a4</t>
  </si>
  <si>
    <t>1102722473</t>
  </si>
  <si>
    <t>BALLESTEROS NUÑEZ DERSO</t>
  </si>
  <si>
    <t>RUEDA DÍAZ JORGE CLETO</t>
  </si>
  <si>
    <t>38 LN</t>
  </si>
  <si>
    <t>556f57cb</t>
  </si>
  <si>
    <t>1093911471</t>
  </si>
  <si>
    <t>080</t>
  </si>
  <si>
    <t>CASADIEGO SANCHEZ ADEMIR</t>
  </si>
  <si>
    <t>cd8b547c</t>
  </si>
  <si>
    <t>GARCIA GOMEZ HUGO ARMANDO</t>
  </si>
  <si>
    <t>52 LN</t>
  </si>
  <si>
    <t>abae1cab</t>
  </si>
  <si>
    <t>1095939269</t>
  </si>
  <si>
    <t>190</t>
  </si>
  <si>
    <t>HERNANDEZ MORENO JEFFERSON</t>
  </si>
  <si>
    <t>43</t>
  </si>
  <si>
    <t>ANTON RODRÍGUEZ HECTOR LUIS</t>
  </si>
  <si>
    <t>fde8917e</t>
  </si>
  <si>
    <t>1005108235</t>
  </si>
  <si>
    <t>GOMEZ HERNÁNDEZ EDINSON SNEIDER</t>
  </si>
  <si>
    <t>e8cbe5e6</t>
  </si>
  <si>
    <t>9eb03e6e</t>
  </si>
  <si>
    <t>196</t>
  </si>
  <si>
    <t>91487619</t>
  </si>
  <si>
    <t>172</t>
  </si>
  <si>
    <t>QUINTERO RADA GERSON MANUEL</t>
  </si>
  <si>
    <t>ANAYA WILLIAM</t>
  </si>
  <si>
    <t>17</t>
  </si>
  <si>
    <t>54 LN</t>
  </si>
  <si>
    <t>bdf8fa02</t>
  </si>
  <si>
    <t>1094581619</t>
  </si>
  <si>
    <t>CLAVIJO TORRADO HEIDER JOHAN</t>
  </si>
  <si>
    <t>CABEZA FLOREZ JOHAN STIVEN</t>
  </si>
  <si>
    <t>25 LOG</t>
  </si>
  <si>
    <t>38ddc16e</t>
  </si>
  <si>
    <t>60264058</t>
  </si>
  <si>
    <t>062</t>
  </si>
  <si>
    <t>CRISTANCHO PABON RUBY ERLENY</t>
  </si>
  <si>
    <t>XS</t>
  </si>
  <si>
    <t>0c77512f</t>
  </si>
  <si>
    <t>1062904842</t>
  </si>
  <si>
    <t>PÉREZ QUINTERO FREDYS</t>
  </si>
  <si>
    <t>68fd5c7f</t>
  </si>
  <si>
    <t>HOYOS NIÑO ANDRES FELIPE</t>
  </si>
  <si>
    <t>56 LN</t>
  </si>
  <si>
    <t>b080ff50</t>
  </si>
  <si>
    <t>1004925404</t>
  </si>
  <si>
    <t>014</t>
  </si>
  <si>
    <t>GONZALEZ ALVAREZ ABRAHAN</t>
  </si>
  <si>
    <t>474ed142</t>
  </si>
  <si>
    <t>217</t>
  </si>
  <si>
    <t>ASURCARNES DIEGO AVILA</t>
  </si>
  <si>
    <t>18 ADM</t>
  </si>
  <si>
    <t>0cd9f00d</t>
  </si>
  <si>
    <t>1099374488</t>
  </si>
  <si>
    <t>S005</t>
  </si>
  <si>
    <t>PRADA GODOY JOSE VICENTE</t>
  </si>
  <si>
    <t>55</t>
  </si>
  <si>
    <t>4d52adf8</t>
  </si>
  <si>
    <t>MARMOL CAPATAZ JOSE MIGUEL</t>
  </si>
  <si>
    <t>60d015b6</t>
  </si>
  <si>
    <t>1095946112</t>
  </si>
  <si>
    <t>046</t>
  </si>
  <si>
    <t>14 LYD</t>
  </si>
  <si>
    <t>MAYORGA RINCON SERGIO DUVAN</t>
  </si>
  <si>
    <t>2c6a4c81</t>
  </si>
  <si>
    <t>6af7c832</t>
  </si>
  <si>
    <t>1098647256</t>
  </si>
  <si>
    <t>048</t>
  </si>
  <si>
    <t>RODRIGUEZ LIZCANO EDINSON FERNEY</t>
  </si>
  <si>
    <t>ROBLES RODRIGUEZ JOSE DARIO</t>
  </si>
  <si>
    <t>12 ADM</t>
  </si>
  <si>
    <t>43 LN</t>
  </si>
  <si>
    <t>8e8cc25b</t>
  </si>
  <si>
    <t>1007735388</t>
  </si>
  <si>
    <t>MARTINEZ RAMIREZ MAICOL ESTIBEN</t>
  </si>
  <si>
    <t>MENDEZ ORTIZ GLEIGER ABRAHAM</t>
  </si>
  <si>
    <t>53 LN</t>
  </si>
  <si>
    <t>b4ebefbb</t>
  </si>
  <si>
    <t>1095950032</t>
  </si>
  <si>
    <t>CARO MURALLA CARLOS ADRIAN</t>
  </si>
  <si>
    <t>17 LOG</t>
  </si>
  <si>
    <t>PADILLA BRIEVA MILEXANDE</t>
  </si>
  <si>
    <t>49 LN</t>
  </si>
  <si>
    <t>eb14ac30</t>
  </si>
  <si>
    <t>1005153018</t>
  </si>
  <si>
    <t>44 LN</t>
  </si>
  <si>
    <t>LIZARAZO SANCHEZ SEBASTIÁN ANDRES</t>
  </si>
  <si>
    <t>b6bf71b2</t>
  </si>
  <si>
    <t>1095944724</t>
  </si>
  <si>
    <t>SALAMANCA MARTINEZ LUIS ARMANDO</t>
  </si>
  <si>
    <t>5fff0aba</t>
  </si>
  <si>
    <t>1097093432</t>
  </si>
  <si>
    <t>GOMEZ MARTINEZ LUIS MARIO</t>
  </si>
  <si>
    <t>45 LN</t>
  </si>
  <si>
    <t>b21dc9ef</t>
  </si>
  <si>
    <t>BENITEZ VIDES YOSNEIDER</t>
  </si>
  <si>
    <t>57 LN</t>
  </si>
  <si>
    <t>5d041380</t>
  </si>
  <si>
    <t>1096203260</t>
  </si>
  <si>
    <t>HERNANDEZ FUENTES DAMARIS</t>
  </si>
  <si>
    <t>2de11ac2</t>
  </si>
  <si>
    <t>91259663</t>
  </si>
  <si>
    <t>010</t>
  </si>
  <si>
    <t>CARDENAS MELENDES  FABIO ARNOL</t>
  </si>
  <si>
    <t>46 LN</t>
  </si>
  <si>
    <t>2616c493</t>
  </si>
  <si>
    <t>1098674763</t>
  </si>
  <si>
    <t>124</t>
  </si>
  <si>
    <t>DIAZ MENDEZ JORGE LUIS</t>
  </si>
  <si>
    <t>11 LOG</t>
  </si>
  <si>
    <t>S003</t>
  </si>
  <si>
    <t>ROJAS SANCHEZ KEBIN YOBANY</t>
  </si>
  <si>
    <t>f4ba9ab6</t>
  </si>
  <si>
    <t>1095949619</t>
  </si>
  <si>
    <t>ACEVEDO SILVA SANDRA MILENA</t>
  </si>
  <si>
    <t>8 MUJ</t>
  </si>
  <si>
    <t>47 LN</t>
  </si>
  <si>
    <t>e6f53bb8</t>
  </si>
  <si>
    <t>1006426401</t>
  </si>
  <si>
    <t>JAIMES JAIMES JHON ALBEIRO</t>
  </si>
  <si>
    <t>CARDENAS GARCIA ARZEY MANUEL</t>
  </si>
  <si>
    <t>304dcdba</t>
  </si>
  <si>
    <t>1005161625</t>
  </si>
  <si>
    <t>0d613ede</t>
  </si>
  <si>
    <t>HERNANDEZ CAICEDO LUIS HORACIO</t>
  </si>
  <si>
    <t>LEAL MARCHAN JESUS MIGUEL</t>
  </si>
  <si>
    <t>2888ece4</t>
  </si>
  <si>
    <t>5472091</t>
  </si>
  <si>
    <t>PIÑANGO ARISTIMUÑO CRISTIAN</t>
  </si>
  <si>
    <t>48 LN</t>
  </si>
  <si>
    <t>c6214d1a</t>
  </si>
  <si>
    <t>ARRIETA MORENO JUAN DAVID</t>
  </si>
  <si>
    <t>a229a07d</t>
  </si>
  <si>
    <t>1127913059</t>
  </si>
  <si>
    <t>258</t>
  </si>
  <si>
    <t>AVILA NAVARRO LUIS ALFONSO</t>
  </si>
  <si>
    <t>RODRÍGUEZ MERCHAN ANGEL DAVID</t>
  </si>
  <si>
    <t>f73e5b18</t>
  </si>
  <si>
    <t>1234339324</t>
  </si>
  <si>
    <t>JAIMES QUINTERO MAICOL DAVIAN</t>
  </si>
  <si>
    <t>c3268387</t>
  </si>
  <si>
    <t>1098703920</t>
  </si>
  <si>
    <t>PABON CELIS JHON JAIRO</t>
  </si>
  <si>
    <t>cfc21f38</t>
  </si>
  <si>
    <t>1101753855</t>
  </si>
  <si>
    <t>ALVAREZ MARCHAN ELIBER</t>
  </si>
  <si>
    <t>MOGOLLON SUAREZ JHOSMAN JULIAN</t>
  </si>
  <si>
    <t>50 LN</t>
  </si>
  <si>
    <t>352eca57</t>
  </si>
  <si>
    <t>1098611431</t>
  </si>
  <si>
    <t>193</t>
  </si>
  <si>
    <t>SILVA ANGARITA ERWIN FRANCESCO</t>
  </si>
  <si>
    <t>378f7aec</t>
  </si>
  <si>
    <t>91536394</t>
  </si>
  <si>
    <t>134</t>
  </si>
  <si>
    <t>GUTIERREZ ORTEGA ABEL</t>
  </si>
  <si>
    <t>10 LYD</t>
  </si>
  <si>
    <t>SEGURA BARRERA MARIA FILOMENA</t>
  </si>
  <si>
    <t>51 LN</t>
  </si>
  <si>
    <t>2756b64d</t>
  </si>
  <si>
    <t>1066093663</t>
  </si>
  <si>
    <t>RODRIGUEZ BARRIOS LUIS EDUARDO</t>
  </si>
  <si>
    <t>18 LOG</t>
  </si>
  <si>
    <t>0cd03f4d</t>
  </si>
  <si>
    <t>MARQUEZ ZERPA YAMPIER JESUS</t>
  </si>
  <si>
    <t>a72cc643</t>
  </si>
  <si>
    <t>1095915984</t>
  </si>
  <si>
    <t>BAEZ GOMEZ JEFFERSON ALEXANDER</t>
  </si>
  <si>
    <t>b0f8df54</t>
  </si>
  <si>
    <t>f799ebbf</t>
  </si>
  <si>
    <t>91539847</t>
  </si>
  <si>
    <t>PEÑA ARENAS PEDRO ARMANDO</t>
  </si>
  <si>
    <t>13 LYD</t>
  </si>
  <si>
    <t>MEDINA CAICEDO CRISTIAN ANDRES</t>
  </si>
  <si>
    <t>3d65b978</t>
  </si>
  <si>
    <t>4610716</t>
  </si>
  <si>
    <t>CALDERON MANTILLA DARWIN JHOAN</t>
  </si>
  <si>
    <t>55f2aecd</t>
  </si>
  <si>
    <t>1098725439</t>
  </si>
  <si>
    <t>GUTIÉRREZ RAMIREZ DEIVILSON</t>
  </si>
  <si>
    <t>dea7436c</t>
  </si>
  <si>
    <t>BLANCO ALQUICHIRE JUAN JOSE</t>
  </si>
  <si>
    <t>66a97c93</t>
  </si>
  <si>
    <t>1005541785</t>
  </si>
  <si>
    <t>256</t>
  </si>
  <si>
    <t>SANTOS JAIMES JORGE</t>
  </si>
  <si>
    <t>28be6fbc</t>
  </si>
  <si>
    <t>ANDRADES IBAÑEZ JOSE FRANCISCO</t>
  </si>
  <si>
    <t>60af10a2</t>
  </si>
  <si>
    <t>1091683312</t>
  </si>
  <si>
    <t>SEPULVEDA BENITEZ ANDERSON FABIAN</t>
  </si>
  <si>
    <t>541d33bf</t>
  </si>
  <si>
    <t>1095913618</t>
  </si>
  <si>
    <t>057</t>
  </si>
  <si>
    <t>ROJAS BARRERA CAMILO ANDRES</t>
  </si>
  <si>
    <t>3 ADM</t>
  </si>
  <si>
    <t>7dd0b07a</t>
  </si>
  <si>
    <t>fafa9f13</t>
  </si>
  <si>
    <t>1005369277</t>
  </si>
  <si>
    <t>081</t>
  </si>
  <si>
    <t>GOMEZ PICO JERSON STEVEN</t>
  </si>
  <si>
    <t>RIVERA GOMEZ CAMILO ANDRÉS</t>
  </si>
  <si>
    <t>efb53c51</t>
  </si>
  <si>
    <t>1094266549</t>
  </si>
  <si>
    <t>22ad27ee</t>
  </si>
  <si>
    <t>CAPACHO RONDON JESUS DANIEL</t>
  </si>
  <si>
    <t>PEÑA PEÑA LUIS DAVID</t>
  </si>
  <si>
    <t>9f7e5dc0</t>
  </si>
  <si>
    <t>1098765042</t>
  </si>
  <si>
    <t>e066b07a</t>
  </si>
  <si>
    <t>ROJAS GUTIÉRREZ JHON FREDY</t>
  </si>
  <si>
    <t>0c924f73</t>
  </si>
  <si>
    <t>1098698435</t>
  </si>
  <si>
    <t>RAMIREZ VEGA FABIAN STWEN</t>
  </si>
  <si>
    <t>87f427ba</t>
  </si>
  <si>
    <t>1020467674</t>
  </si>
  <si>
    <t>211</t>
  </si>
  <si>
    <t>b807118e</t>
  </si>
  <si>
    <t>SANCHEZ GUTIERREZ YOHNY ALEJANDRO</t>
  </si>
  <si>
    <t>13a0ccc1</t>
  </si>
  <si>
    <t>5278095</t>
  </si>
  <si>
    <t>VICENT ROQUE HOANSER LUIS</t>
  </si>
  <si>
    <t>46</t>
  </si>
  <si>
    <t>04f99f00</t>
  </si>
  <si>
    <t>DIAZ VILLAMIZAR JAVIER ESTIVEN</t>
  </si>
  <si>
    <t>186b5230</t>
  </si>
  <si>
    <t>91527766</t>
  </si>
  <si>
    <t>089</t>
  </si>
  <si>
    <t>LOPEZ RINCON JOGUY</t>
  </si>
  <si>
    <t>e0f24f70</t>
  </si>
  <si>
    <t>RODRIGUEZ HERNÁNDEZ ANDRES MAURICIO</t>
  </si>
  <si>
    <t>f85ef8dd</t>
  </si>
  <si>
    <t>1095840246</t>
  </si>
  <si>
    <t>ARIZA MANTILLA JEISON DAVID</t>
  </si>
  <si>
    <t>90cc5be8</t>
  </si>
  <si>
    <t>1098631100</t>
  </si>
  <si>
    <t>ROMAN DÍAZ BLEYTER VLADIMIR</t>
  </si>
  <si>
    <t>bfc6d3fe</t>
  </si>
  <si>
    <t>dbce327c</t>
  </si>
  <si>
    <t>1095936020</t>
  </si>
  <si>
    <t>RAMOS OROZCO RONAL DAVID</t>
  </si>
  <si>
    <t>PORRAS DUEÑEZ DEINER ALEXANDER</t>
  </si>
  <si>
    <t>24 LOG</t>
  </si>
  <si>
    <t>10 LOG</t>
  </si>
  <si>
    <t>1 LYD</t>
  </si>
  <si>
    <t>ecfe533e</t>
  </si>
  <si>
    <t>1099736437</t>
  </si>
  <si>
    <t>VASQUEZ CASTAÑEDA CARLOS DAVID</t>
  </si>
  <si>
    <t>4966a6c0</t>
  </si>
  <si>
    <t>1005293842</t>
  </si>
  <si>
    <t>091</t>
  </si>
  <si>
    <t>NIEVES HERREÑO HINDERMAN</t>
  </si>
  <si>
    <t>843e720a</t>
  </si>
  <si>
    <t>ASURCARNES JAVIER RINCON</t>
  </si>
  <si>
    <t>2 LYD</t>
  </si>
  <si>
    <t>b68426d3</t>
  </si>
  <si>
    <t>1005331332</t>
  </si>
  <si>
    <t>ACOSTA CARREÑO JAIDER JOHAN</t>
  </si>
  <si>
    <t>559f0719</t>
  </si>
  <si>
    <t>GOMEZ SUAREZ BRAYAN FELIPE</t>
  </si>
  <si>
    <t>206e98e9</t>
  </si>
  <si>
    <t>1102383462</t>
  </si>
  <si>
    <t>OLARTE QUINTERO MAICOL DAVID</t>
  </si>
  <si>
    <t>4d52adf9</t>
  </si>
  <si>
    <t>011</t>
  </si>
  <si>
    <t>0e2e6652</t>
  </si>
  <si>
    <t>7563328</t>
  </si>
  <si>
    <t>FLOREZ PEDROZO HELVER JOSE</t>
  </si>
  <si>
    <t>ALVAREZ PINEDA YOALVIS YUNIOR</t>
  </si>
  <si>
    <t>3 LYD</t>
  </si>
  <si>
    <t>8898785c</t>
  </si>
  <si>
    <t>1003091389</t>
  </si>
  <si>
    <t>GARCIA DIAZ CAMILO ANDRES</t>
  </si>
  <si>
    <t>514aae60</t>
  </si>
  <si>
    <t>1003091352</t>
  </si>
  <si>
    <t>DEÁVILA ARIAS JUNIOR ANDRÉS</t>
  </si>
  <si>
    <t>dbef20fd</t>
  </si>
  <si>
    <t>CELIS ARDILA JHON FREDY</t>
  </si>
  <si>
    <t>79c3f324</t>
  </si>
  <si>
    <t>1003204077</t>
  </si>
  <si>
    <t>4 LYD</t>
  </si>
  <si>
    <t>NIÑO GOMEZ CESAR LUIS</t>
  </si>
  <si>
    <t>0b5384ef</t>
  </si>
  <si>
    <t>1005237343</t>
  </si>
  <si>
    <t>SANTANDER ROJAS ADRIANA VALENTINA</t>
  </si>
  <si>
    <t>19 MUJ</t>
  </si>
  <si>
    <t>3bdeb366</t>
  </si>
  <si>
    <t>BARRAZA GARCIA ALEXIS DARIO</t>
  </si>
  <si>
    <t>8a553a36</t>
  </si>
  <si>
    <t>1234340451</t>
  </si>
  <si>
    <t>CARVAJAL DÍAZ EMERSON NICOLAS</t>
  </si>
  <si>
    <t>5 LYD</t>
  </si>
  <si>
    <t>95ab3ba2</t>
  </si>
  <si>
    <t>3b329791</t>
  </si>
  <si>
    <t>1098819686</t>
  </si>
  <si>
    <t>180</t>
  </si>
  <si>
    <t>ROJAS MEJIA JOSE DOMINGO</t>
  </si>
  <si>
    <t>BONILLA CORREA GERSON DAVID</t>
  </si>
  <si>
    <t>10 ADM</t>
  </si>
  <si>
    <t>cdf6e93e</t>
  </si>
  <si>
    <t>1002255860</t>
  </si>
  <si>
    <t>BOTERO JIMENEZ ESNEIDER</t>
  </si>
  <si>
    <t>7ab43c46</t>
  </si>
  <si>
    <t>RUEDA PARRA EDWIN ORLANDO</t>
  </si>
  <si>
    <t>bd7e0eec</t>
  </si>
  <si>
    <t>1251543</t>
  </si>
  <si>
    <t>GIRON ALBARRAN JORKENIS JOHAN</t>
  </si>
  <si>
    <t>e29483c2</t>
  </si>
  <si>
    <t>189</t>
  </si>
  <si>
    <t>SANTERO SUAREZ EVELIO</t>
  </si>
  <si>
    <t>c5a8a6ec</t>
  </si>
  <si>
    <t>1093592907</t>
  </si>
  <si>
    <t>JAIMES RAMIREZ FRANKLIN ALBERTO</t>
  </si>
  <si>
    <t>26 LOG</t>
  </si>
  <si>
    <t>910a534c</t>
  </si>
  <si>
    <t>1005199882</t>
  </si>
  <si>
    <t>ARENAS MARTINEZ JHOON DAREN</t>
  </si>
  <si>
    <t>3cb79da3</t>
  </si>
  <si>
    <t>156</t>
  </si>
  <si>
    <t>SILVERA FLOREZ LUIGY BRAYAN</t>
  </si>
  <si>
    <t>015d25e2</t>
  </si>
  <si>
    <t>8 LYD</t>
  </si>
  <si>
    <t>1004823812</t>
  </si>
  <si>
    <t>PABON SERRANO DIOMEDES</t>
  </si>
  <si>
    <t>5a21a5d2</t>
  </si>
  <si>
    <t>PABON SERRANO ANDERSON</t>
  </si>
  <si>
    <t>88591863</t>
  </si>
  <si>
    <t>1098642201</t>
  </si>
  <si>
    <t>099</t>
  </si>
  <si>
    <t>GOMEZ BARRERA DANIEL AUGUSTO</t>
  </si>
  <si>
    <t>8fe2c3c4</t>
  </si>
  <si>
    <t>BARRIOS RUIZ MIGUEL ANGEL</t>
  </si>
  <si>
    <t>3eb4312f</t>
  </si>
  <si>
    <t>1094579227</t>
  </si>
  <si>
    <t>27 LOG</t>
  </si>
  <si>
    <t>TORRADO ALBA DANIEL JESUS</t>
  </si>
  <si>
    <t>b37c0214</t>
  </si>
  <si>
    <t>1010049419</t>
  </si>
  <si>
    <t>244b9195</t>
  </si>
  <si>
    <t>CALDERON GELVES DELBYS</t>
  </si>
  <si>
    <t>HERNANDEZ VERA JAVER ANDRES</t>
  </si>
  <si>
    <t>4 ADM</t>
  </si>
  <si>
    <t>bdc2881d</t>
  </si>
  <si>
    <t>1097488771</t>
  </si>
  <si>
    <t>143</t>
  </si>
  <si>
    <t>RINCON CARRILLO JUAN FELIPE</t>
  </si>
  <si>
    <t>98536ead</t>
  </si>
  <si>
    <t>VARGAS BERROTERAN DARWIN ARVEY</t>
  </si>
  <si>
    <t>8 LOG</t>
  </si>
  <si>
    <t>20 LOG</t>
  </si>
  <si>
    <t>778f7a00</t>
  </si>
  <si>
    <t>1127607041</t>
  </si>
  <si>
    <t>041</t>
  </si>
  <si>
    <t>LARIOS GALINDO DIDIER JOEL</t>
  </si>
  <si>
    <t>549743d7</t>
  </si>
  <si>
    <t>ISIDRO ARCILA PAULA ANDREA</t>
  </si>
  <si>
    <t>16 MUJ</t>
  </si>
  <si>
    <t>bc5c14a3</t>
  </si>
  <si>
    <t>1005340129</t>
  </si>
  <si>
    <t>OSORIO PARADA DIEGO ANDRES</t>
  </si>
  <si>
    <t>c3e65095</t>
  </si>
  <si>
    <t>1003248197</t>
  </si>
  <si>
    <t>TORO VACCA YHOJAN ALEJANDRO</t>
  </si>
  <si>
    <t>5fe13803</t>
  </si>
  <si>
    <t>031</t>
  </si>
  <si>
    <t>CRUZ QUIROGA MAYKIN ALIRIO</t>
  </si>
  <si>
    <t>066c8bde</t>
  </si>
  <si>
    <t>1090421328</t>
  </si>
  <si>
    <t>RAMIREZ RODRÍGUEZ LUIS FABIAN</t>
  </si>
  <si>
    <t>08a3734a</t>
  </si>
  <si>
    <t>e2c5aa54</t>
  </si>
  <si>
    <t>1005157590</t>
  </si>
  <si>
    <t>CALA CARVAJAL JAIDER ASDRÚBAL</t>
  </si>
  <si>
    <t>SOSA RUEDA JOSE LUIS</t>
  </si>
  <si>
    <t>22 LOG</t>
  </si>
  <si>
    <t>45</t>
  </si>
  <si>
    <t>36b1edab</t>
  </si>
  <si>
    <t>01bbb657</t>
  </si>
  <si>
    <t>162</t>
  </si>
  <si>
    <t>1005107178</t>
  </si>
  <si>
    <t>RODRIGUEZ TOLOZA JOHAN JULIAN</t>
  </si>
  <si>
    <t>DIAZ CARRILLO GELVER ARMANDO</t>
  </si>
  <si>
    <t>21 LOG</t>
  </si>
  <si>
    <t>5fab66c7</t>
  </si>
  <si>
    <t>SANCHEZ VIVAS EMANUEL JOSE</t>
  </si>
  <si>
    <t>887d509f</t>
  </si>
  <si>
    <t>2 LOG</t>
  </si>
  <si>
    <t>1005339808</t>
  </si>
  <si>
    <t>DURAN PINTO BRAYAN STIVEN</t>
  </si>
  <si>
    <t>b658064e</t>
  </si>
  <si>
    <t>d8819bf8</t>
  </si>
  <si>
    <t>1003335576</t>
  </si>
  <si>
    <t>PARRA CUADROS JUAN FELIPE</t>
  </si>
  <si>
    <t>LUNA MEJIA LUIS DAVID</t>
  </si>
  <si>
    <t>2f900851</t>
  </si>
  <si>
    <t>667463</t>
  </si>
  <si>
    <t>109</t>
  </si>
  <si>
    <t>bb4c48b7</t>
  </si>
  <si>
    <t>TERAN GARCIA PEDRO ALEXANDER</t>
  </si>
  <si>
    <t>ROMERO URIBE ARNOL BRAN</t>
  </si>
  <si>
    <t>9bbc9323</t>
  </si>
  <si>
    <t>1002580637</t>
  </si>
  <si>
    <t>PLAZAS ROJAS MICHAEL DAVID</t>
  </si>
  <si>
    <t>d185865c</t>
  </si>
  <si>
    <t>AYALA PEÑARANDA CRISTIAN DAVID</t>
  </si>
  <si>
    <t>0d164fc8</t>
  </si>
  <si>
    <t>1095954423</t>
  </si>
  <si>
    <t>LAMUS MENDEZ NICOLÁS DAVID</t>
  </si>
  <si>
    <t>15 LYD</t>
  </si>
  <si>
    <t>7b766289</t>
  </si>
  <si>
    <t>133</t>
  </si>
  <si>
    <t>BONILLA BELTRAN SERGIO ANDRÉS</t>
  </si>
  <si>
    <t>b12fa425</t>
  </si>
  <si>
    <t>1005260386</t>
  </si>
  <si>
    <t>MARTINEZ FIGUEROA JUAN CAMILO</t>
  </si>
  <si>
    <t>14ed87a4</t>
  </si>
  <si>
    <t>155</t>
  </si>
  <si>
    <t>BOHÓRQUEZ ANGARITA ANDRES FELIPE</t>
  </si>
  <si>
    <t>78a6a72e</t>
  </si>
  <si>
    <t>1005106745</t>
  </si>
  <si>
    <t>5 MUJ</t>
  </si>
  <si>
    <t>LEON HERNANDEZ OSCAR ENRIQUE</t>
  </si>
  <si>
    <t>16 LYD</t>
  </si>
  <si>
    <t>5b4ad02f</t>
  </si>
  <si>
    <t>1095841931</t>
  </si>
  <si>
    <t>MENDEZ GONZALEZ DAVID FERNANDO</t>
  </si>
  <si>
    <t>d1cf498c</t>
  </si>
  <si>
    <t>1005156696</t>
  </si>
  <si>
    <t>a3a0c5e4</t>
  </si>
  <si>
    <t>OREJARENA BARAJAS BRAYAN JULIAN</t>
  </si>
  <si>
    <t>e5263e3e</t>
  </si>
  <si>
    <t>1007773765</t>
  </si>
  <si>
    <t>016</t>
  </si>
  <si>
    <t>TRIGOS ALVAREZ FEIBER</t>
  </si>
  <si>
    <t>PLATA RUEDA JEAN CARLOS</t>
  </si>
  <si>
    <t>f1cf46e2</t>
  </si>
  <si>
    <t>1101201557</t>
  </si>
  <si>
    <t>TRIGOS ALVAREZ JANNER</t>
  </si>
  <si>
    <t>283b739e</t>
  </si>
  <si>
    <t>1117527343</t>
  </si>
  <si>
    <t>CHAPAL LARA DIEGO FERNANDO</t>
  </si>
  <si>
    <t>52</t>
  </si>
  <si>
    <t>abf843da</t>
  </si>
  <si>
    <t>1095810864</t>
  </si>
  <si>
    <t>PARRA HERNANDEZ ROSEMBER</t>
  </si>
  <si>
    <t>3c46d41a</t>
  </si>
  <si>
    <t>1003259508</t>
  </si>
  <si>
    <t>ANDRADE PEDRAZA YEISON</t>
  </si>
  <si>
    <t>1 LOG</t>
  </si>
  <si>
    <t>3c3760c5</t>
  </si>
  <si>
    <t>1002255861</t>
  </si>
  <si>
    <t>BOTERO JIMENEZ WILDER ANDRÉS</t>
  </si>
  <si>
    <t>0fe37f92</t>
  </si>
  <si>
    <t>1099737472</t>
  </si>
  <si>
    <t>CADENA MARTINEZ PABLO ANDRES</t>
  </si>
  <si>
    <t>ab968e6f</t>
  </si>
  <si>
    <t>SANCHEZ GUTIÉRREZ JOHNY ALEJANDRO</t>
  </si>
  <si>
    <t>6570739d</t>
  </si>
  <si>
    <t>1102362259</t>
  </si>
  <si>
    <t>CAMACHO MONTAÑES FELIX MANUEL</t>
  </si>
  <si>
    <t>ed9ea4c0</t>
  </si>
  <si>
    <t>1098636592</t>
  </si>
  <si>
    <t>077</t>
  </si>
  <si>
    <t>MEJIA NIÑO NESTOR EDUARDO</t>
  </si>
  <si>
    <t>d0ed5e47</t>
  </si>
  <si>
    <t>0815e3b5</t>
  </si>
  <si>
    <t>1098738228</t>
  </si>
  <si>
    <t>AGUDELO SAJONERO JHONATAN</t>
  </si>
  <si>
    <t>NIÑO GARCES JORGE</t>
  </si>
  <si>
    <t>a7f54ae6</t>
  </si>
  <si>
    <t>1040048224</t>
  </si>
  <si>
    <t>SANTAMARIA SUAREZ JORGE</t>
  </si>
  <si>
    <t>a44b5055</t>
  </si>
  <si>
    <t>1005564048</t>
  </si>
  <si>
    <t>4a237a6f</t>
  </si>
  <si>
    <t>MANCILLA FIGUEREDO LUIS FERNANDO</t>
  </si>
  <si>
    <t>MANTILLA SAAVEDRA YEVINSON RENE</t>
  </si>
  <si>
    <t>05d22b0c</t>
  </si>
  <si>
    <t>91495076</t>
  </si>
  <si>
    <t>FUENTES AYALA FREDY</t>
  </si>
  <si>
    <t>0efae983</t>
  </si>
  <si>
    <t>1068346034</t>
  </si>
  <si>
    <t>SOLIS BELEÑO EDUARDO JOSE</t>
  </si>
  <si>
    <t>641a9f52</t>
  </si>
  <si>
    <t>HERNANDEZ DURAN PEDRO JOSE</t>
  </si>
  <si>
    <t>5 LOG</t>
  </si>
  <si>
    <t>a87f2b10</t>
  </si>
  <si>
    <t>1004858769</t>
  </si>
  <si>
    <t>OBREGON SANCHEZ JOSE LUIS</t>
  </si>
  <si>
    <t>335662a3</t>
  </si>
  <si>
    <t>1095956006</t>
  </si>
  <si>
    <t>CADENA CRIADO EDWIN ALEXANDER</t>
  </si>
  <si>
    <t>84111ae9</t>
  </si>
  <si>
    <t>1100894583</t>
  </si>
  <si>
    <t>MARIMON RUZ JAVIER</t>
  </si>
  <si>
    <t>1d2a3a74</t>
  </si>
  <si>
    <t>1066094081</t>
  </si>
  <si>
    <t>GARCIA ANDRADES VICTOR ALFONSO</t>
  </si>
  <si>
    <t>0a4027a3</t>
  </si>
  <si>
    <t>e8889b9e</t>
  </si>
  <si>
    <t>QUICENO MANZANO JULIAN ANDREY</t>
  </si>
  <si>
    <t>1005338427</t>
  </si>
  <si>
    <t>MIRANDA HERNANDEZ KAREN JOHANNA</t>
  </si>
  <si>
    <t>7 LOG</t>
  </si>
  <si>
    <t>15 MUJ</t>
  </si>
  <si>
    <t>24ca80ae</t>
  </si>
  <si>
    <t>91539846</t>
  </si>
  <si>
    <t>RENGIFO MORA OSCAR ALEJANDRO</t>
  </si>
  <si>
    <t>a5f5a839</t>
  </si>
  <si>
    <t>1095936284</t>
  </si>
  <si>
    <t>RODRÍGUEZ TRIANA ANDRES</t>
  </si>
  <si>
    <t>1b23a3bd</t>
  </si>
  <si>
    <t>1042211348</t>
  </si>
  <si>
    <t>FLOREZ SALCEDO JHON FREDY</t>
  </si>
  <si>
    <t>71319153</t>
  </si>
  <si>
    <t>1098720774</t>
  </si>
  <si>
    <t>ORTIZ GONZALEZ GERSON GONZALEZ</t>
  </si>
  <si>
    <t>1f179707</t>
  </si>
  <si>
    <t>40a558f6</t>
  </si>
  <si>
    <t>1232891574</t>
  </si>
  <si>
    <t>OCHOA OSORIO JUAN DAVID</t>
  </si>
  <si>
    <t>AREVALO AMAYA JUNNIOR ELIECER</t>
  </si>
  <si>
    <t>df230ea0</t>
  </si>
  <si>
    <t>1100893813</t>
  </si>
  <si>
    <t>RUEDA RUEDA DANIEL</t>
  </si>
  <si>
    <t>de3642cc</t>
  </si>
  <si>
    <t>f4622d81</t>
  </si>
  <si>
    <t>1098636933</t>
  </si>
  <si>
    <t>TOLEDO ROJAS MANUEL DAVID</t>
  </si>
  <si>
    <t>TELLEZ ORTIZ JHOAN MAURICIO</t>
  </si>
  <si>
    <t>e1b4ebfb</t>
  </si>
  <si>
    <t>1098695299</t>
  </si>
  <si>
    <t>VARGAS ROJAS LUIS EDUARDO</t>
  </si>
  <si>
    <t>50b722f7</t>
  </si>
  <si>
    <t>e1ee4775</t>
  </si>
  <si>
    <t>1048992624</t>
  </si>
  <si>
    <t>039</t>
  </si>
  <si>
    <t>ARIAS PARADA JHONATAN DAVID</t>
  </si>
  <si>
    <t>LOZADA GUERRERO DEIVIS ALBERTO</t>
  </si>
  <si>
    <t>5 ADM</t>
  </si>
  <si>
    <t>b45d8985</t>
  </si>
  <si>
    <t>1095936888</t>
  </si>
  <si>
    <t>BECERRA RODRÍGUEZ JOHAN ALEJANDRO</t>
  </si>
  <si>
    <t>23 LOG</t>
  </si>
  <si>
    <t>12 LOG</t>
  </si>
  <si>
    <t>4bec8c6a</t>
  </si>
  <si>
    <t>1010049417</t>
  </si>
  <si>
    <t>CALDERON GELVEZ WILDER</t>
  </si>
  <si>
    <t>e75c1874</t>
  </si>
  <si>
    <t>1098658021</t>
  </si>
  <si>
    <t>BLANCO MEJIA JOSUAM GABRIEL</t>
  </si>
  <si>
    <t>1af13c57</t>
  </si>
  <si>
    <t>1099364041</t>
  </si>
  <si>
    <t>ECHEVERRIA FLOREZ EDWAR STIVEN</t>
  </si>
  <si>
    <t>775ddef8</t>
  </si>
  <si>
    <t>1003237624</t>
  </si>
  <si>
    <t>GONZALES AYALA CARLA</t>
  </si>
  <si>
    <t>5539ac4a</t>
  </si>
  <si>
    <t>11 MUJ</t>
  </si>
  <si>
    <t>148</t>
  </si>
  <si>
    <t>LOBO VELASQUEZ LUIS HERNANDO</t>
  </si>
  <si>
    <t>8d8b7e06</t>
  </si>
  <si>
    <t>91538812</t>
  </si>
  <si>
    <t>RIOS MEDINA IVAN JOSEPH</t>
  </si>
  <si>
    <t>1</t>
  </si>
  <si>
    <t>08da59bf</t>
  </si>
  <si>
    <t>1234340747</t>
  </si>
  <si>
    <t>JAIMES ALVAREZ GUSTAVO ADOLFO</t>
  </si>
  <si>
    <t>e6a0569c</t>
  </si>
  <si>
    <t>95c52b95</t>
  </si>
  <si>
    <t>VANEGAS SANTANA HERIBERTO</t>
  </si>
  <si>
    <t>1098627667</t>
  </si>
  <si>
    <t>106</t>
  </si>
  <si>
    <t>SUAREZ CASTAÑO FELIPE</t>
  </si>
  <si>
    <t>791f517c</t>
  </si>
  <si>
    <t>1004756344</t>
  </si>
  <si>
    <t>MARIN BRANDON STIVEN</t>
  </si>
  <si>
    <t>257bdd2d</t>
  </si>
  <si>
    <t>38abd509</t>
  </si>
  <si>
    <t>JAIMES DÍAZ ALEXANDER</t>
  </si>
  <si>
    <t>1081836061</t>
  </si>
  <si>
    <t>MENDINUETA AROCA ANDREA CAROLINA</t>
  </si>
  <si>
    <t>12 MUJ</t>
  </si>
  <si>
    <t>6d0a4ad9</t>
  </si>
  <si>
    <t>1097096339</t>
  </si>
  <si>
    <t>SANCHEZ TORRES SANTIAGO</t>
  </si>
  <si>
    <t>069a2320</t>
  </si>
  <si>
    <t>37721274</t>
  </si>
  <si>
    <t>CARVAJAL RODRÍGUEZ MARTHA ROCIO</t>
  </si>
  <si>
    <t>7 MUJ</t>
  </si>
  <si>
    <t>0bc1dfdf</t>
  </si>
  <si>
    <t>1095298459</t>
  </si>
  <si>
    <t>MARIÑO MANTILLA JUAN PABLO</t>
  </si>
  <si>
    <t>8eca0d48</t>
  </si>
  <si>
    <t>100</t>
  </si>
  <si>
    <t>JIMENEZ RODRÍGUEZ ALEXANDER</t>
  </si>
  <si>
    <t>87676d11</t>
  </si>
  <si>
    <t>1005295361</t>
  </si>
  <si>
    <t>NIEVES HERREÑO JOSE PEREGRINO</t>
  </si>
  <si>
    <t>23b63196</t>
  </si>
  <si>
    <t>1048555639</t>
  </si>
  <si>
    <t>PIMIENTA HERNANDEZ YODIS JANETH</t>
  </si>
  <si>
    <t>5e5113b7</t>
  </si>
  <si>
    <t>1095302964</t>
  </si>
  <si>
    <t>ROBLES BLANCO JUAN SEBASTIAN</t>
  </si>
  <si>
    <t>5aa41a3c</t>
  </si>
  <si>
    <t>1005297906</t>
  </si>
  <si>
    <t>237</t>
  </si>
  <si>
    <t>59c41f24</t>
  </si>
  <si>
    <t>VILLAMIZAR RAMIREZ JAHIR DANIEL</t>
  </si>
  <si>
    <t>033</t>
  </si>
  <si>
    <t>HERNANDEZ CONTRERAS JUAN GABRIEL</t>
  </si>
  <si>
    <t>1de7df13</t>
  </si>
  <si>
    <t>1005623640</t>
  </si>
  <si>
    <t>CÁCERES RAMIREZ LIZETH</t>
  </si>
  <si>
    <t>14 MUJ</t>
  </si>
  <si>
    <t>1c0a110f</t>
  </si>
  <si>
    <t>1007669515</t>
  </si>
  <si>
    <t>JIMENEZ ABELLA JEFERSON ANDRÉS</t>
  </si>
  <si>
    <t xml:space="preserve">Bajo rendiemiento y muchos ausentismo </t>
  </si>
  <si>
    <t>636b286f</t>
  </si>
  <si>
    <t>1097609443</t>
  </si>
  <si>
    <t>ROJAS DIAZ JOSE DE JESUS</t>
  </si>
  <si>
    <t>Renucnia voluntarias (problema familiar)</t>
  </si>
  <si>
    <t>a5e5c809</t>
  </si>
  <si>
    <t>LOPEZ PINTO HENRY ARMANDO</t>
  </si>
  <si>
    <t>ec078014</t>
  </si>
  <si>
    <t>28338018</t>
  </si>
  <si>
    <t>BOHORQUEZ RODRIGUEZ MARIA EUGENIA</t>
  </si>
  <si>
    <t>c20848c6</t>
  </si>
  <si>
    <t>1098707156</t>
  </si>
  <si>
    <t>PARRA VELEZ JULIAN ANDRES</t>
  </si>
  <si>
    <t>4eda8044</t>
  </si>
  <si>
    <t>1005563424</t>
  </si>
  <si>
    <t>CARDENAS BLANCO OSCAR JAVIER</t>
  </si>
  <si>
    <t>2027882d</t>
  </si>
  <si>
    <t>1005333865</t>
  </si>
  <si>
    <t>234</t>
  </si>
  <si>
    <t>e4bf159e</t>
  </si>
  <si>
    <t>QUINTERO ORTEGA ANDRES FELIPE</t>
  </si>
  <si>
    <t>ARANGO GARCIA JHONATHAN</t>
  </si>
  <si>
    <t>518c42a3</t>
  </si>
  <si>
    <t>1100892188</t>
  </si>
  <si>
    <t>GUARIN OCAMPO ALEXANDER</t>
  </si>
  <si>
    <t>e1dfd241</t>
  </si>
  <si>
    <t>1095907218</t>
  </si>
  <si>
    <t>RINCON VERDUGO JEISON ESTIVEN</t>
  </si>
  <si>
    <t>4cc8bd96</t>
  </si>
  <si>
    <t>1094778035</t>
  </si>
  <si>
    <t>FLOREZ CAMACHO JHON HENRY</t>
  </si>
  <si>
    <t>Tapa vencida</t>
  </si>
  <si>
    <t>291ec10f</t>
  </si>
  <si>
    <t>0219eb4b</t>
  </si>
  <si>
    <t>1007551732</t>
  </si>
  <si>
    <t>032</t>
  </si>
  <si>
    <t>GAVIRIA HERNANDEZ CAMILO ANDRES</t>
  </si>
  <si>
    <t>CRUZ RUIZ ANGEL DAVID</t>
  </si>
  <si>
    <t>70b5e08c</t>
  </si>
  <si>
    <t>1005195641</t>
  </si>
  <si>
    <t>PINZÓN ARIZA HECTOR ALEXANDER</t>
  </si>
  <si>
    <t>1af58414</t>
  </si>
  <si>
    <t>1096065040</t>
  </si>
  <si>
    <t>GUARGUATI TOLOZA JHOAN ESNEIDER</t>
  </si>
  <si>
    <t>eba39b7b</t>
  </si>
  <si>
    <t>1007595416</t>
  </si>
  <si>
    <t>LAGUNA MEJIA JOSUE DAVID</t>
  </si>
  <si>
    <t>9cc03a85</t>
  </si>
  <si>
    <t>c4f9c061</t>
  </si>
  <si>
    <t>BOTHIA CARDENAS OMAR STEVEN</t>
  </si>
  <si>
    <t>5846618</t>
  </si>
  <si>
    <t>GALVIS LARA JONH FRAN</t>
  </si>
  <si>
    <t>176720ac</t>
  </si>
  <si>
    <t>1098071680</t>
  </si>
  <si>
    <t>BADILLO LIZARAZO JOHAN SNEYDER</t>
  </si>
  <si>
    <t>844d3786</t>
  </si>
  <si>
    <t>6b985cb1</t>
  </si>
  <si>
    <t>1095838237</t>
  </si>
  <si>
    <t>042</t>
  </si>
  <si>
    <t>ALMEIDA JAIMES DANIEL ANDRES</t>
  </si>
  <si>
    <t>ROJAS HERNANDEZ JUAN CARLOS</t>
  </si>
  <si>
    <t>1 ADM</t>
  </si>
  <si>
    <t>1d9aaf4c</t>
  </si>
  <si>
    <t>1098221752</t>
  </si>
  <si>
    <t>259</t>
  </si>
  <si>
    <t>BUITRAGO MENDEZ ADRIANA ROCÍO</t>
  </si>
  <si>
    <t>10 MUJ</t>
  </si>
  <si>
    <t>0df0992b</t>
  </si>
  <si>
    <t>1098826186</t>
  </si>
  <si>
    <t>CARREÑO MENDOZA JUAN PABLO</t>
  </si>
  <si>
    <t>8 ADM</t>
  </si>
  <si>
    <t>ca9f1a6e</t>
  </si>
  <si>
    <t>1052220288</t>
  </si>
  <si>
    <t>CASTAÑEDA CAÑAS DAVID ALEXANDER</t>
  </si>
  <si>
    <t>c8e46242</t>
  </si>
  <si>
    <t>1094778812</t>
  </si>
  <si>
    <t>CELIS PEREZ PABLO ARLEY</t>
  </si>
  <si>
    <t>3f45b2ee</t>
  </si>
  <si>
    <t>1005371227</t>
  </si>
  <si>
    <t>GALEANO ROA DANIEL ESTIVEN</t>
  </si>
  <si>
    <t>89b3d5c5</t>
  </si>
  <si>
    <t>1005240065</t>
  </si>
  <si>
    <t>7eaeb93b</t>
  </si>
  <si>
    <t>ROMERO DÍAZ IVAN RAMIRO</t>
  </si>
  <si>
    <t>AYALA ORELLAN JOSE GABRIEL</t>
  </si>
  <si>
    <t>2b379043</t>
  </si>
  <si>
    <t>1097608286</t>
  </si>
  <si>
    <t>SILVA ALDANA VICTOR ALFONSO</t>
  </si>
  <si>
    <t>a5f2743a</t>
  </si>
  <si>
    <t>1101520264</t>
  </si>
  <si>
    <t>023</t>
  </si>
  <si>
    <t>SOTO BASTO LIBARDO</t>
  </si>
  <si>
    <t>7be127ba</t>
  </si>
  <si>
    <t>202</t>
  </si>
  <si>
    <t>MARQUEZ ZERPA JULIO CESAR</t>
  </si>
  <si>
    <t>6c7790db</t>
  </si>
  <si>
    <t>1007917784</t>
  </si>
  <si>
    <t>TOVAR HORMIGA MICHAEL SNEYDER</t>
  </si>
  <si>
    <t>e5c5d431</t>
  </si>
  <si>
    <t>1193239803</t>
  </si>
  <si>
    <t>VASQUEZ GRANADOS YUBER JOSE</t>
  </si>
  <si>
    <t>b341dada</t>
  </si>
  <si>
    <t>VELEZ AGUDELO HARRINSON ANDRÉS</t>
  </si>
  <si>
    <t>50ed1ba8</t>
  </si>
  <si>
    <t>1005178601</t>
  </si>
  <si>
    <t>PEÑALOZA VILLAREAL EDGAR</t>
  </si>
  <si>
    <t>b808d915</t>
  </si>
  <si>
    <t>232</t>
  </si>
  <si>
    <t>19 LYD</t>
  </si>
  <si>
    <t>PAJARO ROSAS YAIR ANDRÉS</t>
  </si>
  <si>
    <t>7 ADM</t>
  </si>
  <si>
    <t>a107e9e6</t>
  </si>
  <si>
    <t>1005311796</t>
  </si>
  <si>
    <t>CAMACHO ARENAS EMERSON ALBERTO</t>
  </si>
  <si>
    <t>3d63fb01</t>
  </si>
  <si>
    <t>1005321068</t>
  </si>
  <si>
    <t>CALVO PEREZ ANDRES LEONARDO</t>
  </si>
  <si>
    <t>65305dbe</t>
  </si>
  <si>
    <t>087</t>
  </si>
  <si>
    <t>JÁCOME QUINTANA DANIEL FELIPE</t>
  </si>
  <si>
    <t>70847883</t>
  </si>
  <si>
    <t>1095834911</t>
  </si>
  <si>
    <t>RAMIREZ BELTRAN JORGE ANDREY</t>
  </si>
  <si>
    <t>cccee95d</t>
  </si>
  <si>
    <t>1005025701</t>
  </si>
  <si>
    <t>SANCHEZ URIBE EDIVAN</t>
  </si>
  <si>
    <t>d32f0c3e</t>
  </si>
  <si>
    <t>1232890034</t>
  </si>
  <si>
    <t>DÍAZ SUAREZ KAREN TATIANA</t>
  </si>
  <si>
    <t>2f3552d7</t>
  </si>
  <si>
    <t>37535672</t>
  </si>
  <si>
    <t>205</t>
  </si>
  <si>
    <t>SANCHEZ GALVIS MARILUZ</t>
  </si>
  <si>
    <t>6 MUJ</t>
  </si>
  <si>
    <t>6fc02745</t>
  </si>
  <si>
    <t>6039791</t>
  </si>
  <si>
    <t>MARIN CARRERA HENDERLYS ALEJANDRA</t>
  </si>
  <si>
    <t>145c97b1</t>
  </si>
  <si>
    <t>1098171692</t>
  </si>
  <si>
    <t>MORENO PARDO ELVER ARTURO</t>
  </si>
  <si>
    <t>c0733967</t>
  </si>
  <si>
    <t>aa4adccf</t>
  </si>
  <si>
    <t>1005655309</t>
  </si>
  <si>
    <t>DIAZ CASTELLANOS MARLON FERNEY</t>
  </si>
  <si>
    <t>PICON SUÁREZ ESNEIDER STIP</t>
  </si>
  <si>
    <t>2eef7504</t>
  </si>
  <si>
    <t>1070597495</t>
  </si>
  <si>
    <t>VASQUEZ VARGAS CAREN JULIANA</t>
  </si>
  <si>
    <t>e36a4427</t>
  </si>
  <si>
    <t>c8061c9d</t>
  </si>
  <si>
    <t>1102724430</t>
  </si>
  <si>
    <t>BAEZ SAAVEDRA ORLANDO ALEXIS</t>
  </si>
  <si>
    <t>PONTON PONTON EVER MAURICIO</t>
  </si>
  <si>
    <t>84596694</t>
  </si>
  <si>
    <t>1095788624</t>
  </si>
  <si>
    <t>QUINTERO GOMEZ LUIS SEBASTIAN</t>
  </si>
  <si>
    <t>17 LYD</t>
  </si>
  <si>
    <t>8361a9ee</t>
  </si>
  <si>
    <t>ba01dca5</t>
  </si>
  <si>
    <t>1063480733</t>
  </si>
  <si>
    <t>LOZADA ORTIZ TELMO</t>
  </si>
  <si>
    <t>120</t>
  </si>
  <si>
    <t>CASTILLO JIMENEZ LUIS FERNANDO</t>
  </si>
  <si>
    <t>a1d85f8e</t>
  </si>
  <si>
    <t>1093246897</t>
  </si>
  <si>
    <t>MOGOLLON TOLOZA JESUS DAVID</t>
  </si>
  <si>
    <t>b68be01c</t>
  </si>
  <si>
    <t>045</t>
  </si>
  <si>
    <t>OTERO SALAZAR PAULA ANDREA</t>
  </si>
  <si>
    <t>299eea03</t>
  </si>
  <si>
    <t>1052572492</t>
  </si>
  <si>
    <t>SIERRA GOMEZ CARLOS MARIO</t>
  </si>
  <si>
    <t>98be6659</t>
  </si>
  <si>
    <t>1005271622</t>
  </si>
  <si>
    <t>RIVERO CAMACHO JHOAN GABRIEL</t>
  </si>
  <si>
    <t>b3571058</t>
  </si>
  <si>
    <t>1100888385</t>
  </si>
  <si>
    <t>DELGADO FLOREZ GABRIEL</t>
  </si>
  <si>
    <t>9378bf64</t>
  </si>
  <si>
    <t>1002101466</t>
  </si>
  <si>
    <t>VASQUEZ GRANADOS MILTON ANDRES</t>
  </si>
  <si>
    <t>0d7d94b7</t>
  </si>
  <si>
    <t>bbe60c7c</t>
  </si>
  <si>
    <t>1063625262</t>
  </si>
  <si>
    <t>ORTIZ MORALES EFRAIN</t>
  </si>
  <si>
    <t>CAÑIZARES RODRIGUEZ LEONARDO</t>
  </si>
  <si>
    <t>60</t>
  </si>
  <si>
    <t>ebec8df5</t>
  </si>
  <si>
    <t>1083034896</t>
  </si>
  <si>
    <t>BRAVO MARTINEZ DUBAN DAVID</t>
  </si>
  <si>
    <t>f37a1c8f</t>
  </si>
  <si>
    <t>1123890608</t>
  </si>
  <si>
    <t>HERNANDEZ CUELLO ANDRES FELIPE</t>
  </si>
  <si>
    <t>e9a382bc</t>
  </si>
  <si>
    <t>1098171478</t>
  </si>
  <si>
    <t>FAJARDO GUIZA ALBEIRO</t>
  </si>
  <si>
    <t>92e64dad</t>
  </si>
  <si>
    <t>218</t>
  </si>
  <si>
    <t>OLIVEROS LAMUS MAGGALY SOFIA</t>
  </si>
  <si>
    <t>e13f46ca</t>
  </si>
  <si>
    <t>1094352058</t>
  </si>
  <si>
    <t>CASTILLO MARIN JOSE LUIS</t>
  </si>
  <si>
    <t>17 ADM</t>
  </si>
  <si>
    <t>4e5ede04</t>
  </si>
  <si>
    <t>1102387307</t>
  </si>
  <si>
    <t>ESCOBAR GALVAN CARLOS HUMBERTO</t>
  </si>
  <si>
    <t>2bd6b226</t>
  </si>
  <si>
    <t>RUZ ARIAS JHONJANI</t>
  </si>
  <si>
    <t>e8c84c2d</t>
  </si>
  <si>
    <t>1095836031</t>
  </si>
  <si>
    <t>QUIÑONES ARENAS SHARON TATIANA</t>
  </si>
  <si>
    <t>8c191cf7</t>
  </si>
  <si>
    <t>SARMIENTO SARMIENTO JUAN MANUEL</t>
  </si>
  <si>
    <t>c33ef3dc</t>
  </si>
  <si>
    <t>DR ANDRES SERRANO</t>
  </si>
  <si>
    <t>bffa7158</t>
  </si>
  <si>
    <t>1005221265</t>
  </si>
  <si>
    <t>SEGOVIA REINA JUAN CAMILO</t>
  </si>
  <si>
    <t>045cf023</t>
  </si>
  <si>
    <t>1094780564</t>
  </si>
  <si>
    <t>CASTRO BLANCO CARLOS SAÚL</t>
  </si>
  <si>
    <t>dee2eb6f</t>
  </si>
  <si>
    <t>1005332289</t>
  </si>
  <si>
    <t>GUERRERO VILLAMIZAR MIGUEL ANGEL</t>
  </si>
  <si>
    <t>0791d237</t>
  </si>
  <si>
    <t>LEON JIMENEZ JOHAN ANDRES</t>
  </si>
  <si>
    <t>b09b55a3</t>
  </si>
  <si>
    <t>1005324457</t>
  </si>
  <si>
    <t>095</t>
  </si>
  <si>
    <t>PINTO RANGEL LUDDALLAMON</t>
  </si>
  <si>
    <t>3ba25e7e</t>
  </si>
  <si>
    <t>a88a9e5b</t>
  </si>
  <si>
    <t>1093920753</t>
  </si>
  <si>
    <t>AGUDELO RODAS DANIEL STEVEN</t>
  </si>
  <si>
    <t>RINCÓN MENDOZA DUBIAN ERNEY</t>
  </si>
  <si>
    <t>20 LYD</t>
  </si>
  <si>
    <t>fd30809f</t>
  </si>
  <si>
    <t>1003174731</t>
  </si>
  <si>
    <t>026</t>
  </si>
  <si>
    <t>DURAN SEPULVEDA DAGOBERTO</t>
  </si>
  <si>
    <t>4edb6e91</t>
  </si>
  <si>
    <t>4635d050</t>
  </si>
  <si>
    <t>1100973253</t>
  </si>
  <si>
    <t>CONTRERAS QUINTANA MARIA CAMILA</t>
  </si>
  <si>
    <t>LOPEZ MANRIQUE OMAR ESTEBAN</t>
  </si>
  <si>
    <t>ab1507f6</t>
  </si>
  <si>
    <t>1258624</t>
  </si>
  <si>
    <t>CASTILLO CASTRO JEFERSON MAKLEY</t>
  </si>
  <si>
    <t>4f8da40f</t>
  </si>
  <si>
    <t>JAIMES ALVAREZ JONATAN</t>
  </si>
  <si>
    <t>ee7c92fb</t>
  </si>
  <si>
    <t>1005160796</t>
  </si>
  <si>
    <t>PINZON MEDINA BRAYAN</t>
  </si>
  <si>
    <t>f6323c14</t>
  </si>
  <si>
    <t>1097494058</t>
  </si>
  <si>
    <t>BASTO MORENO BRAYAN STEVEN</t>
  </si>
  <si>
    <t>613e63da</t>
  </si>
  <si>
    <t>1097094205</t>
  </si>
  <si>
    <t>OTERO PINEDA EMANUEL DAVID</t>
  </si>
  <si>
    <t>5cd53840</t>
  </si>
  <si>
    <t>1063650266</t>
  </si>
  <si>
    <t>FERNANDEZ SOLANO ELIO ANTONIO</t>
  </si>
  <si>
    <t>3d1a1ca2</t>
  </si>
  <si>
    <t>1005199044</t>
  </si>
  <si>
    <t>DÍAZ PEREZ CRISTIAN DAVID</t>
  </si>
  <si>
    <t>4fcf6836</t>
  </si>
  <si>
    <t>ULLOA MARTINEZ CARLOS MARIO</t>
  </si>
  <si>
    <t>aa1ea107</t>
  </si>
  <si>
    <t>1005654916</t>
  </si>
  <si>
    <t>GUERRERO CACERES JUAN JOSE</t>
  </si>
  <si>
    <t>f3644b5f</t>
  </si>
  <si>
    <t>1007773977</t>
  </si>
  <si>
    <t>8a084bab</t>
  </si>
  <si>
    <t>RAMIREZ NAVARRO BRANDON ESTIVEN</t>
  </si>
  <si>
    <t>CEBALLOS PEREZ SERGIO LUIS</t>
  </si>
  <si>
    <t>b6b0cf88</t>
  </si>
  <si>
    <t>12345</t>
  </si>
  <si>
    <t>GUARDA DE SEGURIDAD CALCULOS</t>
  </si>
  <si>
    <t>SEG</t>
  </si>
  <si>
    <t>621b1f70</t>
  </si>
  <si>
    <t>PALACIO DAVILA DIDIER</t>
  </si>
  <si>
    <t>8a73d550</t>
  </si>
  <si>
    <t>1095798791</t>
  </si>
  <si>
    <t>MONTERO BUITRAGO JIMMY ANDRES</t>
  </si>
  <si>
    <t>e95d0e91</t>
  </si>
  <si>
    <t>1006502697</t>
  </si>
  <si>
    <t>GONZALEZ DUSSAN JOHAN GRIGELIO</t>
  </si>
  <si>
    <t>acddaa70</t>
  </si>
  <si>
    <t>1020103115</t>
  </si>
  <si>
    <t>MARIN ARANGO MAICOL ESTIWAR</t>
  </si>
  <si>
    <t>5628544b</t>
  </si>
  <si>
    <t>DELGADO BARRIOS ENDER HELIAN</t>
  </si>
  <si>
    <t>03231c90</t>
  </si>
  <si>
    <t>4739943</t>
  </si>
  <si>
    <t>VARGAS YUNTET ESLEIKER RAMON</t>
  </si>
  <si>
    <t>874cfa7e</t>
  </si>
  <si>
    <t>VILLAMIZAR GUTIERREZ HECTOR FABIAN</t>
  </si>
  <si>
    <t>c76e1376</t>
  </si>
  <si>
    <t>1007784928</t>
  </si>
  <si>
    <t>HERNANDEZ VEGA CRISTHIAN DAVIAN</t>
  </si>
  <si>
    <t>9c7f2cb3</t>
  </si>
  <si>
    <t>1084732627</t>
  </si>
  <si>
    <t>035</t>
  </si>
  <si>
    <t>BOLAÑO ALVAREZ HERNAN JOSE</t>
  </si>
  <si>
    <t>0c0de52f</t>
  </si>
  <si>
    <t>1098695216</t>
  </si>
  <si>
    <t>ORTIZ ORTIZ JUAN ELISEO</t>
  </si>
  <si>
    <t>0fb8f294</t>
  </si>
  <si>
    <t>d781f7d3</t>
  </si>
  <si>
    <t>CASTAÑEDA POVEDA KAREN XIMENA</t>
  </si>
  <si>
    <t>1097305212</t>
  </si>
  <si>
    <t>ROPERO RUEDA VICTOR ALFONSO</t>
  </si>
  <si>
    <t>6c7a0782</t>
  </si>
  <si>
    <t>1102383765</t>
  </si>
  <si>
    <t>ALVARADO CARREÑO JORGE ESNEIDER</t>
  </si>
  <si>
    <t>8908b18a</t>
  </si>
  <si>
    <t>SILVA MACIAS YUTHVANY</t>
  </si>
  <si>
    <t>911f9de3</t>
  </si>
  <si>
    <t>1098740472</t>
  </si>
  <si>
    <t>072</t>
  </si>
  <si>
    <t>DIAZ VARGAS JAROL ANDRES</t>
  </si>
  <si>
    <t>6fd01116</t>
  </si>
  <si>
    <t>1121966014</t>
  </si>
  <si>
    <t>HERNÁNDEZ PEÑA JORGE HERNANDO</t>
  </si>
  <si>
    <t>4bd72da2</t>
  </si>
  <si>
    <t>1098765011</t>
  </si>
  <si>
    <t>RONCALLO RADA JOSE LUIS</t>
  </si>
  <si>
    <t>e0efd073</t>
  </si>
  <si>
    <t>1095301805</t>
  </si>
  <si>
    <t>LOPEZ CORREA JUAN SEBASTIAN</t>
  </si>
  <si>
    <t>64abe490</t>
  </si>
  <si>
    <t>1005035662</t>
  </si>
  <si>
    <t>PEREZ SOLANO JULIAN ANDRES</t>
  </si>
  <si>
    <t>d89da9b2</t>
  </si>
  <si>
    <t>1093754494</t>
  </si>
  <si>
    <t>MENDOZA RESTREPO MIGUEL ANGEL</t>
  </si>
  <si>
    <t>d50f1fba</t>
  </si>
  <si>
    <t>1098618482</t>
  </si>
  <si>
    <t>084</t>
  </si>
  <si>
    <t>BLANCO CAVIEDES JOHN EDWIN</t>
  </si>
  <si>
    <t>d60972da</t>
  </si>
  <si>
    <t>1102389489</t>
  </si>
  <si>
    <t>9c79a6e5</t>
  </si>
  <si>
    <t>132</t>
  </si>
  <si>
    <t>QUINTERO REYES CRISTHIAN OMAR</t>
  </si>
  <si>
    <t>IPUANA ALVEIRO ENRIQUE</t>
  </si>
  <si>
    <t>1c037e52</t>
  </si>
  <si>
    <t>1005369374</t>
  </si>
  <si>
    <t>GUERRERO SANTOS ANDERSON STIVEN</t>
  </si>
  <si>
    <t>7ecf0893</t>
  </si>
  <si>
    <t>131</t>
  </si>
  <si>
    <t>af8074d5</t>
  </si>
  <si>
    <t>BARRERA GAONA JORDAN SMITH</t>
  </si>
  <si>
    <t>1095843896</t>
  </si>
  <si>
    <t>SUAREZ BASTO ELKYN ANDREY</t>
  </si>
  <si>
    <t>c1785bb6</t>
  </si>
  <si>
    <t>1102376522</t>
  </si>
  <si>
    <t>GERES GALIANO YEDINSON JOSE</t>
  </si>
  <si>
    <t>beda1bab</t>
  </si>
  <si>
    <t>050</t>
  </si>
  <si>
    <t>9fe17f18</t>
  </si>
  <si>
    <t>MANTILLA SIZA YERSON ANDREI</t>
  </si>
  <si>
    <t>63343247</t>
  </si>
  <si>
    <t>JAIMES VARGAS MARTHA JANETH</t>
  </si>
  <si>
    <t>068d5f59</t>
  </si>
  <si>
    <t>RINCON BOTELLO YERSON JAVIER</t>
  </si>
  <si>
    <t>PERSONAL_Images/fd342fe0.IMAGEN.015247.jpg</t>
  </si>
  <si>
    <t>2609c7ef</t>
  </si>
  <si>
    <t>LEON LEAL CARLOS FERNANDO</t>
  </si>
  <si>
    <t>23e34fb4</t>
  </si>
  <si>
    <t>13277757</t>
  </si>
  <si>
    <t>GUALDRON CASTELLANOS NELSON ENRIQUE</t>
  </si>
  <si>
    <t>8a6f51f9</t>
  </si>
  <si>
    <t>6152272</t>
  </si>
  <si>
    <t>227</t>
  </si>
  <si>
    <t>FERRER FERRER LENI ALBERTO</t>
  </si>
  <si>
    <t>82ce3f35</t>
  </si>
  <si>
    <t>MEDINA TOLOZA CESAR ANDRES</t>
  </si>
  <si>
    <t>6d0fd7f4</t>
  </si>
  <si>
    <t>1088265800</t>
  </si>
  <si>
    <t>MORALES ARIAS JHON FREDY</t>
  </si>
  <si>
    <t>d44f61fd</t>
  </si>
  <si>
    <t>1007900690</t>
  </si>
  <si>
    <t>3d95fbcd</t>
  </si>
  <si>
    <t>COTE HERNANDEZ MARIA CAMILA</t>
  </si>
  <si>
    <t>RODRIGUEZ BOBADILLA LEVIN RICARDO</t>
  </si>
  <si>
    <t>e22e5791</t>
  </si>
  <si>
    <t>1005289767</t>
  </si>
  <si>
    <t>CALDERON LOPEZ CAROL YULIANA</t>
  </si>
  <si>
    <t>c59144da</t>
  </si>
  <si>
    <t>1097492731</t>
  </si>
  <si>
    <t>8c593a15</t>
  </si>
  <si>
    <t>CARVAJAL ESCAMILLA JOAN STEVEN</t>
  </si>
  <si>
    <t>MORENO MARTINEZ JESUS ANTONIO</t>
  </si>
  <si>
    <t>7b12e54f</t>
  </si>
  <si>
    <t>1098700316</t>
  </si>
  <si>
    <t>HERRERA RODRIGUEZ FERNEY</t>
  </si>
  <si>
    <t>17cd6151</t>
  </si>
  <si>
    <t>1091676205</t>
  </si>
  <si>
    <t>SANABRIA TORRES YEBERSON LEANDRO</t>
  </si>
  <si>
    <t>814d65f7</t>
  </si>
  <si>
    <t>CARREÑO FLOREZ CARLOS ANDRES</t>
  </si>
  <si>
    <t>1d6846c8</t>
  </si>
  <si>
    <t>1098718985</t>
  </si>
  <si>
    <t>021</t>
  </si>
  <si>
    <t>MANZANO LIZARAZO MANZUR NAIN</t>
  </si>
  <si>
    <t>e63b8b1c</t>
  </si>
  <si>
    <t>1095921866</t>
  </si>
  <si>
    <t>CASTAÑO GAMBOA BRANDON SLEIDER</t>
  </si>
  <si>
    <t>f334383d</t>
  </si>
  <si>
    <t>MORENO NIETO YECID ALFREDO</t>
  </si>
  <si>
    <t>1e5b2baf</t>
  </si>
  <si>
    <t>91542227</t>
  </si>
  <si>
    <t>ANAYA LANDAZABAL SERGIO ANDRÉS</t>
  </si>
  <si>
    <t>0c537f95</t>
  </si>
  <si>
    <t>1104126355</t>
  </si>
  <si>
    <t>LOZANO CARRASQUILLA JORGE EDUARDO</t>
  </si>
  <si>
    <t>11a26023</t>
  </si>
  <si>
    <t>TRUJILLO LEON DUBAN</t>
  </si>
  <si>
    <t>476559c9</t>
  </si>
  <si>
    <t>BARAJAS MAYORGA WILMER DARIO</t>
  </si>
  <si>
    <t>a1678b3f</t>
  </si>
  <si>
    <t>1097911323</t>
  </si>
  <si>
    <t>DAZA SOLER HAROLD HEZIR NICOLAS</t>
  </si>
  <si>
    <t>e4cc41fb</t>
  </si>
  <si>
    <t>GIL FLORIAN LLELLAR</t>
  </si>
  <si>
    <t>ef0d9130</t>
  </si>
  <si>
    <t>1096538880</t>
  </si>
  <si>
    <t>SAENZ AYALA JONATHAN STEVEN</t>
  </si>
  <si>
    <t>2749fc1d</t>
  </si>
  <si>
    <t>91474893</t>
  </si>
  <si>
    <t>040</t>
  </si>
  <si>
    <t>BAUTISTA BAUTISTA JHON MARCELINO</t>
  </si>
  <si>
    <t>40352472</t>
  </si>
  <si>
    <t>RONDON AREVALO GEORGE ALFONSO</t>
  </si>
  <si>
    <t>5ab9a7d9</t>
  </si>
  <si>
    <t>SAMACA SILVA JHON EDWAR</t>
  </si>
  <si>
    <t>c396d29e</t>
  </si>
  <si>
    <t>LEON RINCON EMMANUEL FARYD</t>
  </si>
  <si>
    <t>23570e6e</t>
  </si>
  <si>
    <t>MONTOYA PIMIENTA MELQUISEDEC</t>
  </si>
  <si>
    <t>2bd4d8d7</t>
  </si>
  <si>
    <t>MURILLO CAMARGO JESUS SANTIAGO</t>
  </si>
  <si>
    <t>3e9b560c</t>
  </si>
  <si>
    <t>GALVIS SANABRIA DIXON ARBEY</t>
  </si>
  <si>
    <t>2cc41caf</t>
  </si>
  <si>
    <t>CARVAJAL GONZALEZ ALEXANDER</t>
  </si>
  <si>
    <t>5738b9ae</t>
  </si>
  <si>
    <t>ARAQUE TORRES JESUS ALBEIRO</t>
  </si>
  <si>
    <t>65d12b6e</t>
  </si>
  <si>
    <t>GARCIA ANGARITA JUAN SEBASTIÁN</t>
  </si>
  <si>
    <t>2d087719</t>
  </si>
  <si>
    <t>LEON DIAZ MAURICIO</t>
  </si>
  <si>
    <t>fd3ccbab</t>
  </si>
  <si>
    <t>P002</t>
  </si>
  <si>
    <t>FLOREZ VICTOR ALFONSO</t>
  </si>
  <si>
    <t>65</t>
  </si>
  <si>
    <t>ID PERSONAL</t>
  </si>
  <si>
    <t>Talla</t>
  </si>
  <si>
    <t>IMAGEN</t>
  </si>
  <si>
    <t>estado</t>
  </si>
  <si>
    <t>00d792fa</t>
  </si>
  <si>
    <t>01142ded</t>
  </si>
  <si>
    <t>0464dd16</t>
  </si>
  <si>
    <t>09d054ef</t>
  </si>
  <si>
    <t>0c4f0940</t>
  </si>
  <si>
    <t>121</t>
  </si>
  <si>
    <t>id</t>
  </si>
  <si>
    <t>operarios nuevo</t>
  </si>
  <si>
    <t>15193dc6</t>
  </si>
  <si>
    <t>154</t>
  </si>
  <si>
    <t>15cae5f5</t>
  </si>
  <si>
    <t>164</t>
  </si>
  <si>
    <t>175</t>
  </si>
  <si>
    <t>177</t>
  </si>
  <si>
    <t>VIS</t>
  </si>
  <si>
    <t>181</t>
  </si>
  <si>
    <t>195</t>
  </si>
  <si>
    <t>1eaddc53</t>
  </si>
  <si>
    <t>1f3776b4</t>
  </si>
  <si>
    <t>1f79e196</t>
  </si>
  <si>
    <t>1f8a1c87</t>
  </si>
  <si>
    <t>207</t>
  </si>
  <si>
    <t>Cantidad</t>
  </si>
  <si>
    <t>Area de USO</t>
  </si>
  <si>
    <t>PROCESO</t>
  </si>
  <si>
    <t>209</t>
  </si>
  <si>
    <t>21a3bf85</t>
  </si>
  <si>
    <t>240f272f</t>
  </si>
  <si>
    <t>367f61a1</t>
  </si>
  <si>
    <t>37b98e3f</t>
  </si>
  <si>
    <t>37ec159f</t>
  </si>
  <si>
    <t>381b7e84</t>
  </si>
  <si>
    <t>3f8aa6ae</t>
  </si>
  <si>
    <t>406403b7</t>
  </si>
  <si>
    <t>440a2133</t>
  </si>
  <si>
    <t>46162011</t>
  </si>
  <si>
    <t>4a93eac0</t>
  </si>
  <si>
    <t>533bdc63</t>
  </si>
  <si>
    <t>5a09cee2</t>
  </si>
  <si>
    <t>5b88dd0e</t>
  </si>
  <si>
    <t>5bb624fd</t>
  </si>
  <si>
    <t>5dc604bd</t>
  </si>
  <si>
    <t>62</t>
  </si>
  <si>
    <t>63a0a43b</t>
  </si>
  <si>
    <t>65dadcd3</t>
  </si>
  <si>
    <t>66</t>
  </si>
  <si>
    <t>69</t>
  </si>
  <si>
    <t>6b057768</t>
  </si>
  <si>
    <t>6c4dc896</t>
  </si>
  <si>
    <t>70</t>
  </si>
  <si>
    <t>70e799e3</t>
  </si>
  <si>
    <t>72</t>
  </si>
  <si>
    <t>72cfdcf5</t>
  </si>
  <si>
    <t>73d922f2</t>
  </si>
  <si>
    <t>74</t>
  </si>
  <si>
    <t>75</t>
  </si>
  <si>
    <t>75230cc3</t>
  </si>
  <si>
    <t>75803363</t>
  </si>
  <si>
    <t>78</t>
  </si>
  <si>
    <t>79</t>
  </si>
  <si>
    <t>7e5fe9ee</t>
  </si>
  <si>
    <t>83</t>
  </si>
  <si>
    <t>8d3e91f4</t>
  </si>
  <si>
    <t>8fd0fa93</t>
  </si>
  <si>
    <t>91af0eb4</t>
  </si>
  <si>
    <t>9264108c</t>
  </si>
  <si>
    <t>96</t>
  </si>
  <si>
    <t>96162c85</t>
  </si>
  <si>
    <t>978b9168</t>
  </si>
  <si>
    <t>9e349c6b</t>
  </si>
  <si>
    <t>9f38794d</t>
  </si>
  <si>
    <t>a15ea262</t>
  </si>
  <si>
    <t>a47050fa</t>
  </si>
  <si>
    <t>a567deb3</t>
  </si>
  <si>
    <t>abb6b799</t>
  </si>
  <si>
    <t>abbae54b</t>
  </si>
  <si>
    <t>CODIGO DE DOTACION</t>
  </si>
  <si>
    <t>TALLA</t>
  </si>
  <si>
    <t xml:space="preserve">CANTIDAD </t>
  </si>
  <si>
    <t>b696819e</t>
  </si>
  <si>
    <t>bbed1814</t>
  </si>
  <si>
    <t>bccc0db0</t>
  </si>
  <si>
    <t>c1f23af6</t>
  </si>
  <si>
    <t>c779f327</t>
  </si>
  <si>
    <t>c9b89ed5</t>
  </si>
  <si>
    <t>ca7c3acf</t>
  </si>
  <si>
    <t>cfc0e575</t>
  </si>
  <si>
    <t>d0960a98</t>
  </si>
  <si>
    <t>d0bcc4df</t>
  </si>
  <si>
    <t>d2149cfa</t>
  </si>
  <si>
    <t>d295175c</t>
  </si>
  <si>
    <t>d615013b</t>
  </si>
  <si>
    <t>dae98db2</t>
  </si>
  <si>
    <t>db7befce</t>
  </si>
  <si>
    <t>eedbbfbd</t>
  </si>
  <si>
    <t>ef7928cf</t>
  </si>
  <si>
    <t>f0817b2c</t>
  </si>
  <si>
    <t>f39ff934</t>
  </si>
  <si>
    <t>f6802136</t>
  </si>
  <si>
    <t>PYP</t>
  </si>
  <si>
    <t>f7737a56</t>
  </si>
  <si>
    <t>f7c9446f</t>
  </si>
  <si>
    <t>fc901518</t>
  </si>
  <si>
    <t>VISITAS</t>
  </si>
  <si>
    <t>PLANTA EMERGENCIA</t>
  </si>
  <si>
    <t>EXTERNOS</t>
  </si>
  <si>
    <t>PIELES</t>
  </si>
  <si>
    <t>SUBPRODUCTOS</t>
  </si>
  <si>
    <t>fddf2e7f</t>
  </si>
  <si>
    <t>fe3a9ed4</t>
  </si>
  <si>
    <t>44620911</t>
  </si>
  <si>
    <t>1ca4c566</t>
  </si>
  <si>
    <t>a2de9123</t>
  </si>
  <si>
    <t>507b080a</t>
  </si>
  <si>
    <t>AREAS DE LOCKER</t>
  </si>
  <si>
    <t>30209031</t>
  </si>
  <si>
    <t>ad66f5bf</t>
  </si>
  <si>
    <t>5b54e7fb</t>
  </si>
  <si>
    <t># LOCKER</t>
  </si>
  <si>
    <t>AREA</t>
  </si>
  <si>
    <t>acab6743</t>
  </si>
  <si>
    <t>6c7ba97d</t>
  </si>
  <si>
    <t>97bb96c5</t>
  </si>
  <si>
    <t>48835515</t>
  </si>
  <si>
    <t>d196edd8</t>
  </si>
  <si>
    <t>a34f75fe</t>
  </si>
  <si>
    <t>0f636fff</t>
  </si>
  <si>
    <t>108</t>
  </si>
  <si>
    <t>a2718282</t>
  </si>
  <si>
    <t>111</t>
  </si>
  <si>
    <t>83ef105e</t>
  </si>
  <si>
    <t>cdb58f78</t>
  </si>
  <si>
    <t>d4607657</t>
  </si>
  <si>
    <t>114</t>
  </si>
  <si>
    <t>2cd6ddf0</t>
  </si>
  <si>
    <t>CODIGO</t>
  </si>
  <si>
    <t>AREAS DE SECA BOTAS</t>
  </si>
  <si>
    <t>339be363</t>
  </si>
  <si>
    <t>cd8f655d</t>
  </si>
  <si>
    <t>ce7c38fb</t>
  </si>
  <si>
    <t>44c63e78</t>
  </si>
  <si>
    <t>d2180c3b</t>
  </si>
  <si>
    <t>72955314</t>
  </si>
  <si>
    <t>123</t>
  </si>
  <si>
    <t>3ec4c50e</t>
  </si>
  <si>
    <t>29349a13</t>
  </si>
  <si>
    <t>7da52c8f</t>
  </si>
  <si>
    <t>df5e4e91</t>
  </si>
  <si>
    <t>86b0ed83</t>
  </si>
  <si>
    <t>1fa37210</t>
  </si>
  <si>
    <t>9f1f77de</t>
  </si>
  <si>
    <t>d4f95394</t>
  </si>
  <si>
    <t>12a2ae9c</t>
  </si>
  <si>
    <t>ebac8716</t>
  </si>
  <si>
    <t>e2a9b73c</t>
  </si>
  <si>
    <t>APROBADOS</t>
  </si>
  <si>
    <t>CONTRATADOS</t>
  </si>
  <si>
    <t>136</t>
  </si>
  <si>
    <t>POR CONTRATAR</t>
  </si>
  <si>
    <t>137</t>
  </si>
  <si>
    <t>2f1d4f05</t>
  </si>
  <si>
    <t>730debe3</t>
  </si>
  <si>
    <t>a196847a</t>
  </si>
  <si>
    <t>4e82ad0e</t>
  </si>
  <si>
    <t>fa43dae1</t>
  </si>
  <si>
    <t>cf617c79</t>
  </si>
  <si>
    <t>acf3a707</t>
  </si>
  <si>
    <t>7218aa86</t>
  </si>
  <si>
    <t>c1ff8807</t>
  </si>
  <si>
    <t>6ced9479</t>
  </si>
  <si>
    <t>319ad57c</t>
  </si>
  <si>
    <t>af95aa3e</t>
  </si>
  <si>
    <t>24f79df2</t>
  </si>
  <si>
    <t>08c2a9d1</t>
  </si>
  <si>
    <t>b9c4d1e4</t>
  </si>
  <si>
    <t>8ac0331f</t>
  </si>
  <si>
    <t>e5d96bf5</t>
  </si>
  <si>
    <t>c994e2e7</t>
  </si>
  <si>
    <t>9021456a</t>
  </si>
  <si>
    <t>eb345e9a</t>
  </si>
  <si>
    <t>466b84bb</t>
  </si>
  <si>
    <t>4642c0af</t>
  </si>
  <si>
    <t>c209581c</t>
  </si>
  <si>
    <t>66567cfb</t>
  </si>
  <si>
    <t>cabd7e09</t>
  </si>
  <si>
    <t>c8ab0be3</t>
  </si>
  <si>
    <t>455ad64f</t>
  </si>
  <si>
    <t>1cc89479</t>
  </si>
  <si>
    <t>11badb38</t>
  </si>
  <si>
    <t>9f58caac</t>
  </si>
  <si>
    <t>dbc66af9</t>
  </si>
  <si>
    <t>42f28ebc</t>
  </si>
  <si>
    <t>178</t>
  </si>
  <si>
    <t>182</t>
  </si>
  <si>
    <t>186</t>
  </si>
  <si>
    <t>197</t>
  </si>
  <si>
    <t>203</t>
  </si>
  <si>
    <t>206</t>
  </si>
  <si>
    <t>208</t>
  </si>
  <si>
    <t>212</t>
  </si>
  <si>
    <t>213</t>
  </si>
  <si>
    <t>220</t>
  </si>
  <si>
    <t>221</t>
  </si>
  <si>
    <t>222</t>
  </si>
  <si>
    <t>223</t>
  </si>
  <si>
    <t>224</t>
  </si>
  <si>
    <t>225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</si>
  <si>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</si>
  <si>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</si>
  <si>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</si>
  <si>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</si>
  <si>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</si>
  <si>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</si>
  <si>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</si>
  <si>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</si>
  <si>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</si>
  <si>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</si>
  <si>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</si>
  <si>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251</t>
  </si>
  <si>
    <t>252</t>
  </si>
  <si>
    <t>253</t>
  </si>
  <si>
    <t>260</t>
  </si>
  <si>
    <t>262</t>
  </si>
  <si>
    <t>263</t>
  </si>
  <si>
    <t>E001</t>
  </si>
  <si>
    <t>E002</t>
  </si>
  <si>
    <t>E003</t>
  </si>
  <si>
    <t>E004</t>
  </si>
  <si>
    <t>E070</t>
  </si>
  <si>
    <t>M001</t>
  </si>
  <si>
    <t>M002</t>
  </si>
  <si>
    <t>M003</t>
  </si>
  <si>
    <t>P003</t>
  </si>
  <si>
    <t>V001</t>
  </si>
  <si>
    <t>V002</t>
  </si>
  <si>
    <t>V003</t>
  </si>
  <si>
    <t>V004</t>
  </si>
  <si>
    <t>V005</t>
  </si>
  <si>
    <t>V006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</si>
</sst>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&quot;/&quot;mm&quot;/&quot;yyyy"/>
    <numFmt numFmtId="166" formatCode="dd/mm/yyyy"/>
  </numFmts>
  <fonts count="23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b/>
      <sz val="18"/>
      <color theme="1"/>
      <name val="Arial"/>
      <scheme val="minor"/>
    </font>
    <font>
      <sz val="14"/>
      <color theme="1"/>
      <name val="Arial"/>
      <scheme val="minor"/>
    </font>
    <font>
      <b/>
      <sz val="14"/>
      <color theme="1"/>
      <name val="Arial"/>
    </font>
    <font>
      <b/>
      <sz val="13"/>
      <color theme="1"/>
      <name val="Arial"/>
      <scheme val="minor"/>
    </font>
    <font>
      <sz val="14"/>
      <color theme="1"/>
      <name val="Arial"/>
    </font>
    <font>
      <sz val="12"/>
      <color theme="1"/>
      <name val="Arial"/>
    </font>
    <font>
      <sz val="12"/>
      <color rgb="FF000000"/>
      <name val="Arial"/>
      <scheme val="minor"/>
    </font>
    <font>
      <b/>
      <sz val="18"/>
      <color rgb="FF000000"/>
      <name val="Arial"/>
      <scheme val="minor"/>
    </font>
    <font>
      <sz val="18"/>
      <color rgb="FF000000"/>
      <name val="Arial"/>
      <scheme val="minor"/>
    </font>
    <font>
      <sz val="12"/>
      <color rgb="FF000000"/>
      <name val="Arial"/>
    </font>
    <font>
      <sz val="18"/>
      <color theme="1"/>
      <name val="Arial"/>
      <scheme val="minor"/>
    </font>
    <font>
      <sz val="10"/>
      <color theme="1"/>
      <name val="Arial"/>
    </font>
    <font>
      <sz val="9"/>
      <color rgb="FF1F1F1F"/>
      <name val="&quot;Google Sans&quot;"/>
    </font>
    <font>
      <sz val="11"/>
      <color theme="1"/>
      <name val="Arial"/>
      <scheme val="minor"/>
    </font>
    <font>
      <b/>
      <sz val="11"/>
      <color rgb="FF222222"/>
      <name val="&quot;Google Sans&quot;"/>
    </font>
    <font>
      <sz val="11"/>
      <color theme="1"/>
      <name val="Arial"/>
    </font>
    <font>
      <sz val="11"/>
      <color rgb="FF222222"/>
      <name val="&quot;Google Sans&quot;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CE8AD"/>
        <bgColor rgb="FF7CE8A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7" fillId="2" borderId="0" xfId="0" applyNumberFormat="1" applyFont="1" applyFill="1" applyAlignment="1">
      <alignment horizontal="center" vertical="center" wrapText="1"/>
    </xf>
    <xf numFmtId="49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9" fillId="2" borderId="0" xfId="0" applyNumberFormat="1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49" fontId="3" fillId="0" borderId="0" xfId="0" applyNumberFormat="1" applyFont="1"/>
    <xf numFmtId="0" fontId="4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10" fillId="4" borderId="0" xfId="0" applyFont="1" applyFill="1" applyAlignment="1">
      <alignment horizontal="center"/>
    </xf>
    <xf numFmtId="164" fontId="4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4" fillId="0" borderId="2" xfId="0" quotePrefix="1" applyNumberFormat="1" applyFont="1" applyBorder="1" applyAlignment="1">
      <alignment horizontal="center" vertical="center"/>
    </xf>
    <xf numFmtId="0" fontId="3" fillId="3" borderId="0" xfId="0" applyFont="1" applyFill="1"/>
    <xf numFmtId="0" fontId="11" fillId="3" borderId="2" xfId="0" applyFont="1" applyFill="1" applyBorder="1" applyAlignment="1">
      <alignment horizontal="center" vertical="center"/>
    </xf>
    <xf numFmtId="49" fontId="12" fillId="3" borderId="2" xfId="0" applyNumberFormat="1" applyFont="1" applyFill="1" applyBorder="1" applyAlignment="1">
      <alignment horizontal="center" vertical="center"/>
    </xf>
    <xf numFmtId="166" fontId="11" fillId="3" borderId="4" xfId="0" applyNumberFormat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3" fontId="13" fillId="3" borderId="4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left" vertical="center"/>
    </xf>
    <xf numFmtId="3" fontId="13" fillId="3" borderId="0" xfId="0" applyNumberFormat="1" applyFont="1" applyFill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6" fontId="11" fillId="3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3" fontId="13" fillId="3" borderId="2" xfId="0" applyNumberFormat="1" applyFont="1" applyFill="1" applyBorder="1" applyAlignment="1">
      <alignment horizontal="center" vertical="center"/>
    </xf>
    <xf numFmtId="49" fontId="12" fillId="3" borderId="2" xfId="0" quotePrefix="1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49" fontId="5" fillId="0" borderId="0" xfId="0" quotePrefix="1" applyNumberFormat="1" applyFont="1" applyAlignment="1">
      <alignment horizontal="center"/>
    </xf>
    <xf numFmtId="0" fontId="11" fillId="3" borderId="5" xfId="0" applyFont="1" applyFill="1" applyBorder="1" applyAlignment="1">
      <alignment horizontal="left" vertical="center"/>
    </xf>
    <xf numFmtId="3" fontId="13" fillId="3" borderId="5" xfId="0" applyNumberFormat="1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166" fontId="11" fillId="3" borderId="3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49" fontId="3" fillId="0" borderId="2" xfId="0" applyNumberFormat="1" applyFont="1" applyBorder="1"/>
    <xf numFmtId="0" fontId="14" fillId="3" borderId="0" xfId="0" applyFont="1" applyFill="1" applyAlignment="1">
      <alignment vertical="center"/>
    </xf>
    <xf numFmtId="49" fontId="3" fillId="0" borderId="0" xfId="0" quotePrefix="1" applyNumberFormat="1" applyFont="1"/>
    <xf numFmtId="49" fontId="4" fillId="3" borderId="0" xfId="0" applyNumberFormat="1" applyFont="1" applyFill="1" applyAlignment="1">
      <alignment horizontal="left" vertical="center"/>
    </xf>
    <xf numFmtId="49" fontId="5" fillId="3" borderId="2" xfId="0" quotePrefix="1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>
      <alignment horizontal="center" vertical="center"/>
    </xf>
    <xf numFmtId="49" fontId="15" fillId="3" borderId="0" xfId="0" applyNumberFormat="1" applyFont="1" applyFill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4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3" fillId="0" borderId="2" xfId="0" quotePrefix="1" applyNumberFormat="1" applyFont="1" applyBorder="1" applyAlignment="1">
      <alignment horizontal="center"/>
    </xf>
    <xf numFmtId="166" fontId="2" fillId="3" borderId="3" xfId="0" applyNumberFormat="1" applyFont="1" applyFill="1" applyBorder="1" applyAlignment="1">
      <alignment horizontal="center" vertical="center"/>
    </xf>
    <xf numFmtId="164" fontId="11" fillId="3" borderId="2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3" fillId="0" borderId="0" xfId="0" quotePrefix="1" applyNumberFormat="1" applyFont="1" applyAlignment="1">
      <alignment horizontal="center"/>
    </xf>
    <xf numFmtId="164" fontId="11" fillId="3" borderId="3" xfId="0" applyNumberFormat="1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49" fontId="15" fillId="3" borderId="2" xfId="0" applyNumberFormat="1" applyFont="1" applyFill="1" applyBorder="1" applyAlignment="1">
      <alignment horizontal="center" vertical="center"/>
    </xf>
    <xf numFmtId="49" fontId="4" fillId="0" borderId="0" xfId="0" quotePrefix="1" applyNumberFormat="1" applyFont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14" fillId="3" borderId="2" xfId="0" applyFont="1" applyFill="1" applyBorder="1" applyAlignment="1">
      <alignment vertical="center"/>
    </xf>
    <xf numFmtId="49" fontId="4" fillId="3" borderId="2" xfId="0" quotePrefix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49" fontId="10" fillId="3" borderId="0" xfId="0" applyNumberFormat="1" applyFont="1" applyFill="1" applyAlignment="1">
      <alignment horizontal="center" vertical="center"/>
    </xf>
    <xf numFmtId="0" fontId="10" fillId="3" borderId="0" xfId="0" applyFont="1" applyFill="1"/>
    <xf numFmtId="0" fontId="10" fillId="3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4" fillId="4" borderId="0" xfId="0" applyFont="1" applyFill="1" applyAlignment="1">
      <alignment horizontal="left"/>
    </xf>
    <xf numFmtId="49" fontId="7" fillId="2" borderId="6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3" fillId="0" borderId="0" xfId="0" applyFont="1"/>
    <xf numFmtId="0" fontId="4" fillId="3" borderId="0" xfId="0" applyFont="1" applyFill="1" applyAlignment="1">
      <alignment horizontal="left"/>
    </xf>
    <xf numFmtId="3" fontId="7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49" fontId="10" fillId="3" borderId="0" xfId="0" quotePrefix="1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3" fontId="18" fillId="0" borderId="0" xfId="0" applyNumberFormat="1" applyFont="1" applyAlignment="1">
      <alignment horizontal="center"/>
    </xf>
    <xf numFmtId="0" fontId="4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center"/>
    </xf>
    <xf numFmtId="0" fontId="4" fillId="3" borderId="2" xfId="0" applyFont="1" applyFill="1" applyBorder="1" applyAlignment="1">
      <alignment horizontal="left"/>
    </xf>
    <xf numFmtId="49" fontId="7" fillId="2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21" fillId="3" borderId="0" xfId="0" applyFont="1" applyFill="1"/>
    <xf numFmtId="0" fontId="22" fillId="2" borderId="0" xfId="0" applyFont="1" applyFill="1" applyAlignment="1">
      <alignment horizontal="center" vertical="center"/>
    </xf>
    <xf numFmtId="0" fontId="18" fillId="0" borderId="0" xfId="0" applyFont="1"/>
    <xf numFmtId="49" fontId="5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/>
    </xf>
  </cellXfs>
  <cellStyles count="1">
    <cellStyle name="Normal" xfId="0" builtinId="0"/>
  </cellStyles>
  <dxfs count="10"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ider Beneficio" id="{5223A70A-99C9-49D9-825C-2EFD2E2F052C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7" dT="2023-05-16T20:47:37.00" personId="{5223A70A-99C9-49D9-825C-2EFD2E2F052C}" id="{0C131A3C-B6C1-4AB1-ADE0-C6F512E2F387}" done="1">
    <text>Locker de línea cedido por entrenamiento</text>
  </threadedComment>
  <threadedComment ref="B87" dT="2023-05-16T20:48:47.00" personId="{5223A70A-99C9-49D9-825C-2EFD2E2F052C}" id="{00F12EC8-5141-40BA-97DD-B53CE6DC8493}" done="1">
    <text>Locker de línea cedido por entrenamiento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outlinePr summaryBelow="0" summaryRight="0"/>
  </sheetPr>
  <dimension ref="A1:AC864"/>
  <sheetViews>
    <sheetView showGridLines="0" tabSelected="1" workbookViewId="0">
      <pane ySplit="1" topLeftCell="A68" activePane="bottomLeft" state="frozen"/>
      <selection pane="bottomLeft" activeCell="B3" sqref="B3"/>
    </sheetView>
  </sheetViews>
  <sheetFormatPr baseColWidth="10" defaultColWidth="12.5703125" defaultRowHeight="15.75" customHeight="1"/>
  <cols>
    <col min="1" max="1" width="16.140625" customWidth="1"/>
    <col min="2" max="2" width="13.28515625" customWidth="1"/>
    <col min="3" max="3" width="12.140625" customWidth="1"/>
    <col min="4" max="4" width="48.42578125" customWidth="1"/>
    <col min="5" max="5" width="16.42578125" customWidth="1"/>
    <col min="6" max="6" width="17.5703125" customWidth="1"/>
    <col min="7" max="7" width="13.28515625" customWidth="1"/>
    <col min="8" max="8" width="8.7109375" customWidth="1"/>
    <col min="9" max="9" width="18.42578125" customWidth="1"/>
    <col min="10" max="10" width="18" customWidth="1"/>
    <col min="11" max="11" width="21.85546875" customWidth="1"/>
    <col min="12" max="12" width="21.42578125" customWidth="1"/>
    <col min="13" max="13" width="46.7109375" customWidth="1"/>
  </cols>
  <sheetData>
    <row r="1" spans="1:29" ht="50.25" customHeight="1">
      <c r="A1" s="2" t="s">
        <v>2</v>
      </c>
      <c r="B1" s="4" t="s">
        <v>7</v>
      </c>
      <c r="C1" s="2" t="s">
        <v>8</v>
      </c>
      <c r="D1" s="2" t="s">
        <v>10</v>
      </c>
      <c r="E1" s="2" t="s">
        <v>1</v>
      </c>
      <c r="F1" s="8" t="s">
        <v>13</v>
      </c>
      <c r="G1" s="2" t="s">
        <v>0</v>
      </c>
      <c r="H1" s="2" t="s">
        <v>4</v>
      </c>
      <c r="I1" s="2" t="s">
        <v>16</v>
      </c>
      <c r="J1" s="2" t="s">
        <v>17</v>
      </c>
      <c r="K1" s="2" t="s">
        <v>3</v>
      </c>
      <c r="L1" s="2" t="s">
        <v>18</v>
      </c>
      <c r="M1" s="2" t="s">
        <v>19</v>
      </c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ht="15" hidden="1">
      <c r="A2" s="15"/>
      <c r="B2" s="15"/>
      <c r="C2" s="16"/>
      <c r="D2" s="17"/>
      <c r="E2" s="19"/>
      <c r="F2" s="17" t="str">
        <f t="array" ref="F2:F864">IFERROR(VLOOKUP($D2:$D864,PERSONAL!B:E,2,0),"")</f>
        <v/>
      </c>
      <c r="G2" s="19"/>
      <c r="H2" s="19" t="str">
        <f t="array" ref="H2:H864">IFERROR(VLOOKUP($D2:$D864,PERSONAL!B:F,3,0),"")</f>
        <v/>
      </c>
      <c r="I2" s="19" t="str">
        <f t="array" ref="I2:I864">IFERROR(VLOOKUP($D2:$D864,PERSONAL!$B:$E,4,0),"")</f>
        <v/>
      </c>
      <c r="J2" s="19" t="str">
        <f t="array" ref="J2:J864">IFERROR(VLOOKUP($B2:B864,DOTACIONES!$B:$E,3,0),"")</f>
        <v/>
      </c>
      <c r="K2" s="19" t="str">
        <f t="array" ref="K2:K864">IFERROR(VLOOKUP($D2:$D864,PERSONAL!B:F,5,0),"")</f>
        <v/>
      </c>
      <c r="L2" s="19"/>
      <c r="M2" s="19" t="str">
        <f t="array" ref="M2:M864">IFERROR(VLOOKUP($D2:$D864,PERSONAL!B:G,6,0),"")</f>
        <v/>
      </c>
      <c r="N2" s="27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</row>
    <row r="3" spans="1:29" ht="23.25">
      <c r="A3" s="15"/>
      <c r="B3" s="29"/>
      <c r="C3" s="30"/>
      <c r="D3" s="31"/>
      <c r="E3" s="32"/>
      <c r="F3" s="33" t="str">
        <v/>
      </c>
      <c r="G3" s="34"/>
      <c r="H3" s="35" t="str">
        <v/>
      </c>
      <c r="I3" s="35" t="str">
        <v/>
      </c>
      <c r="J3" s="35" t="str">
        <v/>
      </c>
      <c r="K3" s="35" t="str">
        <v/>
      </c>
      <c r="L3" s="35"/>
      <c r="M3" s="35" t="str">
        <v/>
      </c>
      <c r="N3" s="27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</row>
    <row r="4" spans="1:29" ht="23.25">
      <c r="A4" s="15" t="s">
        <v>235</v>
      </c>
      <c r="B4" s="29" t="s">
        <v>237</v>
      </c>
      <c r="C4" s="37">
        <v>44823</v>
      </c>
      <c r="D4" s="38" t="s">
        <v>243</v>
      </c>
      <c r="E4" s="39">
        <v>4</v>
      </c>
      <c r="F4" s="33" t="str">
        <v>1066093880</v>
      </c>
      <c r="G4" s="34" t="s">
        <v>14</v>
      </c>
      <c r="H4" s="28" t="str">
        <v>PCC</v>
      </c>
      <c r="I4" s="28" t="str">
        <v>S</v>
      </c>
      <c r="J4" s="28" t="str">
        <v>S</v>
      </c>
      <c r="K4" s="28" t="str">
        <v>VESTIDOR HOMBRES</v>
      </c>
      <c r="L4" s="28"/>
      <c r="M4" s="28">
        <v>0</v>
      </c>
      <c r="N4" s="27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 spans="1:29" ht="23.25">
      <c r="A5" s="15" t="s">
        <v>235</v>
      </c>
      <c r="B5" s="29" t="s">
        <v>260</v>
      </c>
      <c r="C5" s="37">
        <v>44823</v>
      </c>
      <c r="D5" s="38" t="s">
        <v>261</v>
      </c>
      <c r="E5" s="39">
        <v>4</v>
      </c>
      <c r="F5" s="33" t="str">
        <v>91223001</v>
      </c>
      <c r="G5" s="34" t="s">
        <v>266</v>
      </c>
      <c r="H5" s="28" t="str">
        <v>LN</v>
      </c>
      <c r="I5" s="28" t="str">
        <v>M</v>
      </c>
      <c r="J5" s="28" t="str">
        <v>M</v>
      </c>
      <c r="K5" s="28" t="str">
        <v>VESTIDOR HOMBRES</v>
      </c>
      <c r="L5" s="28"/>
      <c r="M5" s="28">
        <v>0</v>
      </c>
      <c r="N5" s="27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spans="1:29" ht="23.25">
      <c r="A6" s="15" t="s">
        <v>235</v>
      </c>
      <c r="B6" s="29" t="s">
        <v>270</v>
      </c>
      <c r="C6" s="37">
        <v>44823</v>
      </c>
      <c r="D6" s="38" t="s">
        <v>272</v>
      </c>
      <c r="E6" s="39">
        <v>3</v>
      </c>
      <c r="F6" s="33" t="str">
        <v>91466133</v>
      </c>
      <c r="G6" s="34" t="s">
        <v>275</v>
      </c>
      <c r="H6" s="28" t="str">
        <v>LN</v>
      </c>
      <c r="I6" s="28" t="str">
        <v>L</v>
      </c>
      <c r="J6" s="28" t="str">
        <v>L</v>
      </c>
      <c r="K6" s="28" t="str">
        <v>VESTIDOR HOMBRES</v>
      </c>
      <c r="L6" s="28"/>
      <c r="M6" s="28">
        <v>0</v>
      </c>
      <c r="N6" s="27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spans="1:29" ht="23.25">
      <c r="A7" s="15" t="s">
        <v>235</v>
      </c>
      <c r="B7" s="29" t="s">
        <v>280</v>
      </c>
      <c r="C7" s="37">
        <v>44823</v>
      </c>
      <c r="D7" s="38" t="s">
        <v>281</v>
      </c>
      <c r="E7" s="39">
        <v>2</v>
      </c>
      <c r="F7" s="33">
        <v>91506805</v>
      </c>
      <c r="G7" s="34" t="s">
        <v>22</v>
      </c>
      <c r="H7" s="28" t="str">
        <v>PCC</v>
      </c>
      <c r="I7" s="28" t="str">
        <v>L</v>
      </c>
      <c r="J7" s="28" t="str">
        <v>L</v>
      </c>
      <c r="K7" s="28" t="str">
        <v>VESTIDOR HOMBRES</v>
      </c>
      <c r="L7" s="28"/>
      <c r="M7" s="28">
        <v>0</v>
      </c>
      <c r="N7" s="27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spans="1:29" ht="23.25">
      <c r="A8" s="15" t="s">
        <v>288</v>
      </c>
      <c r="B8" s="29" t="s">
        <v>289</v>
      </c>
      <c r="C8" s="37">
        <v>44823</v>
      </c>
      <c r="D8" s="38" t="s">
        <v>290</v>
      </c>
      <c r="E8" s="39">
        <v>2</v>
      </c>
      <c r="F8" s="33" t="str">
        <v>1098700274</v>
      </c>
      <c r="G8" s="34" t="s">
        <v>294</v>
      </c>
      <c r="H8" s="28" t="str">
        <v>LN</v>
      </c>
      <c r="I8" s="28" t="str">
        <v>M</v>
      </c>
      <c r="J8" s="28" t="str">
        <v>M</v>
      </c>
      <c r="K8" s="28" t="str">
        <v>VESTIDOR HOMBRES</v>
      </c>
      <c r="L8" s="28"/>
      <c r="M8" s="28">
        <v>0</v>
      </c>
      <c r="N8" s="27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spans="1:29" ht="23.25">
      <c r="A9" s="15" t="s">
        <v>235</v>
      </c>
      <c r="B9" s="40" t="s">
        <v>118</v>
      </c>
      <c r="C9" s="37">
        <v>44823</v>
      </c>
      <c r="D9" s="38" t="s">
        <v>303</v>
      </c>
      <c r="E9" s="39">
        <v>8</v>
      </c>
      <c r="F9" s="33" t="str">
        <v>1098805526</v>
      </c>
      <c r="G9" s="34" t="s">
        <v>306</v>
      </c>
      <c r="H9" s="28" t="str">
        <v>LN</v>
      </c>
      <c r="I9" s="28" t="str">
        <v>XL</v>
      </c>
      <c r="J9" s="28" t="str">
        <v>XL</v>
      </c>
      <c r="K9" s="28" t="str">
        <v>VESTIDOR HOMBRES</v>
      </c>
      <c r="L9" s="28"/>
      <c r="M9" s="28">
        <v>0</v>
      </c>
      <c r="N9" s="27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spans="1:29" ht="23.25">
      <c r="A10" s="15"/>
      <c r="B10" s="29"/>
      <c r="C10" s="37"/>
      <c r="D10" s="38"/>
      <c r="E10" s="39"/>
      <c r="F10" s="33" t="str">
        <v/>
      </c>
      <c r="G10" s="34"/>
      <c r="H10" s="28" t="str">
        <v/>
      </c>
      <c r="I10" s="28" t="str">
        <v/>
      </c>
      <c r="J10" s="28" t="str">
        <v/>
      </c>
      <c r="K10" s="28" t="str">
        <v/>
      </c>
      <c r="L10" s="28"/>
      <c r="M10" s="28" t="str">
        <v/>
      </c>
      <c r="N10" s="27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spans="1:29" ht="23.25">
      <c r="A11" s="15" t="s">
        <v>318</v>
      </c>
      <c r="B11" s="29" t="s">
        <v>319</v>
      </c>
      <c r="C11" s="37">
        <v>44823</v>
      </c>
      <c r="D11" s="38" t="s">
        <v>322</v>
      </c>
      <c r="E11" s="39">
        <v>7</v>
      </c>
      <c r="F11" s="33" t="str">
        <v>91452758</v>
      </c>
      <c r="G11" s="34" t="s">
        <v>326</v>
      </c>
      <c r="H11" s="28" t="str">
        <v>LN</v>
      </c>
      <c r="I11" s="28" t="str">
        <v>S</v>
      </c>
      <c r="J11" s="28" t="str">
        <v>S</v>
      </c>
      <c r="K11" s="28" t="str">
        <v>VESTIDOR HOMBRES</v>
      </c>
      <c r="L11" s="28"/>
      <c r="M11" s="28">
        <v>0</v>
      </c>
      <c r="N11" s="27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spans="1:29" ht="23.25">
      <c r="A12" s="15" t="s">
        <v>235</v>
      </c>
      <c r="B12" s="29" t="s">
        <v>329</v>
      </c>
      <c r="C12" s="37">
        <v>44823</v>
      </c>
      <c r="D12" s="38" t="s">
        <v>331</v>
      </c>
      <c r="E12" s="39">
        <v>6</v>
      </c>
      <c r="F12" s="33" t="str">
        <v>1095813788</v>
      </c>
      <c r="G12" s="34" t="s">
        <v>334</v>
      </c>
      <c r="H12" s="28" t="str">
        <v>LN</v>
      </c>
      <c r="I12" s="28" t="str">
        <v>M</v>
      </c>
      <c r="J12" s="28" t="str">
        <v>M</v>
      </c>
      <c r="K12" s="28" t="str">
        <v>VESTIDOR HOMBRES</v>
      </c>
      <c r="L12" s="28"/>
      <c r="M12" s="28">
        <v>0</v>
      </c>
      <c r="N12" s="27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spans="1:29" ht="23.25">
      <c r="A13" s="15" t="s">
        <v>235</v>
      </c>
      <c r="B13" s="29" t="s">
        <v>339</v>
      </c>
      <c r="C13" s="37">
        <v>44823</v>
      </c>
      <c r="D13" s="38" t="s">
        <v>340</v>
      </c>
      <c r="E13" s="39">
        <v>14</v>
      </c>
      <c r="F13" s="33" t="str">
        <v>1102368534</v>
      </c>
      <c r="G13" s="34" t="s">
        <v>344</v>
      </c>
      <c r="H13" s="28" t="str">
        <v>LN</v>
      </c>
      <c r="I13" s="28" t="str">
        <v>S</v>
      </c>
      <c r="J13" s="28" t="str">
        <v>S</v>
      </c>
      <c r="K13" s="28" t="str">
        <v>VESTIDOR HOMBRES</v>
      </c>
      <c r="L13" s="28"/>
      <c r="M13" s="28">
        <v>0</v>
      </c>
      <c r="N13" s="27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spans="1:29" ht="23.25">
      <c r="A14" s="15"/>
      <c r="B14" s="29"/>
      <c r="C14" s="37"/>
      <c r="D14" s="38"/>
      <c r="E14" s="39"/>
      <c r="F14" s="33" t="str">
        <v/>
      </c>
      <c r="G14" s="34"/>
      <c r="H14" s="28" t="str">
        <v/>
      </c>
      <c r="I14" s="28" t="str">
        <v/>
      </c>
      <c r="J14" s="28" t="str">
        <v/>
      </c>
      <c r="K14" s="28" t="str">
        <v/>
      </c>
      <c r="L14" s="28"/>
      <c r="M14" s="28" t="str">
        <v/>
      </c>
      <c r="N14" s="27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spans="1:29" ht="23.25">
      <c r="A15" s="15" t="s">
        <v>235</v>
      </c>
      <c r="B15" s="29" t="s">
        <v>353</v>
      </c>
      <c r="C15" s="37">
        <v>44823</v>
      </c>
      <c r="D15" s="38" t="s">
        <v>356</v>
      </c>
      <c r="E15" s="39">
        <v>41</v>
      </c>
      <c r="F15" s="33" t="str">
        <v>1098741455</v>
      </c>
      <c r="G15" s="34" t="s">
        <v>29</v>
      </c>
      <c r="H15" s="28" t="str">
        <v>PCC</v>
      </c>
      <c r="I15" s="28" t="str">
        <v>L</v>
      </c>
      <c r="J15" s="28" t="str">
        <v>L</v>
      </c>
      <c r="K15" s="28" t="str">
        <v>VESTIDOR HOMBRES</v>
      </c>
      <c r="L15" s="28"/>
      <c r="M15" s="28">
        <v>0</v>
      </c>
      <c r="N15" s="27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spans="1:29" ht="23.25">
      <c r="A16" s="15"/>
      <c r="B16" s="29"/>
      <c r="C16" s="37"/>
      <c r="D16" s="38"/>
      <c r="E16" s="39"/>
      <c r="F16" s="33" t="str">
        <v/>
      </c>
      <c r="G16" s="34"/>
      <c r="H16" s="28" t="str">
        <v/>
      </c>
      <c r="I16" s="28" t="str">
        <v/>
      </c>
      <c r="J16" s="28" t="str">
        <v/>
      </c>
      <c r="K16" s="28" t="str">
        <v/>
      </c>
      <c r="L16" s="41"/>
      <c r="M16" s="28" t="str">
        <v/>
      </c>
      <c r="N16" s="27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spans="1:29" ht="23.25">
      <c r="A17" s="15" t="s">
        <v>367</v>
      </c>
      <c r="B17" s="29" t="s">
        <v>368</v>
      </c>
      <c r="C17" s="37">
        <v>44823</v>
      </c>
      <c r="D17" s="38" t="s">
        <v>370</v>
      </c>
      <c r="E17" s="39">
        <v>1</v>
      </c>
      <c r="F17" s="33" t="str">
        <v>1090520256</v>
      </c>
      <c r="G17" s="34" t="s">
        <v>374</v>
      </c>
      <c r="H17" s="28" t="str">
        <v>LYD</v>
      </c>
      <c r="I17" s="28" t="str">
        <v>M</v>
      </c>
      <c r="J17" s="28" t="str">
        <v>M</v>
      </c>
      <c r="K17" s="28" t="str">
        <v>VESTIDOR HOMBRES</v>
      </c>
      <c r="L17" s="28"/>
      <c r="M17" s="28">
        <v>0</v>
      </c>
      <c r="N17" s="27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29" ht="23.25">
      <c r="A18" s="15" t="s">
        <v>379</v>
      </c>
      <c r="B18" s="29" t="s">
        <v>381</v>
      </c>
      <c r="C18" s="37">
        <v>44823</v>
      </c>
      <c r="D18" s="38" t="s">
        <v>401</v>
      </c>
      <c r="E18" s="39">
        <v>13</v>
      </c>
      <c r="F18" s="33" t="str">
        <v>91258301</v>
      </c>
      <c r="G18" s="34" t="s">
        <v>65</v>
      </c>
      <c r="H18" s="28" t="str">
        <v>PCC</v>
      </c>
      <c r="I18" s="28" t="str">
        <v>M</v>
      </c>
      <c r="J18" s="28" t="str">
        <v>M</v>
      </c>
      <c r="K18" s="28" t="str">
        <v>VESTIDOR HOMBRES</v>
      </c>
      <c r="L18" s="28"/>
      <c r="M18" s="28">
        <v>0</v>
      </c>
      <c r="N18" s="27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 ht="23.25">
      <c r="A19" s="15" t="s">
        <v>410</v>
      </c>
      <c r="B19" s="29" t="s">
        <v>411</v>
      </c>
      <c r="C19" s="37">
        <v>44823</v>
      </c>
      <c r="D19" s="38" t="s">
        <v>415</v>
      </c>
      <c r="E19" s="39">
        <v>20</v>
      </c>
      <c r="F19" s="33" t="str">
        <v>1098770376</v>
      </c>
      <c r="G19" s="34" t="s">
        <v>85</v>
      </c>
      <c r="H19" s="28" t="str">
        <v>PCC</v>
      </c>
      <c r="I19" s="28" t="str">
        <v>L</v>
      </c>
      <c r="J19" s="28" t="str">
        <v>L</v>
      </c>
      <c r="K19" s="28" t="str">
        <v>VESTIDOR HOMBRES</v>
      </c>
      <c r="L19" s="28"/>
      <c r="M19" s="28">
        <v>0</v>
      </c>
      <c r="N19" s="27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 ht="23.25">
      <c r="A20" s="15"/>
      <c r="B20" s="29"/>
      <c r="C20" s="37"/>
      <c r="D20" s="38"/>
      <c r="E20" s="39"/>
      <c r="F20" s="33" t="str">
        <v/>
      </c>
      <c r="G20" s="34"/>
      <c r="H20" s="28" t="str">
        <v/>
      </c>
      <c r="I20" s="28" t="str">
        <v/>
      </c>
      <c r="J20" s="28" t="str">
        <v/>
      </c>
      <c r="K20" s="28" t="str">
        <v/>
      </c>
      <c r="L20" s="41"/>
      <c r="M20" s="28" t="str">
        <v/>
      </c>
      <c r="N20" s="27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 ht="23.25">
      <c r="A21" s="15" t="s">
        <v>434</v>
      </c>
      <c r="B21" s="29" t="s">
        <v>435</v>
      </c>
      <c r="C21" s="37">
        <v>44823</v>
      </c>
      <c r="D21" s="38" t="s">
        <v>436</v>
      </c>
      <c r="E21" s="39">
        <v>9</v>
      </c>
      <c r="F21" s="33" t="str">
        <v>1102375619</v>
      </c>
      <c r="G21" s="34" t="s">
        <v>441</v>
      </c>
      <c r="H21" s="28" t="str">
        <v>CAL</v>
      </c>
      <c r="I21" s="28" t="str">
        <v>XL</v>
      </c>
      <c r="J21" s="28" t="str">
        <v>XL</v>
      </c>
      <c r="K21" s="28" t="str">
        <v>ADMINISTRACION</v>
      </c>
      <c r="L21" s="28"/>
      <c r="M21" s="28">
        <v>0</v>
      </c>
      <c r="N21" s="27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 ht="23.25">
      <c r="A22" s="15" t="s">
        <v>235</v>
      </c>
      <c r="B22" s="29" t="s">
        <v>448</v>
      </c>
      <c r="C22" s="37">
        <v>44823</v>
      </c>
      <c r="D22" s="38" t="s">
        <v>450</v>
      </c>
      <c r="E22" s="39">
        <v>5</v>
      </c>
      <c r="F22" s="33" t="str">
        <v>1100891753</v>
      </c>
      <c r="G22" s="34" t="s">
        <v>454</v>
      </c>
      <c r="H22" s="28" t="str">
        <v>LYD</v>
      </c>
      <c r="I22" s="28" t="str">
        <v>L</v>
      </c>
      <c r="J22" s="28" t="str">
        <v>L</v>
      </c>
      <c r="K22" s="28" t="str">
        <v>VESTIDOR HOMBRES</v>
      </c>
      <c r="L22" s="28"/>
      <c r="M22" s="28">
        <v>0</v>
      </c>
      <c r="N22" s="27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 ht="23.25">
      <c r="A23" s="15" t="s">
        <v>235</v>
      </c>
      <c r="B23" s="29" t="s">
        <v>458</v>
      </c>
      <c r="C23" s="37">
        <v>44823</v>
      </c>
      <c r="D23" s="43" t="s">
        <v>461</v>
      </c>
      <c r="E23" s="44">
        <v>19</v>
      </c>
      <c r="F23" s="33" t="str">
        <v>13748778</v>
      </c>
      <c r="G23" s="34" t="s">
        <v>475</v>
      </c>
      <c r="H23" s="45" t="str">
        <v>LN</v>
      </c>
      <c r="I23" s="45" t="str">
        <v>M</v>
      </c>
      <c r="J23" s="45" t="str">
        <v>M</v>
      </c>
      <c r="K23" s="41" t="str">
        <v>VESTIDOR HOMBRES</v>
      </c>
      <c r="L23" s="45"/>
      <c r="M23" s="45">
        <v>0</v>
      </c>
      <c r="N23" s="27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 ht="23.25">
      <c r="A24" s="15" t="s">
        <v>489</v>
      </c>
      <c r="B24" s="29" t="s">
        <v>492</v>
      </c>
      <c r="C24" s="46">
        <v>44823</v>
      </c>
      <c r="D24" s="47" t="s">
        <v>497</v>
      </c>
      <c r="E24" s="34">
        <v>18</v>
      </c>
      <c r="F24" s="33" t="str">
        <v>1098659117</v>
      </c>
      <c r="G24" s="34" t="s">
        <v>504</v>
      </c>
      <c r="H24" s="41" t="str">
        <v>LN</v>
      </c>
      <c r="I24" s="41" t="str">
        <v>M</v>
      </c>
      <c r="J24" s="41" t="str">
        <v>M</v>
      </c>
      <c r="K24" s="41" t="str">
        <v>VESTIDOR HOMBRES</v>
      </c>
      <c r="L24" s="41"/>
      <c r="M24" s="41">
        <v>0</v>
      </c>
      <c r="N24" s="27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 ht="23.25">
      <c r="A25" s="15" t="s">
        <v>509</v>
      </c>
      <c r="B25" s="29" t="s">
        <v>510</v>
      </c>
      <c r="C25" s="46">
        <v>44823</v>
      </c>
      <c r="D25" s="47" t="s">
        <v>513</v>
      </c>
      <c r="E25" s="34">
        <v>20</v>
      </c>
      <c r="F25" s="33" t="str">
        <v>91159389</v>
      </c>
      <c r="G25" s="34" t="s">
        <v>516</v>
      </c>
      <c r="H25" s="41" t="str">
        <v>LN</v>
      </c>
      <c r="I25" s="41" t="str">
        <v>L</v>
      </c>
      <c r="J25" s="41" t="str">
        <v>L</v>
      </c>
      <c r="K25" s="41" t="str">
        <v>VESTIDOR HOMBRES</v>
      </c>
      <c r="L25" s="41"/>
      <c r="M25" s="41">
        <v>0</v>
      </c>
      <c r="N25" s="27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29" ht="23.25">
      <c r="A26" s="15" t="s">
        <v>235</v>
      </c>
      <c r="B26" s="29" t="s">
        <v>522</v>
      </c>
      <c r="C26" s="46">
        <v>44823</v>
      </c>
      <c r="D26" s="47" t="s">
        <v>524</v>
      </c>
      <c r="E26" s="34">
        <v>17</v>
      </c>
      <c r="F26" s="33" t="str">
        <v>1098619262</v>
      </c>
      <c r="G26" s="34" t="s">
        <v>529</v>
      </c>
      <c r="H26" s="41" t="str">
        <v>LN</v>
      </c>
      <c r="I26" s="41" t="str">
        <v>L</v>
      </c>
      <c r="J26" s="41" t="str">
        <v>L</v>
      </c>
      <c r="K26" s="41" t="str">
        <v>VESTIDOR HOMBRES</v>
      </c>
      <c r="L26" s="41"/>
      <c r="M26" s="41">
        <v>0</v>
      </c>
      <c r="N26" s="27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29" ht="23.25">
      <c r="A27" s="15" t="s">
        <v>534</v>
      </c>
      <c r="B27" s="40" t="s">
        <v>535</v>
      </c>
      <c r="C27" s="46">
        <v>44823</v>
      </c>
      <c r="D27" s="47" t="s">
        <v>537</v>
      </c>
      <c r="E27" s="34">
        <v>25</v>
      </c>
      <c r="F27" s="33" t="str">
        <v>1012363759</v>
      </c>
      <c r="G27" s="34" t="s">
        <v>542</v>
      </c>
      <c r="H27" s="41" t="str">
        <v>LOG</v>
      </c>
      <c r="I27" s="41" t="str">
        <v>L</v>
      </c>
      <c r="J27" s="41" t="str">
        <v>L</v>
      </c>
      <c r="K27" s="41" t="str">
        <v>VESTIDOR HOMBRES</v>
      </c>
      <c r="L27" s="41"/>
      <c r="M27" s="41">
        <v>0</v>
      </c>
      <c r="N27" s="27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spans="1:29" ht="23.25">
      <c r="A28" s="15" t="s">
        <v>544</v>
      </c>
      <c r="B28" s="29" t="s">
        <v>545</v>
      </c>
      <c r="C28" s="46">
        <v>44823</v>
      </c>
      <c r="D28" s="47" t="s">
        <v>546</v>
      </c>
      <c r="E28" s="34">
        <v>24</v>
      </c>
      <c r="F28" s="33" t="str">
        <v>1098706254</v>
      </c>
      <c r="G28" s="34" t="s">
        <v>548</v>
      </c>
      <c r="H28" s="41" t="str">
        <v>LN</v>
      </c>
      <c r="I28" s="41" t="str">
        <v>L</v>
      </c>
      <c r="J28" s="41" t="str">
        <v>L</v>
      </c>
      <c r="K28" s="41" t="str">
        <v>VESTIDOR HOMBRES</v>
      </c>
      <c r="L28" s="41"/>
      <c r="M28" s="41">
        <v>0</v>
      </c>
      <c r="N28" s="27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spans="1:29" ht="23.25">
      <c r="A29" s="15"/>
      <c r="B29" s="29"/>
      <c r="C29" s="46"/>
      <c r="D29" s="47"/>
      <c r="E29" s="34"/>
      <c r="F29" s="33" t="str">
        <v/>
      </c>
      <c r="G29" s="34"/>
      <c r="H29" s="41" t="str">
        <v/>
      </c>
      <c r="I29" s="41" t="str">
        <v/>
      </c>
      <c r="J29" s="41" t="str">
        <v/>
      </c>
      <c r="K29" s="41" t="str">
        <v/>
      </c>
      <c r="L29" s="41"/>
      <c r="M29" s="41" t="str">
        <v/>
      </c>
      <c r="N29" s="27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spans="1:29" ht="23.25">
      <c r="A30" s="15" t="s">
        <v>235</v>
      </c>
      <c r="B30" s="29" t="s">
        <v>561</v>
      </c>
      <c r="C30" s="46">
        <v>44823</v>
      </c>
      <c r="D30" s="47" t="s">
        <v>564</v>
      </c>
      <c r="E30" s="34">
        <v>21</v>
      </c>
      <c r="F30" s="33" t="str">
        <v>1098738467</v>
      </c>
      <c r="G30" s="34" t="s">
        <v>568</v>
      </c>
      <c r="H30" s="41" t="str">
        <v>LN</v>
      </c>
      <c r="I30" s="41" t="str">
        <v>L</v>
      </c>
      <c r="J30" s="41" t="str">
        <v>L</v>
      </c>
      <c r="K30" s="41" t="str">
        <v>ADMINISTRACION</v>
      </c>
      <c r="L30" s="41"/>
      <c r="M30" s="41">
        <v>0</v>
      </c>
      <c r="N30" s="27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</row>
    <row r="31" spans="1:29" ht="23.25">
      <c r="A31" s="15" t="s">
        <v>574</v>
      </c>
      <c r="B31" s="29" t="s">
        <v>575</v>
      </c>
      <c r="C31" s="46">
        <v>44823</v>
      </c>
      <c r="D31" s="47" t="s">
        <v>576</v>
      </c>
      <c r="E31" s="34">
        <v>17</v>
      </c>
      <c r="F31" s="33" t="str">
        <v>13542099</v>
      </c>
      <c r="G31" s="34" t="s">
        <v>104</v>
      </c>
      <c r="H31" s="41" t="str">
        <v>PCC</v>
      </c>
      <c r="I31" s="41" t="str">
        <v>M</v>
      </c>
      <c r="J31" s="41" t="str">
        <v>M</v>
      </c>
      <c r="K31" s="41" t="str">
        <v>VESTIDOR HOMBRES</v>
      </c>
      <c r="L31" s="41"/>
      <c r="M31" s="41">
        <v>0</v>
      </c>
      <c r="N31" s="27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spans="1:29" ht="23.25">
      <c r="A32" s="15" t="s">
        <v>585</v>
      </c>
      <c r="B32" s="29" t="s">
        <v>586</v>
      </c>
      <c r="C32" s="46">
        <v>44823</v>
      </c>
      <c r="D32" s="47" t="s">
        <v>588</v>
      </c>
      <c r="E32" s="34">
        <v>25</v>
      </c>
      <c r="F32" s="33" t="str">
        <v>1100976668</v>
      </c>
      <c r="G32" s="34" t="s">
        <v>590</v>
      </c>
      <c r="H32" s="41" t="str">
        <v>LN</v>
      </c>
      <c r="I32" s="41" t="str">
        <v>M</v>
      </c>
      <c r="J32" s="41" t="str">
        <v>M</v>
      </c>
      <c r="K32" s="41" t="str">
        <v>VESTIDOR HOMBRES</v>
      </c>
      <c r="L32" s="41"/>
      <c r="M32" s="41">
        <v>0</v>
      </c>
      <c r="N32" s="27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spans="1:29" ht="23.25">
      <c r="A33" s="15" t="s">
        <v>597</v>
      </c>
      <c r="B33" s="29" t="s">
        <v>599</v>
      </c>
      <c r="C33" s="46">
        <v>44823</v>
      </c>
      <c r="D33" s="47" t="s">
        <v>601</v>
      </c>
      <c r="E33" s="34">
        <v>1</v>
      </c>
      <c r="F33" s="33" t="str">
        <v>N/A</v>
      </c>
      <c r="G33" s="34"/>
      <c r="H33" s="41" t="str">
        <v>EXT</v>
      </c>
      <c r="I33" s="41" t="str">
        <v>M</v>
      </c>
      <c r="J33" s="41" t="str">
        <v>M</v>
      </c>
      <c r="K33" s="41" t="str">
        <v>VESTIDOR HOMBRES</v>
      </c>
      <c r="L33" s="41"/>
      <c r="M33" s="41">
        <v>0</v>
      </c>
      <c r="N33" s="27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spans="1:29" ht="23.25">
      <c r="A34" s="15" t="s">
        <v>235</v>
      </c>
      <c r="B34" s="29" t="s">
        <v>610</v>
      </c>
      <c r="C34" s="46">
        <v>44823</v>
      </c>
      <c r="D34" s="47" t="s">
        <v>612</v>
      </c>
      <c r="E34" s="34">
        <v>30</v>
      </c>
      <c r="F34" s="33" t="str">
        <v>1005346356</v>
      </c>
      <c r="G34" s="34" t="s">
        <v>615</v>
      </c>
      <c r="H34" s="41" t="str">
        <v>LN</v>
      </c>
      <c r="I34" s="41" t="str">
        <v>M</v>
      </c>
      <c r="J34" s="41" t="str">
        <v>M</v>
      </c>
      <c r="K34" s="41" t="str">
        <v>VESTIDOR HOMBRES</v>
      </c>
      <c r="L34" s="41"/>
      <c r="M34" s="41">
        <v>0</v>
      </c>
      <c r="N34" s="27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</row>
    <row r="35" spans="1:29" ht="23.25">
      <c r="A35" s="15"/>
      <c r="B35" s="29"/>
      <c r="C35" s="46"/>
      <c r="D35" s="47"/>
      <c r="E35" s="34"/>
      <c r="F35" s="33" t="str">
        <v/>
      </c>
      <c r="G35" s="34"/>
      <c r="H35" s="41" t="str">
        <v/>
      </c>
      <c r="I35" s="41" t="str">
        <v/>
      </c>
      <c r="J35" s="41" t="str">
        <v/>
      </c>
      <c r="K35" s="41" t="str">
        <v/>
      </c>
      <c r="L35" s="41"/>
      <c r="M35" s="41" t="str">
        <v/>
      </c>
      <c r="N35" s="27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spans="1:29" ht="23.25">
      <c r="A36" s="15"/>
      <c r="B36" s="29"/>
      <c r="C36" s="46"/>
      <c r="D36" s="47"/>
      <c r="E36" s="34"/>
      <c r="F36" s="33" t="str">
        <v/>
      </c>
      <c r="G36" s="34"/>
      <c r="H36" s="41" t="str">
        <v/>
      </c>
      <c r="I36" s="41" t="str">
        <v/>
      </c>
      <c r="J36" s="41" t="str">
        <v/>
      </c>
      <c r="K36" s="41" t="str">
        <v/>
      </c>
      <c r="L36" s="41"/>
      <c r="M36" s="41" t="str">
        <v/>
      </c>
      <c r="N36" s="27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spans="1:29" ht="23.25">
      <c r="A37" s="15" t="s">
        <v>235</v>
      </c>
      <c r="B37" s="29" t="s">
        <v>635</v>
      </c>
      <c r="C37" s="46">
        <v>44823</v>
      </c>
      <c r="D37" s="49" t="s">
        <v>640</v>
      </c>
      <c r="E37" s="34">
        <v>11</v>
      </c>
      <c r="F37" s="33" t="str">
        <v>8123448070</v>
      </c>
      <c r="G37" s="34" t="s">
        <v>645</v>
      </c>
      <c r="H37" s="41" t="str">
        <v>LOG</v>
      </c>
      <c r="I37" s="41" t="str">
        <v>L</v>
      </c>
      <c r="J37" s="41" t="str">
        <v>L</v>
      </c>
      <c r="K37" s="41" t="str">
        <v>VESTIDOR HOMBRES</v>
      </c>
      <c r="L37" s="41"/>
      <c r="M37" s="41">
        <v>0</v>
      </c>
      <c r="N37" s="27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</row>
    <row r="38" spans="1:29" ht="23.25">
      <c r="A38" s="15" t="s">
        <v>650</v>
      </c>
      <c r="B38" s="29" t="s">
        <v>652</v>
      </c>
      <c r="C38" s="46">
        <v>44823</v>
      </c>
      <c r="D38" s="47" t="s">
        <v>653</v>
      </c>
      <c r="E38" s="34">
        <v>21</v>
      </c>
      <c r="F38" s="33" t="str">
        <v>91347680</v>
      </c>
      <c r="G38" s="34" t="s">
        <v>655</v>
      </c>
      <c r="H38" s="41" t="str">
        <v>LN</v>
      </c>
      <c r="I38" s="41" t="str">
        <v>XL</v>
      </c>
      <c r="J38" s="41" t="str">
        <v>XL</v>
      </c>
      <c r="K38" s="41" t="str">
        <v>VESTIDOR HOMBRES</v>
      </c>
      <c r="L38" s="41"/>
      <c r="M38" s="41">
        <v>0</v>
      </c>
      <c r="N38" s="27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spans="1:29" ht="23.25">
      <c r="A39" s="15" t="s">
        <v>665</v>
      </c>
      <c r="B39" s="29" t="s">
        <v>667</v>
      </c>
      <c r="C39" s="46">
        <v>44823</v>
      </c>
      <c r="D39" s="47" t="s">
        <v>670</v>
      </c>
      <c r="E39" s="34">
        <v>34</v>
      </c>
      <c r="F39" s="33" t="str">
        <v>91176452</v>
      </c>
      <c r="G39" s="34" t="s">
        <v>673</v>
      </c>
      <c r="H39" s="41" t="str">
        <v>LN</v>
      </c>
      <c r="I39" s="41" t="str">
        <v>L</v>
      </c>
      <c r="J39" s="41" t="str">
        <v>L</v>
      </c>
      <c r="K39" s="41" t="str">
        <v>VESTIDOR HOMBRES</v>
      </c>
      <c r="L39" s="41"/>
      <c r="M39" s="41">
        <v>0</v>
      </c>
      <c r="N39" s="27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spans="1:29" ht="23.25">
      <c r="A40" s="15" t="s">
        <v>235</v>
      </c>
      <c r="B40" s="29" t="s">
        <v>679</v>
      </c>
      <c r="C40" s="46">
        <v>44823</v>
      </c>
      <c r="D40" s="47" t="s">
        <v>682</v>
      </c>
      <c r="E40" s="34">
        <v>16</v>
      </c>
      <c r="F40" s="33" t="str">
        <v>63560912</v>
      </c>
      <c r="G40" s="34" t="s">
        <v>686</v>
      </c>
      <c r="H40" s="41" t="str">
        <v>CAL</v>
      </c>
      <c r="I40" s="41" t="str">
        <v>M</v>
      </c>
      <c r="J40" s="41" t="str">
        <v>M</v>
      </c>
      <c r="K40" s="41" t="str">
        <v>VESTIDOR MUJERES</v>
      </c>
      <c r="L40" s="41"/>
      <c r="M40" s="41">
        <v>0</v>
      </c>
      <c r="N40" s="27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</row>
    <row r="41" spans="1:29" ht="23.25">
      <c r="A41" s="15" t="s">
        <v>235</v>
      </c>
      <c r="B41" s="29" t="s">
        <v>691</v>
      </c>
      <c r="C41" s="46">
        <v>44823</v>
      </c>
      <c r="D41" s="47" t="s">
        <v>692</v>
      </c>
      <c r="E41" s="34">
        <v>18</v>
      </c>
      <c r="F41" s="33" t="str">
        <v>1098645575</v>
      </c>
      <c r="G41" s="34" t="s">
        <v>698</v>
      </c>
      <c r="H41" s="41" t="str">
        <v>LYD</v>
      </c>
      <c r="I41" s="41" t="str">
        <v>L</v>
      </c>
      <c r="J41" s="41" t="str">
        <v>L</v>
      </c>
      <c r="K41" s="41" t="str">
        <v>VESTIDOR HOMBRES</v>
      </c>
      <c r="L41" s="41"/>
      <c r="M41" s="41">
        <v>0</v>
      </c>
      <c r="N41" s="27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spans="1:29" ht="23.25">
      <c r="A42" s="15" t="s">
        <v>703</v>
      </c>
      <c r="B42" s="29" t="s">
        <v>704</v>
      </c>
      <c r="C42" s="46">
        <v>44823</v>
      </c>
      <c r="D42" s="47" t="s">
        <v>706</v>
      </c>
      <c r="E42" s="34">
        <v>33</v>
      </c>
      <c r="F42" s="33" t="str">
        <v>91510509</v>
      </c>
      <c r="G42" s="34" t="s">
        <v>710</v>
      </c>
      <c r="H42" s="41" t="str">
        <v>LN</v>
      </c>
      <c r="I42" s="41" t="str">
        <v>M</v>
      </c>
      <c r="J42" s="41" t="str">
        <v>M</v>
      </c>
      <c r="K42" s="41" t="str">
        <v>VESTIDOR HOMBRES</v>
      </c>
      <c r="L42" s="41"/>
      <c r="M42" s="41">
        <v>0</v>
      </c>
      <c r="N42" s="27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spans="1:29" ht="23.25">
      <c r="A43" s="15" t="s">
        <v>235</v>
      </c>
      <c r="B43" s="29" t="s">
        <v>715</v>
      </c>
      <c r="C43" s="46">
        <v>44823</v>
      </c>
      <c r="D43" s="47" t="s">
        <v>717</v>
      </c>
      <c r="E43" s="34">
        <v>1</v>
      </c>
      <c r="F43" s="33" t="str">
        <v>37729142</v>
      </c>
      <c r="G43" s="34" t="s">
        <v>720</v>
      </c>
      <c r="H43" s="41" t="str">
        <v>PCC</v>
      </c>
      <c r="I43" s="41" t="str">
        <v>M</v>
      </c>
      <c r="J43" s="41" t="str">
        <v>M</v>
      </c>
      <c r="K43" s="41" t="str">
        <v>VESTIDOR MUJERES</v>
      </c>
      <c r="L43" s="41"/>
      <c r="M43" s="41">
        <v>0</v>
      </c>
      <c r="N43" s="27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</row>
    <row r="44" spans="1:29" ht="23.25">
      <c r="A44" s="15" t="s">
        <v>235</v>
      </c>
      <c r="B44" s="40" t="s">
        <v>725</v>
      </c>
      <c r="C44" s="46">
        <v>44823</v>
      </c>
      <c r="D44" s="47" t="s">
        <v>729</v>
      </c>
      <c r="E44" s="34">
        <v>28</v>
      </c>
      <c r="F44" s="33" t="str">
        <v>1097304486</v>
      </c>
      <c r="G44" s="34" t="s">
        <v>150</v>
      </c>
      <c r="H44" s="41" t="str">
        <v>PCC</v>
      </c>
      <c r="I44" s="41" t="str">
        <v>XL</v>
      </c>
      <c r="J44" s="41" t="str">
        <v>XL</v>
      </c>
      <c r="K44" s="41" t="str">
        <v>VESTIDOR HOMBRES</v>
      </c>
      <c r="L44" s="41"/>
      <c r="M44" s="41">
        <v>0</v>
      </c>
      <c r="N44" s="27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spans="1:29" ht="23.25">
      <c r="A45" s="15" t="s">
        <v>738</v>
      </c>
      <c r="B45" s="29" t="s">
        <v>740</v>
      </c>
      <c r="C45" s="46">
        <v>44823</v>
      </c>
      <c r="D45" s="47" t="s">
        <v>743</v>
      </c>
      <c r="E45" s="34">
        <v>29</v>
      </c>
      <c r="F45" s="33" t="str">
        <v>91185275</v>
      </c>
      <c r="G45" s="34" t="s">
        <v>159</v>
      </c>
      <c r="H45" s="41" t="str">
        <v>PCC</v>
      </c>
      <c r="I45" s="41" t="str">
        <v>XXL</v>
      </c>
      <c r="J45" s="41" t="str">
        <v>XXL</v>
      </c>
      <c r="K45" s="41" t="str">
        <v>VESTIDOR HOMBRES</v>
      </c>
      <c r="L45" s="41"/>
      <c r="M45" s="41">
        <v>0</v>
      </c>
      <c r="N45" s="27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spans="1:29" ht="23.25">
      <c r="A46" s="15" t="s">
        <v>235</v>
      </c>
      <c r="B46" s="29" t="s">
        <v>752</v>
      </c>
      <c r="C46" s="46">
        <v>44823</v>
      </c>
      <c r="D46" s="47" t="s">
        <v>754</v>
      </c>
      <c r="E46" s="34">
        <v>19</v>
      </c>
      <c r="F46" s="33" t="str">
        <v>1104184702</v>
      </c>
      <c r="G46" s="34" t="s">
        <v>756</v>
      </c>
      <c r="H46" s="41" t="str">
        <v>CAL</v>
      </c>
      <c r="I46" s="41" t="str">
        <v>XXL</v>
      </c>
      <c r="J46" s="41" t="str">
        <v>XXL</v>
      </c>
      <c r="K46" s="41" t="str">
        <v>ADMINISTRACION</v>
      </c>
      <c r="L46" s="41"/>
      <c r="M46" s="41">
        <v>0</v>
      </c>
      <c r="N46" s="27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spans="1:29" ht="23.25">
      <c r="A47" s="15" t="s">
        <v>235</v>
      </c>
      <c r="B47" s="29" t="s">
        <v>388</v>
      </c>
      <c r="C47" s="46">
        <v>44823</v>
      </c>
      <c r="D47" s="47" t="s">
        <v>763</v>
      </c>
      <c r="E47" s="34">
        <v>14</v>
      </c>
      <c r="F47" s="33" t="str">
        <v>1140417725</v>
      </c>
      <c r="G47" s="34" t="s">
        <v>45</v>
      </c>
      <c r="H47" s="41" t="str">
        <v>PCC</v>
      </c>
      <c r="I47" s="41" t="str">
        <v>S</v>
      </c>
      <c r="J47" s="41" t="str">
        <v>M</v>
      </c>
      <c r="K47" s="41" t="str">
        <v>VESTIDOR HOMBRES</v>
      </c>
      <c r="L47" s="41"/>
      <c r="M47" s="41">
        <v>0</v>
      </c>
      <c r="N47" s="27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spans="1:29" ht="23.25">
      <c r="A48" s="15"/>
      <c r="B48" s="29"/>
      <c r="C48" s="46"/>
      <c r="D48" s="47"/>
      <c r="E48" s="34"/>
      <c r="F48" s="33" t="str">
        <v/>
      </c>
      <c r="G48" s="34"/>
      <c r="H48" s="41" t="str">
        <v/>
      </c>
      <c r="I48" s="41" t="str">
        <v/>
      </c>
      <c r="J48" s="41" t="str">
        <v/>
      </c>
      <c r="K48" s="41" t="str">
        <v/>
      </c>
      <c r="L48" s="41"/>
      <c r="M48" s="41" t="str">
        <v/>
      </c>
      <c r="N48" s="27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</row>
    <row r="49" spans="1:29" ht="23.25">
      <c r="A49" s="15"/>
      <c r="B49" s="29"/>
      <c r="C49" s="46"/>
      <c r="D49" s="47"/>
      <c r="E49" s="34"/>
      <c r="F49" s="33" t="str">
        <v/>
      </c>
      <c r="G49" s="34"/>
      <c r="H49" s="41" t="str">
        <v/>
      </c>
      <c r="I49" s="41" t="str">
        <v/>
      </c>
      <c r="J49" s="41" t="str">
        <v/>
      </c>
      <c r="K49" s="41" t="str">
        <v/>
      </c>
      <c r="L49" s="41"/>
      <c r="M49" s="41" t="str">
        <v/>
      </c>
      <c r="N49" s="27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spans="1:29" ht="23.25">
      <c r="A50" s="15" t="s">
        <v>235</v>
      </c>
      <c r="B50" s="29" t="s">
        <v>771</v>
      </c>
      <c r="C50" s="46">
        <v>44823</v>
      </c>
      <c r="D50" s="47" t="s">
        <v>772</v>
      </c>
      <c r="E50" s="34">
        <v>38</v>
      </c>
      <c r="F50" s="33" t="str">
        <v>2198734</v>
      </c>
      <c r="G50" s="34" t="s">
        <v>775</v>
      </c>
      <c r="H50" s="41" t="str">
        <v>LN</v>
      </c>
      <c r="I50" s="41" t="str">
        <v>XL</v>
      </c>
      <c r="J50" s="41" t="str">
        <v>XL</v>
      </c>
      <c r="K50" s="41" t="str">
        <v>VESTIDOR HOMBRES</v>
      </c>
      <c r="L50" s="41"/>
      <c r="M50" s="41">
        <v>0</v>
      </c>
      <c r="N50" s="27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spans="1:29" ht="23.25">
      <c r="A51" s="15" t="s">
        <v>235</v>
      </c>
      <c r="B51" s="40" t="s">
        <v>779</v>
      </c>
      <c r="C51" s="46">
        <v>44823</v>
      </c>
      <c r="D51" s="47" t="s">
        <v>780</v>
      </c>
      <c r="E51" s="34">
        <v>21</v>
      </c>
      <c r="F51" s="33" t="str">
        <v>1100895546</v>
      </c>
      <c r="G51" s="34" t="s">
        <v>782</v>
      </c>
      <c r="H51" s="41" t="str">
        <v>LYD</v>
      </c>
      <c r="I51" s="41" t="str">
        <v>L</v>
      </c>
      <c r="J51" s="41" t="str">
        <v>M</v>
      </c>
      <c r="K51" s="41" t="str">
        <v>VESTIDOR HOMBRES</v>
      </c>
      <c r="L51" s="41"/>
      <c r="M51" s="41">
        <v>0</v>
      </c>
      <c r="N51" s="27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</row>
    <row r="52" spans="1:29" ht="23.25">
      <c r="A52" s="15" t="s">
        <v>786</v>
      </c>
      <c r="B52" s="29" t="s">
        <v>787</v>
      </c>
      <c r="C52" s="46">
        <v>44823</v>
      </c>
      <c r="D52" s="47" t="s">
        <v>790</v>
      </c>
      <c r="E52" s="34">
        <v>53</v>
      </c>
      <c r="F52" s="33" t="str">
        <v>1100896781</v>
      </c>
      <c r="G52" s="34" t="s">
        <v>174</v>
      </c>
      <c r="H52" s="41" t="str">
        <v>PCC</v>
      </c>
      <c r="I52" s="41" t="str">
        <v>L</v>
      </c>
      <c r="J52" s="41" t="str">
        <v>L</v>
      </c>
      <c r="K52" s="41" t="str">
        <v>VESTIDOR HOMBRES</v>
      </c>
      <c r="L52" s="41"/>
      <c r="M52" s="41">
        <v>0</v>
      </c>
      <c r="N52" s="27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spans="1:29" ht="23.25">
      <c r="A53" s="15" t="s">
        <v>797</v>
      </c>
      <c r="B53" s="29" t="s">
        <v>798</v>
      </c>
      <c r="C53" s="46">
        <v>44823</v>
      </c>
      <c r="D53" s="47" t="s">
        <v>799</v>
      </c>
      <c r="E53" s="34">
        <v>29</v>
      </c>
      <c r="F53" s="33" t="str">
        <v>1094579631</v>
      </c>
      <c r="G53" s="34" t="s">
        <v>802</v>
      </c>
      <c r="H53" s="41" t="str">
        <v>CAL</v>
      </c>
      <c r="I53" s="41" t="str">
        <v>M</v>
      </c>
      <c r="J53" s="41" t="str">
        <v>M</v>
      </c>
      <c r="K53" s="41" t="str">
        <v>ADMINISTRACION</v>
      </c>
      <c r="L53" s="41"/>
      <c r="M53" s="41">
        <v>0</v>
      </c>
      <c r="N53" s="27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spans="1:29" ht="23.25">
      <c r="A54" s="15" t="s">
        <v>812</v>
      </c>
      <c r="B54" s="29" t="s">
        <v>813</v>
      </c>
      <c r="C54" s="46">
        <v>44823</v>
      </c>
      <c r="D54" s="47" t="s">
        <v>814</v>
      </c>
      <c r="E54" s="34">
        <v>22</v>
      </c>
      <c r="F54" s="33" t="str">
        <v>83092161</v>
      </c>
      <c r="G54" s="34" t="s">
        <v>818</v>
      </c>
      <c r="H54" s="41" t="str">
        <v>LOG</v>
      </c>
      <c r="I54" s="41" t="str">
        <v>M</v>
      </c>
      <c r="J54" s="41" t="str">
        <v>M</v>
      </c>
      <c r="K54" s="41" t="str">
        <v>VESTIDOR HOMBRES</v>
      </c>
      <c r="L54" s="41"/>
      <c r="M54" s="41">
        <v>0</v>
      </c>
      <c r="N54" s="27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spans="1:29" ht="23.25">
      <c r="A55" s="15" t="s">
        <v>825</v>
      </c>
      <c r="B55" s="29" t="s">
        <v>826</v>
      </c>
      <c r="C55" s="46">
        <v>44823</v>
      </c>
      <c r="D55" s="47" t="s">
        <v>828</v>
      </c>
      <c r="E55" s="34">
        <v>11</v>
      </c>
      <c r="F55" s="33" t="str">
        <v>91294734</v>
      </c>
      <c r="G55" s="34" t="s">
        <v>830</v>
      </c>
      <c r="H55" s="41" t="str">
        <v>LYD</v>
      </c>
      <c r="I55" s="41" t="str">
        <v>M</v>
      </c>
      <c r="J55" s="41" t="str">
        <v>M</v>
      </c>
      <c r="K55" s="41" t="str">
        <v>VESTIDOR HOMBRES</v>
      </c>
      <c r="L55" s="41"/>
      <c r="M55" s="41">
        <v>0</v>
      </c>
      <c r="N55" s="27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</row>
    <row r="56" spans="1:29" ht="23.25">
      <c r="A56" s="15" t="s">
        <v>838</v>
      </c>
      <c r="B56" s="29" t="s">
        <v>840</v>
      </c>
      <c r="C56" s="46">
        <v>44823</v>
      </c>
      <c r="D56" s="47" t="s">
        <v>841</v>
      </c>
      <c r="E56" s="34">
        <v>37</v>
      </c>
      <c r="F56" s="33" t="str">
        <v>1007929887</v>
      </c>
      <c r="G56" s="34" t="s">
        <v>844</v>
      </c>
      <c r="H56" s="41" t="str">
        <v>LN</v>
      </c>
      <c r="I56" s="41" t="str">
        <v>M</v>
      </c>
      <c r="J56" s="41" t="str">
        <v>M</v>
      </c>
      <c r="K56" s="41" t="str">
        <v>VESTIDOR HOMBRES</v>
      </c>
      <c r="L56" s="41"/>
      <c r="M56" s="41">
        <v>0</v>
      </c>
      <c r="N56" s="27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spans="1:29" ht="23.25">
      <c r="A57" s="15" t="s">
        <v>235</v>
      </c>
      <c r="B57" s="29" t="s">
        <v>850</v>
      </c>
      <c r="C57" s="46">
        <v>44823</v>
      </c>
      <c r="D57" s="47" t="s">
        <v>852</v>
      </c>
      <c r="E57" s="34">
        <v>27</v>
      </c>
      <c r="F57" s="33" t="str">
        <v>91275933</v>
      </c>
      <c r="G57" s="34" t="s">
        <v>192</v>
      </c>
      <c r="H57" s="41" t="str">
        <v>PCC</v>
      </c>
      <c r="I57" s="41" t="str">
        <v>M</v>
      </c>
      <c r="J57" s="41" t="str">
        <v>M</v>
      </c>
      <c r="K57" s="41" t="str">
        <v>VESTIDOR HOMBRES</v>
      </c>
      <c r="L57" s="41"/>
      <c r="M57" s="41">
        <v>0</v>
      </c>
      <c r="N57" s="27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</row>
    <row r="58" spans="1:29" ht="23.25">
      <c r="A58" s="15" t="s">
        <v>860</v>
      </c>
      <c r="B58" s="29" t="s">
        <v>861</v>
      </c>
      <c r="C58" s="46">
        <v>44823</v>
      </c>
      <c r="D58" s="47" t="s">
        <v>862</v>
      </c>
      <c r="E58" s="34">
        <v>9</v>
      </c>
      <c r="F58" s="33" t="str">
        <v>1005334196</v>
      </c>
      <c r="G58" s="34" t="s">
        <v>193</v>
      </c>
      <c r="H58" s="41" t="str">
        <v>PCC</v>
      </c>
      <c r="I58" s="41" t="str">
        <v>M</v>
      </c>
      <c r="J58" s="41" t="str">
        <v>M</v>
      </c>
      <c r="K58" s="41" t="str">
        <v>VESTIDOR HOMBRES</v>
      </c>
      <c r="L58" s="41"/>
      <c r="M58" s="41">
        <v>0</v>
      </c>
      <c r="N58" s="27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</row>
    <row r="59" spans="1:29" ht="23.25">
      <c r="A59" s="15" t="s">
        <v>872</v>
      </c>
      <c r="B59" s="29" t="s">
        <v>874</v>
      </c>
      <c r="C59" s="46">
        <v>44823</v>
      </c>
      <c r="D59" s="47" t="s">
        <v>875</v>
      </c>
      <c r="E59" s="34">
        <v>34</v>
      </c>
      <c r="F59" s="33" t="str">
        <v>91533211</v>
      </c>
      <c r="G59" s="34" t="s">
        <v>203</v>
      </c>
      <c r="H59" s="41" t="str">
        <v>PCC</v>
      </c>
      <c r="I59" s="41" t="str">
        <v>L</v>
      </c>
      <c r="J59" s="41" t="str">
        <v>L</v>
      </c>
      <c r="K59" s="41" t="str">
        <v>VESTIDOR HOMBRES</v>
      </c>
      <c r="L59" s="41"/>
      <c r="M59" s="41">
        <v>0</v>
      </c>
      <c r="N59" s="27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spans="1:29" ht="23.25">
      <c r="A60" s="15"/>
      <c r="B60" s="29"/>
      <c r="C60" s="46"/>
      <c r="D60" s="47"/>
      <c r="E60" s="34"/>
      <c r="F60" s="33" t="str">
        <v/>
      </c>
      <c r="G60" s="34"/>
      <c r="H60" s="41" t="str">
        <v/>
      </c>
      <c r="I60" s="41" t="str">
        <v/>
      </c>
      <c r="J60" s="41" t="str">
        <v/>
      </c>
      <c r="K60" s="41" t="str">
        <v/>
      </c>
      <c r="L60" s="41"/>
      <c r="M60" s="41" t="str">
        <v/>
      </c>
      <c r="N60" s="27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</row>
    <row r="61" spans="1:29" ht="23.25">
      <c r="A61" s="15" t="s">
        <v>886</v>
      </c>
      <c r="B61" s="29" t="s">
        <v>887</v>
      </c>
      <c r="C61" s="46">
        <v>44823</v>
      </c>
      <c r="D61" s="47" t="s">
        <v>888</v>
      </c>
      <c r="E61" s="34">
        <v>2</v>
      </c>
      <c r="F61" s="33" t="str">
        <v>N/A</v>
      </c>
      <c r="G61" s="34"/>
      <c r="H61" s="41" t="str">
        <v>EXT</v>
      </c>
      <c r="I61" s="41" t="str">
        <v>L</v>
      </c>
      <c r="J61" s="41" t="str">
        <v>L</v>
      </c>
      <c r="K61" s="41" t="str">
        <v>VESTIDOR HOMBRES</v>
      </c>
      <c r="L61" s="41"/>
      <c r="M61" s="41">
        <v>0</v>
      </c>
      <c r="N61" s="27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</row>
    <row r="62" spans="1:29" ht="23.25">
      <c r="A62" s="15" t="s">
        <v>897</v>
      </c>
      <c r="B62" s="29" t="s">
        <v>898</v>
      </c>
      <c r="C62" s="46">
        <v>44823</v>
      </c>
      <c r="D62" s="47" t="s">
        <v>899</v>
      </c>
      <c r="E62" s="34">
        <v>3</v>
      </c>
      <c r="F62" s="33" t="str">
        <v>N/A</v>
      </c>
      <c r="G62" s="34" t="s">
        <v>900</v>
      </c>
      <c r="H62" s="41" t="str">
        <v>ASUR</v>
      </c>
      <c r="I62" s="41" t="str">
        <v>L</v>
      </c>
      <c r="J62" s="41" t="str">
        <v>L</v>
      </c>
      <c r="K62" s="41" t="str">
        <v>ADMINISTRACION</v>
      </c>
      <c r="L62" s="41"/>
      <c r="M62" s="41">
        <v>0</v>
      </c>
      <c r="N62" s="27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spans="1:29" ht="23.25">
      <c r="A63" s="15" t="s">
        <v>235</v>
      </c>
      <c r="B63" s="29" t="s">
        <v>905</v>
      </c>
      <c r="C63" s="46">
        <v>44823</v>
      </c>
      <c r="D63" s="47" t="s">
        <v>906</v>
      </c>
      <c r="E63" s="34">
        <v>54</v>
      </c>
      <c r="F63" s="33" t="str">
        <v>1007679366</v>
      </c>
      <c r="G63" s="34" t="s">
        <v>246</v>
      </c>
      <c r="H63" s="41" t="str">
        <v>PCC</v>
      </c>
      <c r="I63" s="41" t="str">
        <v>M</v>
      </c>
      <c r="J63" s="41" t="str">
        <v>M</v>
      </c>
      <c r="K63" s="41" t="str">
        <v>VESTIDOR HOMBRES</v>
      </c>
      <c r="L63" s="41"/>
      <c r="M63" s="41">
        <v>0</v>
      </c>
      <c r="N63" s="27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spans="1:29" ht="23.25">
      <c r="A64" s="15" t="s">
        <v>235</v>
      </c>
      <c r="B64" s="29"/>
      <c r="C64" s="46">
        <v>44823</v>
      </c>
      <c r="D64" s="47" t="s">
        <v>916</v>
      </c>
      <c r="E64" s="34">
        <v>44</v>
      </c>
      <c r="F64" s="33" t="str">
        <v>72342162</v>
      </c>
      <c r="G64" s="34" t="s">
        <v>258</v>
      </c>
      <c r="H64" s="41" t="str">
        <v>PCC</v>
      </c>
      <c r="I64" s="41" t="str">
        <v>L</v>
      </c>
      <c r="J64" s="41" t="str">
        <v/>
      </c>
      <c r="K64" s="41" t="str">
        <v>VESTIDOR HOMBRES</v>
      </c>
      <c r="L64" s="41"/>
      <c r="M64" s="41">
        <v>0</v>
      </c>
      <c r="N64" s="27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</row>
    <row r="65" spans="1:29" ht="23.25">
      <c r="A65" s="15" t="s">
        <v>923</v>
      </c>
      <c r="B65" s="29" t="s">
        <v>924</v>
      </c>
      <c r="C65" s="46">
        <v>44823</v>
      </c>
      <c r="D65" s="47" t="s">
        <v>926</v>
      </c>
      <c r="E65" s="34">
        <v>48</v>
      </c>
      <c r="F65" s="33" t="str">
        <v>5684958</v>
      </c>
      <c r="G65" s="34" t="s">
        <v>273</v>
      </c>
      <c r="H65" s="41" t="str">
        <v>PCC</v>
      </c>
      <c r="I65" s="41" t="str">
        <v>L</v>
      </c>
      <c r="J65" s="41" t="str">
        <v>L</v>
      </c>
      <c r="K65" s="41" t="str">
        <v>VESTIDOR HOMBRES</v>
      </c>
      <c r="L65" s="41"/>
      <c r="M65" s="41">
        <v>0</v>
      </c>
      <c r="N65" s="27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spans="1:29" ht="23.25">
      <c r="A66" s="15" t="s">
        <v>934</v>
      </c>
      <c r="B66" s="29" t="s">
        <v>935</v>
      </c>
      <c r="C66" s="46">
        <v>44823</v>
      </c>
      <c r="D66" s="47" t="s">
        <v>936</v>
      </c>
      <c r="E66" s="34">
        <v>9</v>
      </c>
      <c r="F66" s="33" t="str">
        <v>37557088</v>
      </c>
      <c r="G66" s="34" t="s">
        <v>941</v>
      </c>
      <c r="H66" s="41" t="str">
        <v>PCC</v>
      </c>
      <c r="I66" s="41" t="str">
        <v>XL</v>
      </c>
      <c r="J66" s="41" t="str">
        <v>L</v>
      </c>
      <c r="K66" s="41" t="str">
        <v>VESTIDOR MUJERES</v>
      </c>
      <c r="L66" s="41"/>
      <c r="M66" s="41">
        <v>0</v>
      </c>
      <c r="N66" s="27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</row>
    <row r="67" spans="1:29" ht="23.25">
      <c r="A67" s="15" t="s">
        <v>235</v>
      </c>
      <c r="B67" s="29" t="s">
        <v>421</v>
      </c>
      <c r="C67" s="46">
        <v>44823</v>
      </c>
      <c r="D67" s="47" t="s">
        <v>946</v>
      </c>
      <c r="E67" s="34">
        <v>26</v>
      </c>
      <c r="F67" s="33" t="str">
        <v>N/A</v>
      </c>
      <c r="G67" s="34" t="s">
        <v>947</v>
      </c>
      <c r="H67" s="41" t="str">
        <v>MTTO</v>
      </c>
      <c r="I67" s="41" t="str">
        <v>S-M-L-XL</v>
      </c>
      <c r="J67" s="41" t="str">
        <v/>
      </c>
      <c r="K67" s="41" t="str">
        <v>ADMINISTRACION</v>
      </c>
      <c r="L67" s="41"/>
      <c r="M67" s="41">
        <v>0</v>
      </c>
      <c r="N67" s="27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spans="1:29" ht="23.25">
      <c r="A68" s="15" t="s">
        <v>953</v>
      </c>
      <c r="B68" s="40" t="s">
        <v>954</v>
      </c>
      <c r="C68" s="46">
        <v>44823</v>
      </c>
      <c r="D68" s="47" t="s">
        <v>955</v>
      </c>
      <c r="E68" s="34">
        <v>18</v>
      </c>
      <c r="F68" s="33" t="str">
        <v>1098743062</v>
      </c>
      <c r="G68" s="34" t="s">
        <v>957</v>
      </c>
      <c r="H68" s="41" t="str">
        <v>ADM</v>
      </c>
      <c r="I68" s="41" t="str">
        <v>L</v>
      </c>
      <c r="J68" s="41" t="str">
        <v>M</v>
      </c>
      <c r="K68" s="41" t="str">
        <v>ADMINISTRACION</v>
      </c>
      <c r="L68" s="41"/>
      <c r="M68" s="41">
        <v>0</v>
      </c>
      <c r="N68" s="27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</row>
    <row r="69" spans="1:29" ht="23.25">
      <c r="A69" s="15" t="s">
        <v>963</v>
      </c>
      <c r="B69" s="29" t="s">
        <v>421</v>
      </c>
      <c r="C69" s="46">
        <v>44823</v>
      </c>
      <c r="D69" s="51" t="s">
        <v>965</v>
      </c>
      <c r="E69" s="34">
        <v>4</v>
      </c>
      <c r="F69" s="33" t="str">
        <v>N/A</v>
      </c>
      <c r="G69" s="34"/>
      <c r="H69" s="41" t="str">
        <v>EXT</v>
      </c>
      <c r="I69" s="41" t="str">
        <v>N/A</v>
      </c>
      <c r="J69" s="41" t="str">
        <v/>
      </c>
      <c r="K69" s="41" t="str">
        <v>VESTIDOR HOMBRES</v>
      </c>
      <c r="L69" s="41"/>
      <c r="M69" s="41">
        <v>0</v>
      </c>
      <c r="N69" s="27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0" spans="1:29" ht="23.25">
      <c r="A70" s="15" t="s">
        <v>966</v>
      </c>
      <c r="B70" s="29" t="s">
        <v>421</v>
      </c>
      <c r="C70" s="46">
        <v>44823</v>
      </c>
      <c r="D70" s="51" t="s">
        <v>965</v>
      </c>
      <c r="E70" s="34">
        <v>5</v>
      </c>
      <c r="F70" s="33" t="str">
        <v>N/A</v>
      </c>
      <c r="G70" s="34"/>
      <c r="H70" s="41" t="str">
        <v>EXT</v>
      </c>
      <c r="I70" s="41" t="str">
        <v>N/A</v>
      </c>
      <c r="J70" s="41" t="str">
        <v/>
      </c>
      <c r="K70" s="41" t="str">
        <v>VESTIDOR HOMBRES</v>
      </c>
      <c r="L70" s="28"/>
      <c r="M70" s="41">
        <v>0</v>
      </c>
      <c r="N70" s="27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spans="1:29" ht="23.25">
      <c r="A71" s="15"/>
      <c r="B71" s="29"/>
      <c r="C71" s="46"/>
      <c r="D71" s="47"/>
      <c r="E71" s="34"/>
      <c r="F71" s="33" t="str">
        <v/>
      </c>
      <c r="G71" s="34"/>
      <c r="H71" s="41" t="str">
        <v/>
      </c>
      <c r="I71" s="41" t="str">
        <v/>
      </c>
      <c r="J71" s="41" t="str">
        <v/>
      </c>
      <c r="K71" s="41" t="str">
        <v/>
      </c>
      <c r="L71" s="41"/>
      <c r="M71" s="41" t="str">
        <v/>
      </c>
      <c r="N71" s="27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</row>
    <row r="72" spans="1:29" ht="23.25">
      <c r="A72" s="15" t="s">
        <v>967</v>
      </c>
      <c r="B72" s="40" t="s">
        <v>968</v>
      </c>
      <c r="C72" s="46">
        <v>44868</v>
      </c>
      <c r="D72" s="47" t="s">
        <v>969</v>
      </c>
      <c r="E72" s="34">
        <v>64</v>
      </c>
      <c r="F72" s="33" t="str">
        <v>6151228</v>
      </c>
      <c r="G72" s="34" t="s">
        <v>971</v>
      </c>
      <c r="H72" s="41" t="str">
        <v>LN</v>
      </c>
      <c r="I72" s="41" t="str">
        <v>M</v>
      </c>
      <c r="J72" s="41" t="str">
        <v>M</v>
      </c>
      <c r="K72" s="41" t="str">
        <v>VESTIDOR HOMBRES</v>
      </c>
      <c r="L72" s="41"/>
      <c r="M72" s="41">
        <v>0</v>
      </c>
      <c r="N72" s="27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spans="1:29" ht="23.25">
      <c r="A73" s="15" t="s">
        <v>973</v>
      </c>
      <c r="B73" s="40" t="s">
        <v>974</v>
      </c>
      <c r="C73" s="46">
        <v>44896</v>
      </c>
      <c r="D73" s="47" t="s">
        <v>975</v>
      </c>
      <c r="E73" s="34">
        <v>45</v>
      </c>
      <c r="F73" s="33" t="str">
        <v>5297986</v>
      </c>
      <c r="G73" s="34" t="s">
        <v>333</v>
      </c>
      <c r="H73" s="41" t="str">
        <v>PCC</v>
      </c>
      <c r="I73" s="41" t="str">
        <v>M</v>
      </c>
      <c r="J73" s="41" t="str">
        <v>M</v>
      </c>
      <c r="K73" s="41" t="str">
        <v>VESTIDOR HOMBRES</v>
      </c>
      <c r="L73" s="41"/>
      <c r="M73" s="41">
        <v>0</v>
      </c>
      <c r="N73" s="27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spans="1:29" ht="23.25">
      <c r="A74" s="15" t="s">
        <v>981</v>
      </c>
      <c r="B74" s="40" t="s">
        <v>982</v>
      </c>
      <c r="C74" s="46">
        <v>44901</v>
      </c>
      <c r="D74" s="47" t="s">
        <v>984</v>
      </c>
      <c r="E74" s="34">
        <v>18</v>
      </c>
      <c r="F74" s="33" t="str">
        <v>5717879</v>
      </c>
      <c r="G74" s="34" t="s">
        <v>987</v>
      </c>
      <c r="H74" s="41" t="str">
        <v>LOG</v>
      </c>
      <c r="I74" s="41" t="str">
        <v>M</v>
      </c>
      <c r="J74" s="41" t="str">
        <v>M</v>
      </c>
      <c r="K74" s="41" t="str">
        <v>VESTIDOR HOMBRES</v>
      </c>
      <c r="L74" s="41"/>
      <c r="M74" s="41">
        <v>0</v>
      </c>
      <c r="N74" s="27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spans="1:29" ht="23.25">
      <c r="A75" s="15" t="s">
        <v>235</v>
      </c>
      <c r="B75" s="40" t="s">
        <v>988</v>
      </c>
      <c r="C75" s="46">
        <v>44904</v>
      </c>
      <c r="D75" s="47" t="s">
        <v>989</v>
      </c>
      <c r="E75" s="34">
        <v>56</v>
      </c>
      <c r="F75" s="33" t="str">
        <v>1234338572</v>
      </c>
      <c r="G75" s="34" t="s">
        <v>346</v>
      </c>
      <c r="H75" s="41" t="str">
        <v>PCC</v>
      </c>
      <c r="I75" s="41" t="str">
        <v>L</v>
      </c>
      <c r="J75" s="41" t="str">
        <v>M</v>
      </c>
      <c r="K75" s="41" t="str">
        <v>VESTIDOR HOMBRES</v>
      </c>
      <c r="L75" s="41"/>
      <c r="M75" s="41">
        <v>0</v>
      </c>
      <c r="N75" s="27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spans="1:29" ht="23.25">
      <c r="A76" s="15" t="s">
        <v>991</v>
      </c>
      <c r="B76" s="40" t="s">
        <v>992</v>
      </c>
      <c r="C76" s="46">
        <v>44938</v>
      </c>
      <c r="D76" s="47" t="s">
        <v>993</v>
      </c>
      <c r="E76" s="34">
        <v>1</v>
      </c>
      <c r="F76" s="33" t="str">
        <v>1098782929</v>
      </c>
      <c r="G76" s="34" t="s">
        <v>359</v>
      </c>
      <c r="H76" s="41" t="str">
        <v>PCC</v>
      </c>
      <c r="I76" s="41" t="str">
        <v>L</v>
      </c>
      <c r="J76" s="41" t="str">
        <v>L</v>
      </c>
      <c r="K76" s="41" t="str">
        <v>VESTIDOR HOMBRES</v>
      </c>
      <c r="L76" s="41"/>
      <c r="M76" s="41">
        <v>0</v>
      </c>
      <c r="N76" s="27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</row>
    <row r="77" spans="1:29" ht="23.25">
      <c r="A77" s="15"/>
      <c r="B77" s="29"/>
      <c r="C77" s="46"/>
      <c r="D77" s="47"/>
      <c r="E77" s="34"/>
      <c r="F77" s="33" t="str">
        <v/>
      </c>
      <c r="G77" s="34"/>
      <c r="H77" s="41" t="str">
        <v/>
      </c>
      <c r="I77" s="41" t="str">
        <v/>
      </c>
      <c r="J77" s="41" t="str">
        <v/>
      </c>
      <c r="K77" s="41" t="str">
        <v/>
      </c>
      <c r="L77" s="41"/>
      <c r="M77" s="41" t="str">
        <v/>
      </c>
      <c r="N77" s="27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</row>
    <row r="78" spans="1:29" ht="23.25">
      <c r="A78" s="15" t="s">
        <v>235</v>
      </c>
      <c r="B78" s="29"/>
      <c r="C78" s="46">
        <v>44972</v>
      </c>
      <c r="D78" s="47" t="s">
        <v>1001</v>
      </c>
      <c r="E78" s="34">
        <v>1</v>
      </c>
      <c r="F78" s="33">
        <v>1095907137</v>
      </c>
      <c r="G78" s="34" t="s">
        <v>1002</v>
      </c>
      <c r="H78" s="41" t="str">
        <v>LN</v>
      </c>
      <c r="I78" s="41" t="str">
        <v>M</v>
      </c>
      <c r="J78" s="41" t="str">
        <v/>
      </c>
      <c r="K78" s="41" t="str">
        <v>VESTIDOR HOMBRES</v>
      </c>
      <c r="L78" s="41"/>
      <c r="M78" s="41">
        <v>0</v>
      </c>
      <c r="N78" s="27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</row>
    <row r="79" spans="1:29" ht="23.25">
      <c r="A79" s="15" t="s">
        <v>1007</v>
      </c>
      <c r="B79" s="40" t="s">
        <v>1009</v>
      </c>
      <c r="C79" s="46">
        <v>44979</v>
      </c>
      <c r="D79" s="47" t="s">
        <v>1010</v>
      </c>
      <c r="E79" s="34">
        <v>45</v>
      </c>
      <c r="F79" s="33" t="str">
        <v>1098724961</v>
      </c>
      <c r="G79" s="34" t="s">
        <v>1012</v>
      </c>
      <c r="H79" s="41" t="str">
        <v>LN</v>
      </c>
      <c r="I79" s="41" t="str">
        <v>S</v>
      </c>
      <c r="J79" s="41" t="str">
        <v>M</v>
      </c>
      <c r="K79" s="41" t="str">
        <v>VESTIDOR HOMBRES</v>
      </c>
      <c r="L79" s="41"/>
      <c r="M79" s="41">
        <v>0</v>
      </c>
      <c r="N79" s="27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spans="1:29" ht="23.25">
      <c r="A80" s="15" t="s">
        <v>235</v>
      </c>
      <c r="B80" s="40" t="s">
        <v>123</v>
      </c>
      <c r="C80" s="46">
        <v>45015</v>
      </c>
      <c r="D80" s="47" t="s">
        <v>1017</v>
      </c>
      <c r="E80" s="34">
        <v>2</v>
      </c>
      <c r="F80" s="33" t="str">
        <v>4994640</v>
      </c>
      <c r="G80" s="34" t="s">
        <v>1019</v>
      </c>
      <c r="H80" s="41" t="str">
        <v>LOG</v>
      </c>
      <c r="I80" s="41" t="str">
        <v>L</v>
      </c>
      <c r="J80" s="41" t="str">
        <v>L</v>
      </c>
      <c r="K80" s="41" t="str">
        <v>VESTIDOR HOMBRES</v>
      </c>
      <c r="L80" s="41"/>
      <c r="M80" s="41">
        <v>0</v>
      </c>
      <c r="N80" s="27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spans="1:29" ht="23.25">
      <c r="A81" s="15" t="s">
        <v>1023</v>
      </c>
      <c r="B81" s="29" t="s">
        <v>1025</v>
      </c>
      <c r="C81" s="46">
        <v>45015</v>
      </c>
      <c r="D81" s="47" t="s">
        <v>1026</v>
      </c>
      <c r="E81" s="34">
        <v>65</v>
      </c>
      <c r="F81" s="33" t="str">
        <v>1005505533</v>
      </c>
      <c r="G81" s="34" t="s">
        <v>1028</v>
      </c>
      <c r="H81" s="41" t="str">
        <v>LN</v>
      </c>
      <c r="I81" s="41" t="str">
        <v>M</v>
      </c>
      <c r="J81" s="41" t="str">
        <v>L</v>
      </c>
      <c r="K81" s="41" t="str">
        <v>VESTIDOR HOMBRES</v>
      </c>
      <c r="L81" s="41"/>
      <c r="M81" s="41">
        <v>0</v>
      </c>
      <c r="N81" s="27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spans="1:29" ht="23.25">
      <c r="A82" s="15" t="s">
        <v>235</v>
      </c>
      <c r="B82" s="40" t="s">
        <v>34</v>
      </c>
      <c r="C82" s="46">
        <v>45042</v>
      </c>
      <c r="D82" s="47" t="s">
        <v>1033</v>
      </c>
      <c r="E82" s="34">
        <v>10</v>
      </c>
      <c r="F82" s="33">
        <v>1100888638</v>
      </c>
      <c r="G82" s="34" t="s">
        <v>1034</v>
      </c>
      <c r="H82" s="41" t="str">
        <v>LOG</v>
      </c>
      <c r="I82" s="41" t="str">
        <v>M</v>
      </c>
      <c r="J82" s="41" t="str">
        <v>M</v>
      </c>
      <c r="K82" s="41" t="str">
        <v>VESTIDOR HOMBRES</v>
      </c>
      <c r="L82" s="41"/>
      <c r="M82" s="41">
        <v>0</v>
      </c>
      <c r="N82" s="27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spans="1:29" ht="23.25">
      <c r="A83" s="15"/>
      <c r="B83" s="29"/>
      <c r="C83" s="46"/>
      <c r="D83" s="47"/>
      <c r="E83" s="34"/>
      <c r="F83" s="33" t="str">
        <v/>
      </c>
      <c r="G83" s="34"/>
      <c r="H83" s="41" t="str">
        <v/>
      </c>
      <c r="I83" s="41" t="str">
        <v/>
      </c>
      <c r="J83" s="41" t="str">
        <v/>
      </c>
      <c r="K83" s="41" t="str">
        <v/>
      </c>
      <c r="L83" s="41"/>
      <c r="M83" s="41" t="str">
        <v/>
      </c>
      <c r="N83" s="27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spans="1:29" ht="23.25">
      <c r="A84" s="15" t="s">
        <v>1046</v>
      </c>
      <c r="B84" s="29" t="s">
        <v>421</v>
      </c>
      <c r="C84" s="46">
        <v>45056</v>
      </c>
      <c r="D84" s="47" t="s">
        <v>1050</v>
      </c>
      <c r="E84" s="34">
        <v>6</v>
      </c>
      <c r="F84" s="33" t="str">
        <v>N/A</v>
      </c>
      <c r="G84" s="34" t="s">
        <v>1051</v>
      </c>
      <c r="H84" s="41" t="str">
        <v>MTTO</v>
      </c>
      <c r="I84" s="41" t="str">
        <v>S-M-L-XL</v>
      </c>
      <c r="J84" s="41" t="str">
        <v/>
      </c>
      <c r="K84" s="41" t="str">
        <v>ADMINISTRACION</v>
      </c>
      <c r="L84" s="41"/>
      <c r="M84" s="41">
        <v>0</v>
      </c>
      <c r="N84" s="27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spans="1:29" ht="23.25">
      <c r="A85" s="15" t="s">
        <v>1055</v>
      </c>
      <c r="B85" s="52" t="s">
        <v>88</v>
      </c>
      <c r="C85" s="53">
        <v>45070</v>
      </c>
      <c r="D85" s="17" t="s">
        <v>1061</v>
      </c>
      <c r="E85" s="34">
        <v>13</v>
      </c>
      <c r="F85" s="33">
        <v>1005449415</v>
      </c>
      <c r="G85" s="34" t="s">
        <v>1064</v>
      </c>
      <c r="H85" s="19" t="str">
        <v>LOG</v>
      </c>
      <c r="I85" s="19" t="str">
        <v>L</v>
      </c>
      <c r="J85" s="19" t="str">
        <v>L</v>
      </c>
      <c r="K85" s="19" t="str">
        <v>VESTIDOR HOMBRES</v>
      </c>
      <c r="L85" s="36"/>
      <c r="M85" s="19">
        <v>0</v>
      </c>
      <c r="N85" s="27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spans="1:29" ht="23.25">
      <c r="A86" s="15" t="s">
        <v>1070</v>
      </c>
      <c r="B86" s="52" t="s">
        <v>1071</v>
      </c>
      <c r="C86" s="53">
        <v>45083</v>
      </c>
      <c r="D86" s="17" t="s">
        <v>1073</v>
      </c>
      <c r="E86" s="54" t="s">
        <v>186</v>
      </c>
      <c r="F86" s="33">
        <v>1095913856</v>
      </c>
      <c r="G86" s="34" t="s">
        <v>395</v>
      </c>
      <c r="H86" s="19" t="str">
        <v>PCC</v>
      </c>
      <c r="I86" s="19" t="str">
        <v>XL</v>
      </c>
      <c r="J86" s="19" t="str">
        <v>XL</v>
      </c>
      <c r="K86" s="19" t="str">
        <v>VESTIDOR HOMBRES</v>
      </c>
      <c r="L86" s="19"/>
      <c r="M86" s="19">
        <v>0</v>
      </c>
      <c r="N86" s="27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spans="1:29" ht="23.25">
      <c r="A87" s="15"/>
      <c r="B87" s="29"/>
      <c r="C87" s="46"/>
      <c r="D87" s="47"/>
      <c r="E87" s="34"/>
      <c r="F87" s="33" t="str">
        <v/>
      </c>
      <c r="G87" s="34"/>
      <c r="H87" s="41" t="str">
        <v/>
      </c>
      <c r="I87" s="41" t="str">
        <v/>
      </c>
      <c r="J87" s="41" t="str">
        <v/>
      </c>
      <c r="K87" s="41" t="str">
        <v/>
      </c>
      <c r="L87" s="41"/>
      <c r="M87" s="41" t="str">
        <v/>
      </c>
      <c r="N87" s="27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spans="1:29" ht="23.25">
      <c r="A88" s="15" t="s">
        <v>1081</v>
      </c>
      <c r="B88" s="40" t="s">
        <v>1083</v>
      </c>
      <c r="C88" s="46">
        <v>45173</v>
      </c>
      <c r="D88" s="47" t="s">
        <v>1084</v>
      </c>
      <c r="E88" s="34">
        <v>8</v>
      </c>
      <c r="F88" s="33">
        <v>1002599899</v>
      </c>
      <c r="G88" s="34" t="s">
        <v>1086</v>
      </c>
      <c r="H88" s="41" t="str">
        <v>LOG</v>
      </c>
      <c r="I88" s="41" t="str">
        <v>XL</v>
      </c>
      <c r="J88" s="41" t="str">
        <v>XL</v>
      </c>
      <c r="K88" s="41" t="str">
        <v>VESTIDOR HOMBRES</v>
      </c>
      <c r="L88" s="41"/>
      <c r="M88" s="41">
        <v>0</v>
      </c>
      <c r="N88" s="27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spans="1:29" ht="23.25">
      <c r="A89" s="15" t="s">
        <v>1088</v>
      </c>
      <c r="B89" s="29"/>
      <c r="C89" s="46">
        <v>45173</v>
      </c>
      <c r="D89" s="49" t="s">
        <v>1089</v>
      </c>
      <c r="E89" s="34">
        <v>23</v>
      </c>
      <c r="F89" s="33">
        <v>1095940311</v>
      </c>
      <c r="G89" s="34" t="s">
        <v>1090</v>
      </c>
      <c r="H89" s="41" t="str">
        <v>SST</v>
      </c>
      <c r="I89" s="41" t="str">
        <v>XL</v>
      </c>
      <c r="J89" s="41" t="str">
        <v/>
      </c>
      <c r="K89" s="41" t="str">
        <v>ADMINISTRACION</v>
      </c>
      <c r="L89" s="28"/>
      <c r="M89" s="41">
        <v>0</v>
      </c>
      <c r="N89" s="27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spans="1:29" ht="23.25">
      <c r="A90" s="15"/>
      <c r="B90" s="29"/>
      <c r="C90" s="46"/>
      <c r="D90" s="47"/>
      <c r="E90" s="34"/>
      <c r="F90" s="33" t="str">
        <v/>
      </c>
      <c r="G90" s="34"/>
      <c r="H90" s="41" t="str">
        <v/>
      </c>
      <c r="I90" s="41" t="str">
        <v/>
      </c>
      <c r="J90" s="41" t="str">
        <v/>
      </c>
      <c r="K90" s="41" t="str">
        <v/>
      </c>
      <c r="L90" s="41"/>
      <c r="M90" s="41" t="str">
        <v/>
      </c>
      <c r="N90" s="27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spans="1:29" ht="23.25">
      <c r="A91" s="15" t="s">
        <v>235</v>
      </c>
      <c r="B91" s="40" t="s">
        <v>24</v>
      </c>
      <c r="C91" s="46">
        <v>45246</v>
      </c>
      <c r="D91" s="47" t="s">
        <v>1103</v>
      </c>
      <c r="E91" s="34">
        <v>15</v>
      </c>
      <c r="F91" s="33">
        <v>4925589</v>
      </c>
      <c r="G91" s="34" t="s">
        <v>1107</v>
      </c>
      <c r="H91" s="41" t="str">
        <v>LOG</v>
      </c>
      <c r="I91" s="41" t="str">
        <v>L</v>
      </c>
      <c r="J91" s="41" t="str">
        <v>L</v>
      </c>
      <c r="K91" s="41" t="str">
        <v>VESTIDOR HOMBRES</v>
      </c>
      <c r="L91" s="41"/>
      <c r="M91" s="41">
        <v>0</v>
      </c>
      <c r="N91" s="27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spans="1:29" ht="23.25">
      <c r="A92" s="15" t="s">
        <v>235</v>
      </c>
      <c r="B92" s="52" t="s">
        <v>426</v>
      </c>
      <c r="C92" s="53">
        <v>45253</v>
      </c>
      <c r="D92" s="17" t="s">
        <v>1111</v>
      </c>
      <c r="E92" s="54" t="s">
        <v>338</v>
      </c>
      <c r="F92" s="33">
        <v>1092671213</v>
      </c>
      <c r="G92" s="34" t="s">
        <v>944</v>
      </c>
      <c r="H92" s="19" t="str">
        <v>LN</v>
      </c>
      <c r="I92" s="19" t="str">
        <v>M</v>
      </c>
      <c r="J92" s="19" t="str">
        <v>M</v>
      </c>
      <c r="K92" s="19" t="str">
        <v>VESTIDOR HOMBRES</v>
      </c>
      <c r="L92" s="19"/>
      <c r="M92" s="19">
        <v>0</v>
      </c>
      <c r="N92" s="27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spans="1:29" ht="23.25">
      <c r="A93" s="15" t="s">
        <v>1118</v>
      </c>
      <c r="B93" s="52" t="s">
        <v>63</v>
      </c>
      <c r="C93" s="53">
        <v>45307</v>
      </c>
      <c r="D93" s="17" t="s">
        <v>1119</v>
      </c>
      <c r="E93" s="54" t="s">
        <v>191</v>
      </c>
      <c r="F93" s="33">
        <v>1005386544</v>
      </c>
      <c r="G93" s="34" t="s">
        <v>1120</v>
      </c>
      <c r="H93" s="19" t="str">
        <v>LN</v>
      </c>
      <c r="I93" s="19" t="str">
        <v>M</v>
      </c>
      <c r="J93" s="19" t="str">
        <v>M</v>
      </c>
      <c r="K93" s="19" t="str">
        <v>VESTIDOR HOMBRES</v>
      </c>
      <c r="L93" s="19"/>
      <c r="M93" s="19">
        <v>0</v>
      </c>
      <c r="N93" s="27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</row>
    <row r="94" spans="1:29" ht="23.25">
      <c r="A94" s="15" t="s">
        <v>235</v>
      </c>
      <c r="B94" s="29" t="s">
        <v>209</v>
      </c>
      <c r="C94" s="46">
        <v>45307</v>
      </c>
      <c r="D94" s="47" t="s">
        <v>1126</v>
      </c>
      <c r="E94" s="34">
        <v>6</v>
      </c>
      <c r="F94" s="33">
        <v>4588561</v>
      </c>
      <c r="G94" s="34" t="s">
        <v>495</v>
      </c>
      <c r="H94" s="41" t="str">
        <v>PCC</v>
      </c>
      <c r="I94" s="41" t="str">
        <v>L</v>
      </c>
      <c r="J94" s="41" t="str">
        <v>S</v>
      </c>
      <c r="K94" s="41" t="str">
        <v>VESTIDOR HOMBRES</v>
      </c>
      <c r="L94" s="28"/>
      <c r="M94" s="41">
        <v>0</v>
      </c>
      <c r="N94" s="27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</row>
    <row r="95" spans="1:29" ht="23.25">
      <c r="A95" s="15" t="s">
        <v>1130</v>
      </c>
      <c r="B95" s="52" t="s">
        <v>1132</v>
      </c>
      <c r="C95" s="53">
        <v>45308</v>
      </c>
      <c r="D95" s="17" t="s">
        <v>1135</v>
      </c>
      <c r="E95" s="54" t="s">
        <v>669</v>
      </c>
      <c r="F95" s="33">
        <v>1065240729</v>
      </c>
      <c r="G95" s="34" t="s">
        <v>1138</v>
      </c>
      <c r="H95" s="19" t="str">
        <v>LN</v>
      </c>
      <c r="I95" s="19" t="str">
        <v>M</v>
      </c>
      <c r="J95" s="19" t="str">
        <v>L</v>
      </c>
      <c r="K95" s="19" t="str">
        <v>VESTIDOR HOMBRES</v>
      </c>
      <c r="L95" s="19"/>
      <c r="M95" s="19">
        <v>0</v>
      </c>
      <c r="N95" s="27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</row>
    <row r="96" spans="1:29" ht="23.25">
      <c r="A96" s="15" t="s">
        <v>235</v>
      </c>
      <c r="B96" s="40" t="s">
        <v>382</v>
      </c>
      <c r="C96" s="46">
        <v>45364</v>
      </c>
      <c r="D96" s="47" t="s">
        <v>1142</v>
      </c>
      <c r="E96" s="34">
        <v>3</v>
      </c>
      <c r="F96" s="33">
        <v>1005565551</v>
      </c>
      <c r="G96" s="34" t="s">
        <v>232</v>
      </c>
      <c r="H96" s="41" t="str">
        <v>PCC</v>
      </c>
      <c r="I96" s="41" t="str">
        <v>XL</v>
      </c>
      <c r="J96" s="41" t="str">
        <v>L</v>
      </c>
      <c r="K96" s="41" t="str">
        <v>VESTIDOR HOMBRES</v>
      </c>
      <c r="L96" s="41"/>
      <c r="M96" s="41">
        <v>0</v>
      </c>
      <c r="N96" s="27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</row>
    <row r="97" spans="1:29" ht="23.25">
      <c r="A97" s="15" t="s">
        <v>1152</v>
      </c>
      <c r="B97" s="40" t="s">
        <v>300</v>
      </c>
      <c r="C97" s="46">
        <v>45364</v>
      </c>
      <c r="D97" s="47" t="s">
        <v>1153</v>
      </c>
      <c r="E97" s="34">
        <v>9</v>
      </c>
      <c r="F97" s="33">
        <v>1007412982</v>
      </c>
      <c r="G97" s="34" t="s">
        <v>1154</v>
      </c>
      <c r="H97" s="41" t="str">
        <v>LN</v>
      </c>
      <c r="I97" s="41" t="str">
        <v>M</v>
      </c>
      <c r="J97" s="41" t="str">
        <v>M</v>
      </c>
      <c r="K97" s="41" t="str">
        <v>VESTIDOR HOMBRES</v>
      </c>
      <c r="L97" s="41"/>
      <c r="M97" s="41">
        <v>0</v>
      </c>
      <c r="N97" s="27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</row>
    <row r="98" spans="1:29" ht="23.25">
      <c r="A98" s="15" t="s">
        <v>1159</v>
      </c>
      <c r="B98" s="40" t="s">
        <v>1160</v>
      </c>
      <c r="C98" s="46">
        <v>45378</v>
      </c>
      <c r="D98" s="47" t="s">
        <v>1161</v>
      </c>
      <c r="E98" s="34">
        <v>1</v>
      </c>
      <c r="F98" s="33" t="str">
        <v/>
      </c>
      <c r="G98" s="34" t="s">
        <v>1162</v>
      </c>
      <c r="H98" s="41" t="str">
        <v/>
      </c>
      <c r="I98" s="41" t="str">
        <v/>
      </c>
      <c r="J98" s="41" t="str">
        <v>M</v>
      </c>
      <c r="K98" s="41" t="str">
        <v/>
      </c>
      <c r="L98" s="41"/>
      <c r="M98" s="41" t="str">
        <v/>
      </c>
      <c r="N98" s="27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</row>
    <row r="99" spans="1:29" ht="23.25">
      <c r="A99" s="15" t="s">
        <v>1168</v>
      </c>
      <c r="B99" s="52" t="s">
        <v>245</v>
      </c>
      <c r="C99" s="53">
        <v>45406</v>
      </c>
      <c r="D99" s="17" t="s">
        <v>1169</v>
      </c>
      <c r="E99" s="54" t="s">
        <v>95</v>
      </c>
      <c r="F99" s="33">
        <v>1067036744</v>
      </c>
      <c r="G99" s="34" t="s">
        <v>1173</v>
      </c>
      <c r="H99" s="19" t="str">
        <v>LYD</v>
      </c>
      <c r="I99" s="19" t="str">
        <v>M</v>
      </c>
      <c r="J99" s="19" t="str">
        <v>M</v>
      </c>
      <c r="K99" s="19" t="str">
        <v>VESTIDOR HOMBRES</v>
      </c>
      <c r="L99" s="19"/>
      <c r="M99" s="19">
        <v>0</v>
      </c>
      <c r="N99" s="27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</row>
    <row r="100" spans="1:29" ht="23.25">
      <c r="A100" s="15" t="s">
        <v>1176</v>
      </c>
      <c r="B100" s="40" t="s">
        <v>866</v>
      </c>
      <c r="C100" s="46">
        <v>45411</v>
      </c>
      <c r="D100" s="47" t="s">
        <v>1179</v>
      </c>
      <c r="E100" s="34">
        <v>23</v>
      </c>
      <c r="F100" s="33">
        <v>1099622755</v>
      </c>
      <c r="G100" s="34" t="s">
        <v>1181</v>
      </c>
      <c r="H100" s="41" t="str">
        <v>CAL</v>
      </c>
      <c r="I100" s="41" t="str">
        <v>M</v>
      </c>
      <c r="J100" s="41" t="str">
        <v>M</v>
      </c>
      <c r="K100" s="41" t="str">
        <v>VESTIDOR HOMBRES</v>
      </c>
      <c r="L100" s="41"/>
      <c r="M100" s="41">
        <v>0</v>
      </c>
      <c r="N100" s="27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</row>
    <row r="101" spans="1:29" ht="23.25">
      <c r="A101" s="15" t="s">
        <v>235</v>
      </c>
      <c r="B101" s="40" t="s">
        <v>392</v>
      </c>
      <c r="C101" s="46">
        <v>45433</v>
      </c>
      <c r="D101" s="47" t="s">
        <v>1186</v>
      </c>
      <c r="E101" s="34">
        <v>28</v>
      </c>
      <c r="F101" s="33">
        <v>4883960</v>
      </c>
      <c r="G101" s="34" t="s">
        <v>1187</v>
      </c>
      <c r="H101" s="41" t="str">
        <v>LN</v>
      </c>
      <c r="I101" s="41" t="str">
        <v>M</v>
      </c>
      <c r="J101" s="41" t="str">
        <v>L</v>
      </c>
      <c r="K101" s="41" t="str">
        <v>VESTIDOR HOMBRES</v>
      </c>
      <c r="L101" s="41"/>
      <c r="M101" s="41">
        <v>0</v>
      </c>
      <c r="N101" s="27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</row>
    <row r="102" spans="1:29" ht="23.25">
      <c r="A102" s="15" t="s">
        <v>235</v>
      </c>
      <c r="B102" s="40" t="s">
        <v>252</v>
      </c>
      <c r="C102" s="46">
        <v>45447</v>
      </c>
      <c r="D102" s="47" t="s">
        <v>1192</v>
      </c>
      <c r="E102" s="34">
        <v>50</v>
      </c>
      <c r="F102" s="33">
        <v>1042436560</v>
      </c>
      <c r="G102" s="34" t="s">
        <v>1193</v>
      </c>
      <c r="H102" s="41" t="str">
        <v>LN</v>
      </c>
      <c r="I102" s="41" t="str">
        <v>M</v>
      </c>
      <c r="J102" s="41" t="str">
        <v>L</v>
      </c>
      <c r="K102" s="41" t="str">
        <v>VESTIDOR HOMBRES</v>
      </c>
      <c r="L102" s="41"/>
      <c r="M102" s="41">
        <v>0</v>
      </c>
      <c r="N102" s="27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</row>
    <row r="103" spans="1:29" ht="23.25">
      <c r="A103" s="15"/>
      <c r="B103" s="55"/>
      <c r="C103" s="53"/>
      <c r="D103" s="17"/>
      <c r="E103" s="34"/>
      <c r="F103" s="33" t="str">
        <v/>
      </c>
      <c r="G103" s="34"/>
      <c r="H103" s="19" t="str">
        <v/>
      </c>
      <c r="I103" s="19" t="str">
        <v/>
      </c>
      <c r="J103" s="19" t="str">
        <v/>
      </c>
      <c r="K103" s="19" t="str">
        <v/>
      </c>
      <c r="L103" s="19"/>
      <c r="M103" s="19" t="str">
        <v/>
      </c>
      <c r="N103" s="27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spans="1:29" ht="23.25">
      <c r="A104" s="15" t="s">
        <v>1205</v>
      </c>
      <c r="B104" s="40" t="s">
        <v>910</v>
      </c>
      <c r="C104" s="46">
        <v>45467</v>
      </c>
      <c r="D104" s="47" t="s">
        <v>1206</v>
      </c>
      <c r="E104" s="34">
        <v>49</v>
      </c>
      <c r="F104" s="33">
        <v>1046426818</v>
      </c>
      <c r="G104" s="34" t="s">
        <v>1207</v>
      </c>
      <c r="H104" s="41" t="str">
        <v>LN</v>
      </c>
      <c r="I104" s="41" t="str">
        <v>L</v>
      </c>
      <c r="J104" s="41" t="str">
        <v>L</v>
      </c>
      <c r="K104" s="41" t="str">
        <v>VESTIDOR HOMBRES</v>
      </c>
      <c r="L104" s="41"/>
      <c r="M104" s="41">
        <v>0</v>
      </c>
      <c r="N104" s="27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</row>
    <row r="105" spans="1:29" ht="23.25">
      <c r="A105" s="15" t="s">
        <v>235</v>
      </c>
      <c r="B105" s="55" t="s">
        <v>1221</v>
      </c>
      <c r="C105" s="53">
        <v>45499</v>
      </c>
      <c r="D105" s="17" t="s">
        <v>1222</v>
      </c>
      <c r="E105" s="54" t="s">
        <v>73</v>
      </c>
      <c r="F105" s="33">
        <v>1095298628</v>
      </c>
      <c r="G105" s="34" t="s">
        <v>521</v>
      </c>
      <c r="H105" s="19" t="str">
        <v>PCC</v>
      </c>
      <c r="I105" s="19" t="str">
        <v>L</v>
      </c>
      <c r="J105" s="19" t="str">
        <v>M</v>
      </c>
      <c r="K105" s="19" t="str">
        <v>VESTIDOR HOMBRES</v>
      </c>
      <c r="L105" s="19"/>
      <c r="M105" s="19">
        <v>0</v>
      </c>
      <c r="N105" s="27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</row>
    <row r="106" spans="1:29" ht="23.25">
      <c r="A106" s="15" t="s">
        <v>235</v>
      </c>
      <c r="B106" s="40" t="s">
        <v>178</v>
      </c>
      <c r="C106" s="46">
        <v>45517</v>
      </c>
      <c r="D106" s="47" t="s">
        <v>1230</v>
      </c>
      <c r="E106" s="34">
        <v>35</v>
      </c>
      <c r="F106" s="33">
        <v>1101211012</v>
      </c>
      <c r="G106" s="34" t="s">
        <v>1060</v>
      </c>
      <c r="H106" s="41" t="str">
        <v>LN</v>
      </c>
      <c r="I106" s="41" t="str">
        <v>M</v>
      </c>
      <c r="J106" s="41" t="str">
        <v>S</v>
      </c>
      <c r="K106" s="41" t="str">
        <v>VESTIDOR HOMBRES</v>
      </c>
      <c r="L106" s="41"/>
      <c r="M106" s="41">
        <v>0</v>
      </c>
      <c r="N106" s="27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</row>
    <row r="107" spans="1:29" ht="23.25">
      <c r="A107" s="15" t="s">
        <v>1234</v>
      </c>
      <c r="B107" s="40" t="s">
        <v>1105</v>
      </c>
      <c r="C107" s="46">
        <v>45530</v>
      </c>
      <c r="D107" s="47" t="s">
        <v>1236</v>
      </c>
      <c r="E107" s="34">
        <v>47</v>
      </c>
      <c r="F107" s="33">
        <v>4932955</v>
      </c>
      <c r="G107" s="34" t="s">
        <v>582</v>
      </c>
      <c r="H107" s="41" t="str">
        <v>PCC</v>
      </c>
      <c r="I107" s="41" t="str">
        <v>S</v>
      </c>
      <c r="J107" s="41" t="str">
        <v>S</v>
      </c>
      <c r="K107" s="41" t="str">
        <v>VESTIDOR HOMBRES</v>
      </c>
      <c r="L107" s="41"/>
      <c r="M107" s="41">
        <v>0</v>
      </c>
      <c r="N107" s="27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  <row r="108" spans="1:29" ht="23.25">
      <c r="A108" s="15" t="s">
        <v>1241</v>
      </c>
      <c r="B108" s="40" t="s">
        <v>701</v>
      </c>
      <c r="C108" s="46">
        <v>45530</v>
      </c>
      <c r="D108" s="47" t="s">
        <v>1242</v>
      </c>
      <c r="E108" s="34">
        <v>33</v>
      </c>
      <c r="F108" s="33">
        <v>1095914235</v>
      </c>
      <c r="G108" s="34" t="s">
        <v>447</v>
      </c>
      <c r="H108" s="41" t="str">
        <v>PCC</v>
      </c>
      <c r="I108" s="41" t="str">
        <v>M</v>
      </c>
      <c r="J108" s="41" t="str">
        <v>L</v>
      </c>
      <c r="K108" s="41" t="str">
        <v>VESTIDOR HOMBRES</v>
      </c>
      <c r="L108" s="41"/>
      <c r="M108" s="41">
        <v>0</v>
      </c>
      <c r="N108" s="27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</row>
    <row r="109" spans="1:29" ht="23.25">
      <c r="A109" s="15" t="s">
        <v>235</v>
      </c>
      <c r="B109" s="40" t="s">
        <v>200</v>
      </c>
      <c r="C109" s="46">
        <v>45558</v>
      </c>
      <c r="D109" s="47" t="s">
        <v>1247</v>
      </c>
      <c r="E109" s="34">
        <v>40</v>
      </c>
      <c r="F109" s="33">
        <v>1401664</v>
      </c>
      <c r="G109" s="34" t="s">
        <v>74</v>
      </c>
      <c r="H109" s="41" t="str">
        <v>PCC</v>
      </c>
      <c r="I109" s="41" t="str">
        <v>M</v>
      </c>
      <c r="J109" s="41" t="str">
        <v>M</v>
      </c>
      <c r="K109" s="41" t="str">
        <v>VESTIDOR HOMBRES</v>
      </c>
      <c r="L109" s="41"/>
      <c r="M109" s="41">
        <v>0</v>
      </c>
      <c r="N109" s="27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</row>
    <row r="110" spans="1:29" ht="23.25">
      <c r="A110" s="15"/>
      <c r="B110" s="29"/>
      <c r="C110" s="46"/>
      <c r="D110" s="47"/>
      <c r="E110" s="34"/>
      <c r="F110" s="33" t="str">
        <v/>
      </c>
      <c r="G110" s="34"/>
      <c r="H110" s="41" t="str">
        <v/>
      </c>
      <c r="I110" s="41" t="str">
        <v/>
      </c>
      <c r="J110" s="41" t="str">
        <v/>
      </c>
      <c r="K110" s="41" t="str">
        <v/>
      </c>
      <c r="L110" s="41"/>
      <c r="M110" s="41" t="str">
        <v/>
      </c>
      <c r="N110" s="27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</row>
    <row r="111" spans="1:29" ht="23.25">
      <c r="A111" s="15" t="s">
        <v>235</v>
      </c>
      <c r="B111" s="40" t="s">
        <v>1134</v>
      </c>
      <c r="C111" s="46">
        <v>45560</v>
      </c>
      <c r="D111" s="47" t="s">
        <v>1256</v>
      </c>
      <c r="E111" s="34">
        <v>36</v>
      </c>
      <c r="F111" s="33">
        <v>1397200</v>
      </c>
      <c r="G111" s="34" t="s">
        <v>568</v>
      </c>
      <c r="H111" s="41" t="str">
        <v>LN</v>
      </c>
      <c r="I111" s="41" t="str">
        <v>M</v>
      </c>
      <c r="J111" s="41" t="str">
        <v>L</v>
      </c>
      <c r="K111" s="41" t="str">
        <v>VESTIDOR HOMBRES</v>
      </c>
      <c r="L111" s="41"/>
      <c r="M111" s="41">
        <v>0</v>
      </c>
      <c r="N111" s="27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</row>
    <row r="112" spans="1:29" ht="23.25">
      <c r="A112" s="15"/>
      <c r="B112" s="29"/>
      <c r="C112" s="46"/>
      <c r="D112" s="47"/>
      <c r="E112" s="34"/>
      <c r="F112" s="33" t="str">
        <v/>
      </c>
      <c r="G112" s="34"/>
      <c r="H112" s="41" t="str">
        <v/>
      </c>
      <c r="I112" s="41" t="str">
        <v/>
      </c>
      <c r="J112" s="41" t="str">
        <v/>
      </c>
      <c r="K112" s="41" t="str">
        <v/>
      </c>
      <c r="L112" s="41"/>
      <c r="M112" s="41" t="str">
        <v/>
      </c>
      <c r="N112" s="27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</row>
    <row r="113" spans="1:29" ht="23.25">
      <c r="A113" s="15" t="s">
        <v>235</v>
      </c>
      <c r="B113" s="40" t="s">
        <v>713</v>
      </c>
      <c r="C113" s="46">
        <v>45590</v>
      </c>
      <c r="D113" s="47" t="s">
        <v>1268</v>
      </c>
      <c r="E113" s="34">
        <v>3</v>
      </c>
      <c r="F113" s="33">
        <v>1056908061</v>
      </c>
      <c r="G113" s="34" t="s">
        <v>678</v>
      </c>
      <c r="H113" s="41" t="str">
        <v>CAL</v>
      </c>
      <c r="I113" s="41" t="str">
        <v>XL</v>
      </c>
      <c r="J113" s="41" t="str">
        <v>XXL</v>
      </c>
      <c r="K113" s="41" t="str">
        <v>VESTIDOR MUJERES</v>
      </c>
      <c r="L113" s="41"/>
      <c r="M113" s="41">
        <v>0</v>
      </c>
      <c r="N113" s="27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</row>
    <row r="114" spans="1:29" ht="23.25">
      <c r="A114" s="15" t="s">
        <v>1274</v>
      </c>
      <c r="B114" s="40" t="s">
        <v>1116</v>
      </c>
      <c r="C114" s="46">
        <v>45595</v>
      </c>
      <c r="D114" s="47" t="s">
        <v>1275</v>
      </c>
      <c r="E114" s="34">
        <v>36</v>
      </c>
      <c r="F114" s="33">
        <v>5005845</v>
      </c>
      <c r="G114" s="34" t="s">
        <v>508</v>
      </c>
      <c r="H114" s="41" t="str">
        <v>PCC</v>
      </c>
      <c r="I114" s="41" t="str">
        <v>M</v>
      </c>
      <c r="J114" s="41" t="str">
        <v>M</v>
      </c>
      <c r="K114" s="41" t="str">
        <v>VESTIDOR HOMBRES</v>
      </c>
      <c r="L114" s="41"/>
      <c r="M114" s="41">
        <v>0</v>
      </c>
      <c r="N114" s="27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</row>
    <row r="115" spans="1:29" ht="23.25">
      <c r="A115" s="15" t="s">
        <v>1279</v>
      </c>
      <c r="B115" s="40" t="s">
        <v>1265</v>
      </c>
      <c r="C115" s="46">
        <v>45615</v>
      </c>
      <c r="D115" s="47" t="s">
        <v>1282</v>
      </c>
      <c r="E115" s="34">
        <v>13</v>
      </c>
      <c r="F115" s="33">
        <v>1005539482</v>
      </c>
      <c r="G115" s="34" t="s">
        <v>1283</v>
      </c>
      <c r="H115" s="41" t="str">
        <v>LYD</v>
      </c>
      <c r="I115" s="41" t="str">
        <v>L</v>
      </c>
      <c r="J115" s="41" t="str">
        <v>M</v>
      </c>
      <c r="K115" s="41" t="str">
        <v>VESTIDOR HOMBRES</v>
      </c>
      <c r="L115" s="41"/>
      <c r="M115" s="41">
        <v>0</v>
      </c>
      <c r="N115" s="27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</row>
    <row r="116" spans="1:29" ht="23.25">
      <c r="A116" s="15"/>
      <c r="B116" s="29"/>
      <c r="C116" s="46"/>
      <c r="D116" s="47"/>
      <c r="E116" s="34"/>
      <c r="F116" s="33" t="str">
        <v/>
      </c>
      <c r="G116" s="34"/>
      <c r="H116" s="41" t="str">
        <v/>
      </c>
      <c r="I116" s="41" t="str">
        <v/>
      </c>
      <c r="J116" s="41" t="str">
        <v/>
      </c>
      <c r="K116" s="41" t="str">
        <v/>
      </c>
      <c r="L116" s="28"/>
      <c r="M116" s="41" t="str">
        <v/>
      </c>
      <c r="N116" s="27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</row>
    <row r="117" spans="1:29" ht="23.25">
      <c r="A117" s="15" t="s">
        <v>1291</v>
      </c>
      <c r="B117" s="40" t="s">
        <v>762</v>
      </c>
      <c r="C117" s="46">
        <v>45665</v>
      </c>
      <c r="D117" s="47" t="s">
        <v>1292</v>
      </c>
      <c r="E117" s="34">
        <v>10</v>
      </c>
      <c r="F117" s="33">
        <v>1005156867</v>
      </c>
      <c r="G117" s="34" t="s">
        <v>1258</v>
      </c>
      <c r="H117" s="41" t="str">
        <v>LN</v>
      </c>
      <c r="I117" s="41" t="str">
        <v>L</v>
      </c>
      <c r="J117" s="41" t="str">
        <v>L</v>
      </c>
      <c r="K117" s="41" t="str">
        <v>VESTIDOR HOMBRES</v>
      </c>
      <c r="L117" s="41"/>
      <c r="M117" s="41">
        <v>0</v>
      </c>
      <c r="N117" s="27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</row>
    <row r="118" spans="1:29" ht="23.25">
      <c r="A118" s="15" t="s">
        <v>1297</v>
      </c>
      <c r="B118" s="40" t="s">
        <v>695</v>
      </c>
      <c r="C118" s="46">
        <v>45681</v>
      </c>
      <c r="D118" s="47" t="s">
        <v>1298</v>
      </c>
      <c r="E118" s="34">
        <v>44</v>
      </c>
      <c r="F118" s="33">
        <v>1102350072</v>
      </c>
      <c r="G118" s="34" t="s">
        <v>1227</v>
      </c>
      <c r="H118" s="41" t="str">
        <v>LN</v>
      </c>
      <c r="I118" s="41" t="str">
        <v>M</v>
      </c>
      <c r="J118" s="41" t="str">
        <v>M</v>
      </c>
      <c r="K118" s="41" t="str">
        <v>VESTIDOR HOMBRES</v>
      </c>
      <c r="L118" s="41"/>
      <c r="M118" s="41">
        <v>0</v>
      </c>
      <c r="N118" s="27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</row>
    <row r="119" spans="1:29" ht="23.25">
      <c r="A119" s="15"/>
      <c r="B119" s="29"/>
      <c r="C119" s="46"/>
      <c r="D119" s="47"/>
      <c r="E119" s="34"/>
      <c r="F119" s="33" t="str">
        <v/>
      </c>
      <c r="G119" s="34"/>
      <c r="H119" s="41" t="str">
        <v/>
      </c>
      <c r="I119" s="41" t="str">
        <v/>
      </c>
      <c r="J119" s="41" t="str">
        <v/>
      </c>
      <c r="K119" s="41" t="str">
        <v/>
      </c>
      <c r="L119" s="41"/>
      <c r="M119" s="41" t="str">
        <v/>
      </c>
      <c r="N119" s="27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</row>
    <row r="120" spans="1:29" ht="23.25">
      <c r="A120" s="15" t="s">
        <v>1308</v>
      </c>
      <c r="B120" s="40" t="s">
        <v>1310</v>
      </c>
      <c r="C120" s="46">
        <v>45700</v>
      </c>
      <c r="D120" s="47" t="s">
        <v>1312</v>
      </c>
      <c r="E120" s="34">
        <v>16</v>
      </c>
      <c r="F120" s="33">
        <v>1001920490</v>
      </c>
      <c r="G120" s="34" t="s">
        <v>384</v>
      </c>
      <c r="H120" s="41" t="str">
        <v>PCC</v>
      </c>
      <c r="I120" s="41" t="str">
        <v>M</v>
      </c>
      <c r="J120" s="41" t="str">
        <v>M</v>
      </c>
      <c r="K120" s="41" t="str">
        <v>VESTIDOR HOMBRES</v>
      </c>
      <c r="L120" s="41"/>
      <c r="M120" s="41">
        <v>0</v>
      </c>
      <c r="N120" s="27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</row>
    <row r="121" spans="1:29" ht="23.25">
      <c r="A121" s="15" t="s">
        <v>1315</v>
      </c>
      <c r="B121" s="40" t="s">
        <v>1172</v>
      </c>
      <c r="C121" s="46">
        <v>45707</v>
      </c>
      <c r="D121" s="47" t="s">
        <v>1317</v>
      </c>
      <c r="E121" s="34">
        <v>31</v>
      </c>
      <c r="F121" s="33">
        <v>1104071452</v>
      </c>
      <c r="G121" s="34" t="s">
        <v>55</v>
      </c>
      <c r="H121" s="41" t="str">
        <v>PCC</v>
      </c>
      <c r="I121" s="41" t="str">
        <v>M</v>
      </c>
      <c r="J121" s="41" t="str">
        <v>S</v>
      </c>
      <c r="K121" s="41" t="str">
        <v>VESTIDOR HOMBRES</v>
      </c>
      <c r="L121" s="41"/>
      <c r="M121" s="41">
        <v>0</v>
      </c>
      <c r="N121" s="27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</row>
    <row r="122" spans="1:29" ht="23.25">
      <c r="A122" s="15" t="s">
        <v>1320</v>
      </c>
      <c r="B122" s="55" t="s">
        <v>666</v>
      </c>
      <c r="C122" s="53">
        <v>45707</v>
      </c>
      <c r="D122" s="17" t="s">
        <v>1321</v>
      </c>
      <c r="E122" s="54" t="s">
        <v>315</v>
      </c>
      <c r="F122" s="33">
        <v>1100893914</v>
      </c>
      <c r="G122" s="34" t="s">
        <v>596</v>
      </c>
      <c r="H122" s="19" t="str">
        <v>PCC</v>
      </c>
      <c r="I122" s="19" t="str">
        <v>M</v>
      </c>
      <c r="J122" s="19" t="str">
        <v>M</v>
      </c>
      <c r="K122" s="19" t="str">
        <v>VESTIDOR HOMBRES</v>
      </c>
      <c r="L122" s="19"/>
      <c r="M122" s="19">
        <v>0</v>
      </c>
      <c r="N122" s="27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</row>
    <row r="123" spans="1:29" ht="23.25">
      <c r="A123" s="15" t="s">
        <v>1328</v>
      </c>
      <c r="B123" s="29" t="s">
        <v>421</v>
      </c>
      <c r="C123" s="46">
        <v>45724</v>
      </c>
      <c r="D123" s="51" t="s">
        <v>965</v>
      </c>
      <c r="E123" s="34">
        <v>3</v>
      </c>
      <c r="F123" s="33" t="str">
        <v>N/A</v>
      </c>
      <c r="G123" s="34"/>
      <c r="H123" s="41" t="str">
        <v>EXT</v>
      </c>
      <c r="I123" s="41" t="str">
        <v>N/A</v>
      </c>
      <c r="J123" s="41" t="str">
        <v/>
      </c>
      <c r="K123" s="41" t="str">
        <v>VESTIDOR HOMBRES</v>
      </c>
      <c r="L123" s="41"/>
      <c r="M123" s="41">
        <v>0</v>
      </c>
      <c r="N123" s="27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</row>
    <row r="124" spans="1:29" ht="23.25">
      <c r="A124" s="15" t="s">
        <v>1334</v>
      </c>
      <c r="B124" s="40" t="s">
        <v>414</v>
      </c>
      <c r="C124" s="46">
        <v>45731</v>
      </c>
      <c r="D124" s="47" t="s">
        <v>1335</v>
      </c>
      <c r="E124" s="34">
        <v>8</v>
      </c>
      <c r="F124" s="33">
        <v>1007439822</v>
      </c>
      <c r="G124" s="34" t="s">
        <v>483</v>
      </c>
      <c r="H124" s="41" t="str">
        <v>PCC</v>
      </c>
      <c r="I124" s="41" t="str">
        <v>M</v>
      </c>
      <c r="J124" s="41" t="str">
        <v>M</v>
      </c>
      <c r="K124" s="41" t="str">
        <v>VESTIDOR HOMBRES</v>
      </c>
      <c r="L124" s="41"/>
      <c r="M124" s="41">
        <v>0</v>
      </c>
      <c r="N124" s="27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</row>
    <row r="125" spans="1:29" ht="23.25">
      <c r="A125" s="15" t="s">
        <v>1340</v>
      </c>
      <c r="B125" s="40" t="s">
        <v>593</v>
      </c>
      <c r="C125" s="46">
        <v>45736</v>
      </c>
      <c r="D125" s="47" t="s">
        <v>1341</v>
      </c>
      <c r="E125" s="34">
        <v>16</v>
      </c>
      <c r="F125" s="33">
        <v>1098721083</v>
      </c>
      <c r="G125" s="34" t="s">
        <v>1108</v>
      </c>
      <c r="H125" s="41" t="str">
        <v>LOG</v>
      </c>
      <c r="I125" s="41" t="str">
        <v>L</v>
      </c>
      <c r="J125" s="41" t="str">
        <v>XL</v>
      </c>
      <c r="K125" s="41" t="str">
        <v>VESTIDOR HOMBRES</v>
      </c>
      <c r="L125" s="41"/>
      <c r="M125" s="41">
        <v>0</v>
      </c>
      <c r="N125" s="27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</row>
    <row r="126" spans="1:29" ht="23.25">
      <c r="A126" s="15"/>
      <c r="B126" s="29"/>
      <c r="C126" s="46"/>
      <c r="D126" s="47"/>
      <c r="E126" s="34"/>
      <c r="F126" s="33" t="str">
        <v/>
      </c>
      <c r="G126" s="34"/>
      <c r="H126" s="41" t="str">
        <v/>
      </c>
      <c r="I126" s="41" t="str">
        <v/>
      </c>
      <c r="J126" s="41" t="str">
        <v/>
      </c>
      <c r="K126" s="41" t="str">
        <v/>
      </c>
      <c r="L126" s="41"/>
      <c r="M126" s="41" t="str">
        <v/>
      </c>
      <c r="N126" s="27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</row>
    <row r="127" spans="1:29" ht="23.25">
      <c r="A127" s="15" t="s">
        <v>1348</v>
      </c>
      <c r="B127" s="40" t="s">
        <v>309</v>
      </c>
      <c r="C127" s="46">
        <v>45736</v>
      </c>
      <c r="D127" s="47" t="s">
        <v>1351</v>
      </c>
      <c r="E127" s="34">
        <v>24</v>
      </c>
      <c r="F127" s="33">
        <v>1067036723</v>
      </c>
      <c r="G127" s="34" t="s">
        <v>1353</v>
      </c>
      <c r="H127" s="41" t="str">
        <v>LOG</v>
      </c>
      <c r="I127" s="41" t="str">
        <v>S</v>
      </c>
      <c r="J127" s="41" t="str">
        <v>M</v>
      </c>
      <c r="K127" s="41" t="str">
        <v>VESTIDOR HOMBRES</v>
      </c>
      <c r="L127" s="41"/>
      <c r="M127" s="41">
        <v>0</v>
      </c>
      <c r="N127" s="27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</row>
    <row r="128" spans="1:29" ht="23.25">
      <c r="A128" s="15"/>
      <c r="B128" s="55"/>
      <c r="C128" s="53"/>
      <c r="D128" s="17"/>
      <c r="E128" s="54"/>
      <c r="F128" s="33" t="str">
        <v/>
      </c>
      <c r="G128" s="34"/>
      <c r="H128" s="19" t="str">
        <v/>
      </c>
      <c r="I128" s="19" t="str">
        <v/>
      </c>
      <c r="J128" s="19" t="str">
        <v/>
      </c>
      <c r="K128" s="19" t="str">
        <v/>
      </c>
      <c r="L128" s="19"/>
      <c r="M128" s="19" t="str">
        <v/>
      </c>
      <c r="N128" s="27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</row>
    <row r="129" spans="1:29" ht="23.25">
      <c r="A129" s="15" t="s">
        <v>1363</v>
      </c>
      <c r="B129" s="40" t="s">
        <v>220</v>
      </c>
      <c r="C129" s="46">
        <v>45750</v>
      </c>
      <c r="D129" s="47" t="s">
        <v>1364</v>
      </c>
      <c r="E129" s="34">
        <v>14</v>
      </c>
      <c r="F129" s="33">
        <v>1234</v>
      </c>
      <c r="G129" s="34" t="s">
        <v>1079</v>
      </c>
      <c r="H129" s="41" t="str">
        <v>EXT</v>
      </c>
      <c r="I129" s="41" t="str">
        <v>M</v>
      </c>
      <c r="J129" s="41" t="str">
        <v>M</v>
      </c>
      <c r="K129" s="41" t="str">
        <v>VESTIDOR HOMBRES</v>
      </c>
      <c r="L129" s="41"/>
      <c r="M129" s="41">
        <v>0</v>
      </c>
      <c r="N129" s="27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</row>
    <row r="130" spans="1:29" ht="23.25">
      <c r="A130" s="15" t="s">
        <v>1369</v>
      </c>
      <c r="B130" s="40" t="s">
        <v>805</v>
      </c>
      <c r="C130" s="46">
        <v>45750</v>
      </c>
      <c r="D130" s="47" t="s">
        <v>1370</v>
      </c>
      <c r="E130" s="34">
        <v>14</v>
      </c>
      <c r="F130" s="33">
        <v>1005183907</v>
      </c>
      <c r="G130" s="34" t="s">
        <v>1306</v>
      </c>
      <c r="H130" s="41" t="str">
        <v>TIC</v>
      </c>
      <c r="I130" s="41" t="str">
        <v>M</v>
      </c>
      <c r="J130" s="41" t="str">
        <v>L</v>
      </c>
      <c r="K130" s="41" t="str">
        <v>ADMINISTRACION</v>
      </c>
      <c r="L130" s="41"/>
      <c r="M130" s="41">
        <v>0</v>
      </c>
      <c r="N130" s="27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</row>
    <row r="131" spans="1:29" ht="23.25">
      <c r="A131" s="15" t="s">
        <v>1374</v>
      </c>
      <c r="B131" s="52" t="s">
        <v>1375</v>
      </c>
      <c r="C131" s="53">
        <v>45768</v>
      </c>
      <c r="D131" s="17" t="s">
        <v>1378</v>
      </c>
      <c r="E131" s="54" t="s">
        <v>873</v>
      </c>
      <c r="F131" s="33">
        <v>1085098049</v>
      </c>
      <c r="G131" s="34" t="s">
        <v>1079</v>
      </c>
      <c r="H131" s="19" t="str">
        <v>LYD</v>
      </c>
      <c r="I131" s="19" t="str">
        <v>M</v>
      </c>
      <c r="J131" s="19" t="str">
        <v>S</v>
      </c>
      <c r="K131" s="19" t="str">
        <v>VESTIDOR HOMBRES</v>
      </c>
      <c r="L131" s="19"/>
      <c r="M131" s="19">
        <v>0</v>
      </c>
      <c r="N131" s="27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</row>
    <row r="132" spans="1:29" ht="23.25">
      <c r="A132" s="15"/>
      <c r="B132" s="55"/>
      <c r="C132" s="53"/>
      <c r="D132" s="17"/>
      <c r="E132" s="54"/>
      <c r="F132" s="33" t="str">
        <v/>
      </c>
      <c r="G132" s="34"/>
      <c r="H132" s="19" t="str">
        <v/>
      </c>
      <c r="I132" s="19" t="str">
        <v/>
      </c>
      <c r="J132" s="19" t="str">
        <v/>
      </c>
      <c r="K132" s="19" t="str">
        <v/>
      </c>
      <c r="L132" s="19"/>
      <c r="M132" s="19" t="str">
        <v/>
      </c>
      <c r="N132" s="27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</row>
    <row r="133" spans="1:29" ht="23.25">
      <c r="A133" s="15" t="s">
        <v>1387</v>
      </c>
      <c r="B133" s="52" t="s">
        <v>895</v>
      </c>
      <c r="C133" s="53">
        <v>45768</v>
      </c>
      <c r="D133" s="17" t="s">
        <v>1388</v>
      </c>
      <c r="E133" s="54" t="s">
        <v>36</v>
      </c>
      <c r="F133" s="33">
        <v>1128449677</v>
      </c>
      <c r="G133" s="34" t="s">
        <v>1113</v>
      </c>
      <c r="H133" s="19" t="str">
        <v>LN</v>
      </c>
      <c r="I133" s="19" t="str">
        <v>M</v>
      </c>
      <c r="J133" s="19" t="str">
        <v>M</v>
      </c>
      <c r="K133" s="19" t="str">
        <v>VESTIDOR HOMBRES</v>
      </c>
      <c r="L133" s="19"/>
      <c r="M133" s="19">
        <v>0</v>
      </c>
      <c r="N133" s="27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</row>
    <row r="134" spans="1:29" ht="23.25">
      <c r="A134" s="15"/>
      <c r="B134" s="55"/>
      <c r="C134" s="53"/>
      <c r="D134" s="17"/>
      <c r="E134" s="54"/>
      <c r="F134" s="33" t="str">
        <v/>
      </c>
      <c r="G134" s="34"/>
      <c r="H134" s="19" t="str">
        <v/>
      </c>
      <c r="I134" s="19" t="str">
        <v/>
      </c>
      <c r="J134" s="19" t="str">
        <v/>
      </c>
      <c r="K134" s="19" t="str">
        <v/>
      </c>
      <c r="L134" s="19"/>
      <c r="M134" s="19" t="str">
        <v/>
      </c>
      <c r="N134" s="27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</row>
    <row r="135" spans="1:29" ht="23.25">
      <c r="A135" s="15" t="s">
        <v>1397</v>
      </c>
      <c r="B135" s="52" t="s">
        <v>141</v>
      </c>
      <c r="C135" s="53">
        <v>45768</v>
      </c>
      <c r="D135" s="17" t="s">
        <v>1398</v>
      </c>
      <c r="E135" s="54" t="s">
        <v>180</v>
      </c>
      <c r="F135" s="33">
        <v>1102392032</v>
      </c>
      <c r="G135" s="34" t="s">
        <v>1267</v>
      </c>
      <c r="H135" s="19" t="str">
        <v>LYD</v>
      </c>
      <c r="I135" s="19" t="str">
        <v>M</v>
      </c>
      <c r="J135" s="19" t="str">
        <v>M</v>
      </c>
      <c r="K135" s="19" t="str">
        <v>VESTIDOR HOMBRES</v>
      </c>
      <c r="L135" s="19"/>
      <c r="M135" s="19">
        <v>0</v>
      </c>
      <c r="N135" s="27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</row>
    <row r="136" spans="1:29" ht="23.25">
      <c r="A136" s="15" t="s">
        <v>1404</v>
      </c>
      <c r="B136" s="52" t="s">
        <v>1406</v>
      </c>
      <c r="C136" s="53">
        <v>45768</v>
      </c>
      <c r="D136" s="17" t="s">
        <v>1407</v>
      </c>
      <c r="E136" s="54" t="s">
        <v>54</v>
      </c>
      <c r="F136" s="33">
        <v>1098773861</v>
      </c>
      <c r="G136" s="34" t="s">
        <v>1066</v>
      </c>
      <c r="H136" s="19" t="str">
        <v>LN</v>
      </c>
      <c r="I136" s="19" t="str">
        <v>M</v>
      </c>
      <c r="J136" s="19" t="str">
        <v>M</v>
      </c>
      <c r="K136" s="19" t="str">
        <v>VESTIDOR HOMBRES</v>
      </c>
      <c r="L136" s="19"/>
      <c r="M136" s="19">
        <v>0</v>
      </c>
      <c r="N136" s="27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</row>
    <row r="137" spans="1:29" ht="23.25">
      <c r="A137" s="15" t="s">
        <v>1413</v>
      </c>
      <c r="B137" s="52" t="s">
        <v>1245</v>
      </c>
      <c r="C137" s="53">
        <v>45769</v>
      </c>
      <c r="D137" s="17" t="s">
        <v>1414</v>
      </c>
      <c r="E137" s="54" t="s">
        <v>417</v>
      </c>
      <c r="F137" s="33">
        <v>1100891232</v>
      </c>
      <c r="G137" s="34" t="s">
        <v>223</v>
      </c>
      <c r="H137" s="19" t="str">
        <v>PCC</v>
      </c>
      <c r="I137" s="19" t="str">
        <v>L</v>
      </c>
      <c r="J137" s="19" t="str">
        <v>XXL</v>
      </c>
      <c r="K137" s="19" t="str">
        <v>VESTIDOR HOMBRES</v>
      </c>
      <c r="L137" s="19"/>
      <c r="M137" s="19">
        <v>0</v>
      </c>
      <c r="N137" s="27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</row>
    <row r="138" spans="1:29" ht="23.25">
      <c r="A138" s="15" t="s">
        <v>1418</v>
      </c>
      <c r="B138" s="40" t="s">
        <v>1419</v>
      </c>
      <c r="C138" s="46">
        <v>45793</v>
      </c>
      <c r="D138" s="57" t="s">
        <v>1420</v>
      </c>
      <c r="E138" s="34">
        <v>21</v>
      </c>
      <c r="F138" s="33">
        <v>1100340174</v>
      </c>
      <c r="G138" s="34" t="s">
        <v>1424</v>
      </c>
      <c r="H138" s="41" t="str">
        <v>LOG</v>
      </c>
      <c r="I138" s="41" t="str">
        <v>L</v>
      </c>
      <c r="J138" s="41" t="str">
        <v>L</v>
      </c>
      <c r="K138" s="41" t="str">
        <v>VESTIDOR HOMBRES</v>
      </c>
      <c r="L138" s="41"/>
      <c r="M138" s="41">
        <v>0</v>
      </c>
      <c r="N138" s="27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</row>
    <row r="139" spans="1:29" ht="23.25">
      <c r="A139" s="15"/>
      <c r="B139" s="29"/>
      <c r="C139" s="46"/>
      <c r="D139" s="47"/>
      <c r="E139" s="34"/>
      <c r="F139" s="33" t="str">
        <v/>
      </c>
      <c r="G139" s="34"/>
      <c r="H139" s="41" t="str">
        <v/>
      </c>
      <c r="I139" s="41" t="str">
        <v/>
      </c>
      <c r="J139" s="41" t="str">
        <v/>
      </c>
      <c r="K139" s="41" t="str">
        <v/>
      </c>
      <c r="L139" s="41"/>
      <c r="M139" s="41" t="str">
        <v/>
      </c>
      <c r="N139" s="27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</row>
    <row r="140" spans="1:29" ht="23.25">
      <c r="A140" s="15" t="s">
        <v>1428</v>
      </c>
      <c r="B140" s="52" t="s">
        <v>1429</v>
      </c>
      <c r="C140" s="53">
        <v>45813</v>
      </c>
      <c r="D140" s="17" t="s">
        <v>1430</v>
      </c>
      <c r="E140" s="54" t="s">
        <v>385</v>
      </c>
      <c r="F140" s="33">
        <v>6016865</v>
      </c>
      <c r="G140" s="34" t="s">
        <v>422</v>
      </c>
      <c r="H140" s="19" t="str">
        <v>PCC</v>
      </c>
      <c r="I140" s="19" t="str">
        <v>M</v>
      </c>
      <c r="J140" s="19" t="str">
        <v>M</v>
      </c>
      <c r="K140" s="19" t="str">
        <v>VESTIDOR HOMBRES</v>
      </c>
      <c r="L140" s="19"/>
      <c r="M140" s="19">
        <v>0</v>
      </c>
      <c r="N140" s="27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</row>
    <row r="141" spans="1:29" ht="23.25">
      <c r="A141" s="15" t="s">
        <v>1435</v>
      </c>
      <c r="B141" s="40" t="s">
        <v>541</v>
      </c>
      <c r="C141" s="46">
        <v>45841</v>
      </c>
      <c r="D141" s="47" t="s">
        <v>1436</v>
      </c>
      <c r="E141" s="34">
        <v>12</v>
      </c>
      <c r="F141" s="33">
        <v>1091132817</v>
      </c>
      <c r="G141" s="34" t="s">
        <v>742</v>
      </c>
      <c r="H141" s="41" t="str">
        <v>LN</v>
      </c>
      <c r="I141" s="41" t="str">
        <v>M</v>
      </c>
      <c r="J141" s="41" t="str">
        <v>L</v>
      </c>
      <c r="K141" s="41" t="str">
        <v>VESTIDOR HOMBRES</v>
      </c>
      <c r="L141" s="41"/>
      <c r="M141" s="41">
        <v>0</v>
      </c>
      <c r="N141" s="27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</row>
    <row r="142" spans="1:29" ht="23.25">
      <c r="A142" s="15" t="s">
        <v>1441</v>
      </c>
      <c r="B142" s="52" t="s">
        <v>372</v>
      </c>
      <c r="C142" s="53">
        <v>45841</v>
      </c>
      <c r="D142" s="17" t="s">
        <v>1442</v>
      </c>
      <c r="E142" s="54" t="s">
        <v>136</v>
      </c>
      <c r="F142" s="33">
        <v>1098740267</v>
      </c>
      <c r="G142" s="34" t="s">
        <v>1445</v>
      </c>
      <c r="H142" s="19" t="str">
        <v>LOG</v>
      </c>
      <c r="I142" s="19" t="str">
        <v>XL</v>
      </c>
      <c r="J142" s="19" t="str">
        <v>L</v>
      </c>
      <c r="K142" s="19" t="str">
        <v>VESTIDOR HOMBRES</v>
      </c>
      <c r="L142" s="19"/>
      <c r="M142" s="19">
        <v>0</v>
      </c>
      <c r="N142" s="27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</row>
    <row r="143" spans="1:29" ht="23.25">
      <c r="A143" s="15" t="s">
        <v>1449</v>
      </c>
      <c r="B143" s="40" t="s">
        <v>500</v>
      </c>
      <c r="C143" s="46">
        <v>45841</v>
      </c>
      <c r="D143" s="47" t="s">
        <v>1451</v>
      </c>
      <c r="E143" s="34">
        <v>17</v>
      </c>
      <c r="F143" s="33">
        <v>1072752876</v>
      </c>
      <c r="G143" s="34" t="s">
        <v>1452</v>
      </c>
      <c r="H143" s="41" t="str">
        <v>CAL</v>
      </c>
      <c r="I143" s="41" t="str">
        <v>XXL</v>
      </c>
      <c r="J143" s="41" t="str">
        <v>XXXL</v>
      </c>
      <c r="K143" s="41" t="str">
        <v>ADMINISTRACION</v>
      </c>
      <c r="L143" s="41"/>
      <c r="M143" s="41">
        <v>0</v>
      </c>
      <c r="N143" s="27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</row>
    <row r="144" spans="1:29" ht="23.25">
      <c r="A144" s="15" t="s">
        <v>1457</v>
      </c>
      <c r="B144" s="52" t="s">
        <v>833</v>
      </c>
      <c r="C144" s="53">
        <v>45841</v>
      </c>
      <c r="D144" s="17" t="s">
        <v>1458</v>
      </c>
      <c r="E144" s="54" t="s">
        <v>417</v>
      </c>
      <c r="F144" s="33">
        <v>1116811061</v>
      </c>
      <c r="G144" s="34" t="s">
        <v>1460</v>
      </c>
      <c r="H144" s="19" t="str">
        <v>LOG</v>
      </c>
      <c r="I144" s="19" t="str">
        <v>XXL</v>
      </c>
      <c r="J144" s="19" t="str">
        <v>XL</v>
      </c>
      <c r="K144" s="19" t="str">
        <v>VESTIDOR HOMBRES</v>
      </c>
      <c r="L144" s="19"/>
      <c r="M144" s="19">
        <v>0</v>
      </c>
      <c r="N144" s="27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</row>
    <row r="145" spans="1:29" ht="23.25">
      <c r="A145" s="15" t="s">
        <v>1465</v>
      </c>
      <c r="B145" s="40" t="s">
        <v>1295</v>
      </c>
      <c r="C145" s="46">
        <v>45841</v>
      </c>
      <c r="D145" s="47" t="s">
        <v>1466</v>
      </c>
      <c r="E145" s="34">
        <v>12</v>
      </c>
      <c r="F145" s="33">
        <v>1095835855</v>
      </c>
      <c r="G145" s="34" t="s">
        <v>1467</v>
      </c>
      <c r="H145" s="41" t="str">
        <v>CAL</v>
      </c>
      <c r="I145" s="41" t="str">
        <v>L</v>
      </c>
      <c r="J145" s="41" t="str">
        <v>L</v>
      </c>
      <c r="K145" s="41" t="str">
        <v>VESTIDOR MUJERES</v>
      </c>
      <c r="L145" s="41"/>
      <c r="M145" s="41">
        <v>0</v>
      </c>
      <c r="N145" s="27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</row>
    <row r="146" spans="1:29" ht="23.25">
      <c r="A146" s="15"/>
      <c r="B146" s="29"/>
      <c r="C146" s="46"/>
      <c r="D146" s="47"/>
      <c r="E146" s="34"/>
      <c r="F146" s="33" t="str">
        <v/>
      </c>
      <c r="G146" s="34"/>
      <c r="H146" s="41" t="str">
        <v/>
      </c>
      <c r="I146" s="41" t="str">
        <v/>
      </c>
      <c r="J146" s="41" t="str">
        <v/>
      </c>
      <c r="K146" s="41" t="str">
        <v/>
      </c>
      <c r="L146" s="41"/>
      <c r="M146" s="41" t="str">
        <v/>
      </c>
      <c r="N146" s="27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</row>
    <row r="147" spans="1:29" ht="23.25">
      <c r="A147" s="15" t="s">
        <v>1474</v>
      </c>
      <c r="B147" s="40" t="s">
        <v>1475</v>
      </c>
      <c r="C147" s="46">
        <v>45896</v>
      </c>
      <c r="D147" s="47" t="s">
        <v>1476</v>
      </c>
      <c r="E147" s="34">
        <v>20</v>
      </c>
      <c r="F147" s="33">
        <v>91528922</v>
      </c>
      <c r="G147" s="34" t="s">
        <v>1143</v>
      </c>
      <c r="H147" s="41" t="str">
        <v>LOG</v>
      </c>
      <c r="I147" s="41" t="str">
        <v>S</v>
      </c>
      <c r="J147" s="41" t="str">
        <v>M</v>
      </c>
      <c r="K147" s="41" t="str">
        <v>VESTIDOR HOMBRES</v>
      </c>
      <c r="L147" s="41"/>
      <c r="M147" s="41">
        <v>0</v>
      </c>
      <c r="N147" s="27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</row>
    <row r="148" spans="1:29" ht="23.25">
      <c r="A148" s="15" t="s">
        <v>1480</v>
      </c>
      <c r="B148" s="40" t="s">
        <v>1304</v>
      </c>
      <c r="C148" s="46">
        <v>45896</v>
      </c>
      <c r="D148" s="47" t="s">
        <v>1483</v>
      </c>
      <c r="E148" s="34">
        <v>9</v>
      </c>
      <c r="F148" s="33">
        <v>1005798910</v>
      </c>
      <c r="G148" s="34" t="s">
        <v>1485</v>
      </c>
      <c r="H148" s="41" t="str">
        <v>LOG</v>
      </c>
      <c r="I148" s="41" t="str">
        <v>L</v>
      </c>
      <c r="J148" s="41" t="str">
        <v>M</v>
      </c>
      <c r="K148" s="41" t="str">
        <v>VESTIDOR HOMBRES</v>
      </c>
      <c r="L148" s="28"/>
      <c r="M148" s="41">
        <v>0</v>
      </c>
      <c r="N148" s="27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</row>
    <row r="149" spans="1:29" ht="23.25">
      <c r="A149" s="15" t="s">
        <v>1487</v>
      </c>
      <c r="B149" s="40" t="s">
        <v>1489</v>
      </c>
      <c r="C149" s="46">
        <v>45896</v>
      </c>
      <c r="D149" s="47" t="s">
        <v>1491</v>
      </c>
      <c r="E149" s="34">
        <v>7</v>
      </c>
      <c r="F149" s="33">
        <v>1005340980</v>
      </c>
      <c r="G149" s="34" t="s">
        <v>1493</v>
      </c>
      <c r="H149" s="41" t="str">
        <v>LOG</v>
      </c>
      <c r="I149" s="41" t="str">
        <v>L</v>
      </c>
      <c r="J149" s="41" t="str">
        <v>M</v>
      </c>
      <c r="K149" s="41" t="str">
        <v>VESTIDOR HOMBRES</v>
      </c>
      <c r="L149" s="41"/>
      <c r="M149" s="41">
        <v>0</v>
      </c>
      <c r="N149" s="27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</row>
    <row r="150" spans="1:29" ht="23.25">
      <c r="A150" s="15" t="s">
        <v>1494</v>
      </c>
      <c r="B150" s="40" t="s">
        <v>1261</v>
      </c>
      <c r="C150" s="46">
        <v>45896</v>
      </c>
      <c r="D150" s="47" t="s">
        <v>1495</v>
      </c>
      <c r="E150" s="34">
        <v>26</v>
      </c>
      <c r="F150" s="33">
        <v>5446735</v>
      </c>
      <c r="G150" s="34" t="s">
        <v>1497</v>
      </c>
      <c r="H150" s="41" t="str">
        <v>LOG</v>
      </c>
      <c r="I150" s="41" t="str">
        <v>M</v>
      </c>
      <c r="J150" s="41" t="str">
        <v>S</v>
      </c>
      <c r="K150" s="41" t="str">
        <v>VESTIDOR HOMBRES</v>
      </c>
      <c r="L150" s="41"/>
      <c r="M150" s="41">
        <v>0</v>
      </c>
      <c r="N150" s="27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</row>
    <row r="151" spans="1:29" ht="23.25">
      <c r="A151" s="15" t="s">
        <v>1500</v>
      </c>
      <c r="B151" s="52" t="s">
        <v>471</v>
      </c>
      <c r="C151" s="53">
        <v>45937</v>
      </c>
      <c r="D151" s="17" t="s">
        <v>1503</v>
      </c>
      <c r="E151" s="54" t="s">
        <v>408</v>
      </c>
      <c r="F151" s="33">
        <v>1005157454</v>
      </c>
      <c r="G151" s="34" t="s">
        <v>185</v>
      </c>
      <c r="H151" s="19" t="str">
        <v>PCC</v>
      </c>
      <c r="I151" s="19" t="str">
        <v>M</v>
      </c>
      <c r="J151" s="19" t="str">
        <v>XL</v>
      </c>
      <c r="K151" s="19" t="str">
        <v>VESTIDOR HOMBRES</v>
      </c>
      <c r="L151" s="19"/>
      <c r="M151" s="19">
        <v>0</v>
      </c>
      <c r="N151" s="27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</row>
    <row r="152" spans="1:29" ht="23.25">
      <c r="A152" s="15" t="s">
        <v>1508</v>
      </c>
      <c r="B152" s="40" t="s">
        <v>464</v>
      </c>
      <c r="C152" s="46">
        <v>45937</v>
      </c>
      <c r="D152" s="47" t="s">
        <v>1510</v>
      </c>
      <c r="E152" s="34">
        <v>29</v>
      </c>
      <c r="F152" s="33">
        <v>1093590970</v>
      </c>
      <c r="G152" s="34" t="s">
        <v>978</v>
      </c>
      <c r="H152" s="41" t="str">
        <v>LN</v>
      </c>
      <c r="I152" s="41" t="str">
        <v>M</v>
      </c>
      <c r="J152" s="41" t="str">
        <v>L</v>
      </c>
      <c r="K152" s="41" t="str">
        <v>VESTIDOR HOMBRES</v>
      </c>
      <c r="L152" s="41"/>
      <c r="M152" s="41">
        <v>0</v>
      </c>
      <c r="N152" s="27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</row>
    <row r="153" spans="1:29" ht="23.25">
      <c r="A153" s="15" t="s">
        <v>1514</v>
      </c>
      <c r="B153" s="40" t="s">
        <v>128</v>
      </c>
      <c r="C153" s="46">
        <v>45937</v>
      </c>
      <c r="D153" s="47" t="s">
        <v>1515</v>
      </c>
      <c r="E153" s="34">
        <v>41</v>
      </c>
      <c r="F153" s="33">
        <v>1007898456</v>
      </c>
      <c r="G153" s="34" t="s">
        <v>931</v>
      </c>
      <c r="H153" s="41" t="str">
        <v>LN</v>
      </c>
      <c r="I153" s="41" t="str">
        <v>M</v>
      </c>
      <c r="J153" s="41" t="str">
        <v>L</v>
      </c>
      <c r="K153" s="41" t="str">
        <v>VESTIDOR HOMBRES</v>
      </c>
      <c r="L153" s="41"/>
      <c r="M153" s="41">
        <v>0</v>
      </c>
      <c r="N153" s="27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</row>
    <row r="154" spans="1:29" ht="23.25">
      <c r="A154" s="15" t="s">
        <v>1520</v>
      </c>
      <c r="B154" s="40" t="s">
        <v>1521</v>
      </c>
      <c r="C154" s="46">
        <v>45937</v>
      </c>
      <c r="D154" s="47" t="s">
        <v>1522</v>
      </c>
      <c r="E154" s="34">
        <v>53</v>
      </c>
      <c r="F154" s="33">
        <v>1098754943</v>
      </c>
      <c r="G154" s="34" t="s">
        <v>1196</v>
      </c>
      <c r="H154" s="41" t="str">
        <v>LN</v>
      </c>
      <c r="I154" s="41" t="str">
        <v>M</v>
      </c>
      <c r="J154" s="41" t="str">
        <v>M</v>
      </c>
      <c r="K154" s="41" t="str">
        <v>VESTIDOR HOMBRES</v>
      </c>
      <c r="L154" s="41"/>
      <c r="M154" s="41">
        <v>0</v>
      </c>
      <c r="N154" s="27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</row>
    <row r="155" spans="1:29" ht="23.25">
      <c r="A155" s="15" t="s">
        <v>1526</v>
      </c>
      <c r="B155" s="40" t="s">
        <v>1527</v>
      </c>
      <c r="C155" s="46">
        <v>45937</v>
      </c>
      <c r="D155" s="47" t="s">
        <v>1528</v>
      </c>
      <c r="E155" s="34">
        <v>17</v>
      </c>
      <c r="F155" s="33">
        <v>1234340676</v>
      </c>
      <c r="G155" s="34" t="s">
        <v>1531</v>
      </c>
      <c r="H155" s="41" t="str">
        <v>LYD</v>
      </c>
      <c r="I155" s="41" t="str">
        <v>M</v>
      </c>
      <c r="J155" s="41" t="str">
        <v>M</v>
      </c>
      <c r="K155" s="41" t="str">
        <v>VESTIDOR HOMBRES</v>
      </c>
      <c r="L155" s="41"/>
      <c r="M155" s="41">
        <v>0</v>
      </c>
      <c r="N155" s="27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</row>
    <row r="156" spans="1:29" ht="23.25">
      <c r="A156" s="15" t="s">
        <v>1539</v>
      </c>
      <c r="B156" s="40" t="s">
        <v>1178</v>
      </c>
      <c r="C156" s="46">
        <v>45938</v>
      </c>
      <c r="D156" s="47" t="s">
        <v>1545</v>
      </c>
      <c r="E156" s="34">
        <v>19</v>
      </c>
      <c r="F156" s="33">
        <v>1095956697</v>
      </c>
      <c r="G156" s="34" t="s">
        <v>460</v>
      </c>
      <c r="H156" s="41" t="str">
        <v>PCC</v>
      </c>
      <c r="I156" s="41" t="str">
        <v>M</v>
      </c>
      <c r="J156" s="41" t="str">
        <v>M</v>
      </c>
      <c r="K156" s="41" t="str">
        <v>VESTIDOR HOMBRES</v>
      </c>
      <c r="L156" s="41"/>
      <c r="M156" s="41">
        <v>0</v>
      </c>
      <c r="N156" s="27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</row>
    <row r="157" spans="1:29" ht="23.25">
      <c r="A157" s="15" t="s">
        <v>1566</v>
      </c>
      <c r="B157" s="40" t="s">
        <v>295</v>
      </c>
      <c r="C157" s="46">
        <v>45938</v>
      </c>
      <c r="D157" s="49" t="s">
        <v>1567</v>
      </c>
      <c r="E157" s="34">
        <v>22</v>
      </c>
      <c r="F157" s="33">
        <v>1020467674</v>
      </c>
      <c r="G157" s="34" t="s">
        <v>1215</v>
      </c>
      <c r="H157" s="41" t="str">
        <v>LN</v>
      </c>
      <c r="I157" s="41" t="str">
        <v>M</v>
      </c>
      <c r="J157" s="41" t="str">
        <v>L</v>
      </c>
      <c r="K157" s="41" t="str">
        <v>VESTIDOR HOMBRES</v>
      </c>
      <c r="L157" s="41"/>
      <c r="M157" s="41">
        <v>0</v>
      </c>
      <c r="N157" s="27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</row>
    <row r="158" spans="1:29" ht="23.25">
      <c r="A158" s="15" t="s">
        <v>1575</v>
      </c>
      <c r="B158" s="40" t="s">
        <v>580</v>
      </c>
      <c r="C158" s="46">
        <v>45944</v>
      </c>
      <c r="D158" s="47" t="s">
        <v>1578</v>
      </c>
      <c r="E158" s="34">
        <v>19</v>
      </c>
      <c r="F158" s="33">
        <v>1005154090</v>
      </c>
      <c r="G158" s="34" t="s">
        <v>1354</v>
      </c>
      <c r="H158" s="41" t="str">
        <v>LOG</v>
      </c>
      <c r="I158" s="41" t="str">
        <v>XL</v>
      </c>
      <c r="J158" s="41" t="str">
        <v>XL</v>
      </c>
      <c r="K158" s="41" t="str">
        <v>VESTIDOR HOMBRES</v>
      </c>
      <c r="L158" s="41"/>
      <c r="M158" s="41">
        <v>0</v>
      </c>
      <c r="N158" s="27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</row>
    <row r="159" spans="1:29" ht="23.25">
      <c r="A159" s="15" t="s">
        <v>1585</v>
      </c>
      <c r="B159" s="40" t="s">
        <v>689</v>
      </c>
      <c r="C159" s="46">
        <v>46038</v>
      </c>
      <c r="D159" s="47" t="s">
        <v>1587</v>
      </c>
      <c r="E159" s="34">
        <v>32</v>
      </c>
      <c r="F159" s="33">
        <v>1096199279</v>
      </c>
      <c r="G159" s="34" t="s">
        <v>1067</v>
      </c>
      <c r="H159" s="41" t="str">
        <v>LN</v>
      </c>
      <c r="I159" s="41" t="str">
        <v>L</v>
      </c>
      <c r="J159" s="41" t="str">
        <v>M</v>
      </c>
      <c r="K159" s="41" t="str">
        <v>VESTIDOR HOMBRES</v>
      </c>
      <c r="L159" s="41"/>
      <c r="M159" s="41">
        <v>0</v>
      </c>
      <c r="N159" s="27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</row>
    <row r="160" spans="1:29" ht="23.25">
      <c r="A160" s="15" t="s">
        <v>1594</v>
      </c>
      <c r="B160" s="52" t="s">
        <v>162</v>
      </c>
      <c r="C160" s="53">
        <v>46038</v>
      </c>
      <c r="D160" s="17" t="s">
        <v>1595</v>
      </c>
      <c r="E160" s="54" t="s">
        <v>44</v>
      </c>
      <c r="F160" s="33">
        <v>5393615</v>
      </c>
      <c r="G160" s="34" t="s">
        <v>1391</v>
      </c>
      <c r="H160" s="19" t="str">
        <v>LYD</v>
      </c>
      <c r="I160" s="19" t="str">
        <v>M</v>
      </c>
      <c r="J160" s="19" t="str">
        <v>M</v>
      </c>
      <c r="K160" s="19" t="str">
        <v>VESTIDOR HOMBRES</v>
      </c>
      <c r="L160" s="19"/>
      <c r="M160" s="19">
        <v>0</v>
      </c>
      <c r="N160" s="27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</row>
    <row r="161" spans="1:29" ht="23.25">
      <c r="A161" s="15"/>
      <c r="B161" s="29"/>
      <c r="C161" s="46"/>
      <c r="D161" s="47"/>
      <c r="E161" s="34"/>
      <c r="F161" s="33" t="str">
        <v/>
      </c>
      <c r="G161" s="34"/>
      <c r="H161" s="41" t="str">
        <v/>
      </c>
      <c r="I161" s="41" t="str">
        <v/>
      </c>
      <c r="J161" s="41" t="str">
        <v/>
      </c>
      <c r="K161" s="41" t="str">
        <v/>
      </c>
      <c r="L161" s="41"/>
      <c r="M161" s="41" t="str">
        <v/>
      </c>
      <c r="N161" s="27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</row>
    <row r="162" spans="1:29" ht="23.25">
      <c r="A162" s="15" t="s">
        <v>1609</v>
      </c>
      <c r="B162" s="52" t="s">
        <v>676</v>
      </c>
      <c r="C162" s="53">
        <v>46038</v>
      </c>
      <c r="D162" s="17" t="s">
        <v>1611</v>
      </c>
      <c r="E162" s="54" t="s">
        <v>1048</v>
      </c>
      <c r="F162" s="33">
        <v>1097912307</v>
      </c>
      <c r="G162" s="34" t="s">
        <v>1101</v>
      </c>
      <c r="H162" s="19" t="str">
        <v>LN</v>
      </c>
      <c r="I162" s="19" t="str">
        <v>L</v>
      </c>
      <c r="J162" s="19" t="str">
        <v>M</v>
      </c>
      <c r="K162" s="19" t="str">
        <v>VESTIDOR HOMBRES</v>
      </c>
      <c r="L162" s="19"/>
      <c r="M162" s="19">
        <v>0</v>
      </c>
      <c r="N162" s="27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</row>
    <row r="163" spans="1:29" ht="23.25">
      <c r="A163" s="15"/>
      <c r="B163" s="29"/>
      <c r="C163" s="46"/>
      <c r="D163" s="47"/>
      <c r="E163" s="34"/>
      <c r="F163" s="33" t="str">
        <v/>
      </c>
      <c r="G163" s="34"/>
      <c r="H163" s="41" t="str">
        <v/>
      </c>
      <c r="I163" s="41" t="str">
        <v/>
      </c>
      <c r="J163" s="41" t="str">
        <v/>
      </c>
      <c r="K163" s="41" t="str">
        <v/>
      </c>
      <c r="L163" s="41"/>
      <c r="M163" s="41" t="str">
        <v/>
      </c>
      <c r="N163" s="27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</row>
    <row r="164" spans="1:29" ht="23.25">
      <c r="A164" s="15"/>
      <c r="B164" s="29"/>
      <c r="C164" s="46"/>
      <c r="D164" s="47"/>
      <c r="E164" s="34"/>
      <c r="F164" s="33" t="str">
        <v/>
      </c>
      <c r="G164" s="34"/>
      <c r="H164" s="41" t="str">
        <v/>
      </c>
      <c r="I164" s="41" t="str">
        <v/>
      </c>
      <c r="J164" s="41" t="str">
        <v/>
      </c>
      <c r="K164" s="41" t="str">
        <v/>
      </c>
      <c r="L164" s="41"/>
      <c r="M164" s="41" t="str">
        <v/>
      </c>
      <c r="N164" s="27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</row>
    <row r="165" spans="1:29" ht="23.25">
      <c r="A165" s="15" t="s">
        <v>1628</v>
      </c>
      <c r="B165" s="40" t="s">
        <v>238</v>
      </c>
      <c r="C165" s="46">
        <v>46038</v>
      </c>
      <c r="D165" s="47" t="s">
        <v>1631</v>
      </c>
      <c r="E165" s="34">
        <v>6</v>
      </c>
      <c r="F165" s="33">
        <v>1063971816</v>
      </c>
      <c r="G165" s="34" t="s">
        <v>1191</v>
      </c>
      <c r="H165" s="41" t="str">
        <v>LOG</v>
      </c>
      <c r="I165" s="41" t="str">
        <v>L</v>
      </c>
      <c r="J165" s="41" t="str">
        <v>L</v>
      </c>
      <c r="K165" s="41" t="str">
        <v>VESTIDOR HOMBRES</v>
      </c>
      <c r="L165" s="41"/>
      <c r="M165" s="41">
        <v>0</v>
      </c>
      <c r="N165" s="27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</row>
    <row r="166" spans="1:29" ht="23.25">
      <c r="A166" s="15" t="s">
        <v>1636</v>
      </c>
      <c r="B166" s="40" t="s">
        <v>42</v>
      </c>
      <c r="C166" s="46">
        <v>46038</v>
      </c>
      <c r="D166" s="47" t="s">
        <v>1639</v>
      </c>
      <c r="E166" s="34">
        <v>43</v>
      </c>
      <c r="F166" s="33">
        <v>1005236253</v>
      </c>
      <c r="G166" s="34" t="s">
        <v>622</v>
      </c>
      <c r="H166" s="41" t="str">
        <v>PCC</v>
      </c>
      <c r="I166" s="41" t="str">
        <v>XL</v>
      </c>
      <c r="J166" s="41" t="str">
        <v>XL</v>
      </c>
      <c r="K166" s="41" t="str">
        <v>VESTIDOR HOMBRES</v>
      </c>
      <c r="L166" s="41"/>
      <c r="M166" s="41">
        <v>0</v>
      </c>
      <c r="N166" s="27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</row>
    <row r="167" spans="1:29" ht="23.25">
      <c r="A167" s="15" t="s">
        <v>1644</v>
      </c>
      <c r="B167" s="40" t="s">
        <v>870</v>
      </c>
      <c r="C167" s="46">
        <v>46038</v>
      </c>
      <c r="D167" s="47" t="s">
        <v>1648</v>
      </c>
      <c r="E167" s="34">
        <v>28</v>
      </c>
      <c r="F167" s="33">
        <v>1010032387</v>
      </c>
      <c r="G167" s="34" t="s">
        <v>1650</v>
      </c>
      <c r="H167" s="41" t="str">
        <v>CAL</v>
      </c>
      <c r="I167" s="41" t="str">
        <v>L</v>
      </c>
      <c r="J167" s="41" t="str">
        <v>M</v>
      </c>
      <c r="K167" s="41" t="str">
        <v>ADMINISTRACION</v>
      </c>
      <c r="L167" s="41"/>
      <c r="M167" s="41">
        <v>0</v>
      </c>
      <c r="N167" s="27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</row>
    <row r="168" spans="1:29" ht="23.25">
      <c r="A168" s="15"/>
      <c r="B168" s="29"/>
      <c r="C168" s="46"/>
      <c r="D168" s="47"/>
      <c r="E168" s="34"/>
      <c r="F168" s="33" t="str">
        <v/>
      </c>
      <c r="G168" s="34"/>
      <c r="H168" s="41" t="str">
        <v/>
      </c>
      <c r="I168" s="41" t="str">
        <v/>
      </c>
      <c r="J168" s="41" t="str">
        <v/>
      </c>
      <c r="K168" s="41" t="str">
        <v/>
      </c>
      <c r="L168" s="41"/>
      <c r="M168" s="41" t="str">
        <v/>
      </c>
      <c r="N168" s="27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</row>
    <row r="169" spans="1:29" ht="23.25">
      <c r="A169" s="15"/>
      <c r="B169" s="29"/>
      <c r="C169" s="46"/>
      <c r="D169" s="47"/>
      <c r="E169" s="34"/>
      <c r="F169" s="33" t="str">
        <v/>
      </c>
      <c r="G169" s="34"/>
      <c r="H169" s="41" t="str">
        <v/>
      </c>
      <c r="I169" s="41" t="str">
        <v/>
      </c>
      <c r="J169" s="41" t="str">
        <v/>
      </c>
      <c r="K169" s="41" t="str">
        <v/>
      </c>
      <c r="L169" s="41"/>
      <c r="M169" s="41" t="str">
        <v/>
      </c>
      <c r="N169" s="27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</row>
    <row r="170" spans="1:29" ht="23.25">
      <c r="A170" s="15" t="s">
        <v>1668</v>
      </c>
      <c r="B170" s="40" t="s">
        <v>1670</v>
      </c>
      <c r="C170" s="46">
        <v>46038</v>
      </c>
      <c r="D170" s="47" t="s">
        <v>1671</v>
      </c>
      <c r="E170" s="34">
        <v>14</v>
      </c>
      <c r="F170" s="33">
        <v>1004501556</v>
      </c>
      <c r="G170" s="34" t="s">
        <v>1519</v>
      </c>
      <c r="H170" s="41" t="str">
        <v>LYD</v>
      </c>
      <c r="I170" s="41" t="str">
        <v>M</v>
      </c>
      <c r="J170" s="41" t="str">
        <v>M</v>
      </c>
      <c r="K170" s="41" t="str">
        <v>VESTIDOR HOMBRES</v>
      </c>
      <c r="L170" s="41"/>
      <c r="M170" s="41">
        <v>0</v>
      </c>
      <c r="N170" s="27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</row>
    <row r="171" spans="1:29" ht="23.25">
      <c r="A171" s="15" t="s">
        <v>1679</v>
      </c>
      <c r="B171" s="40" t="s">
        <v>1093</v>
      </c>
      <c r="C171" s="46">
        <v>46048</v>
      </c>
      <c r="D171" s="47" t="s">
        <v>1681</v>
      </c>
      <c r="E171" s="34">
        <v>49</v>
      </c>
      <c r="F171" s="33">
        <v>91047085</v>
      </c>
      <c r="G171" s="34" t="s">
        <v>376</v>
      </c>
      <c r="H171" s="41" t="str">
        <v>PCC</v>
      </c>
      <c r="I171" s="41" t="str">
        <v>XL</v>
      </c>
      <c r="J171" s="41" t="str">
        <v>M</v>
      </c>
      <c r="K171" s="41" t="str">
        <v>VESTIDOR HOMBRES</v>
      </c>
      <c r="L171" s="41"/>
      <c r="M171" s="41">
        <v>0</v>
      </c>
      <c r="N171" s="27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</row>
    <row r="172" spans="1:29" ht="23.25">
      <c r="A172" s="15" t="s">
        <v>1688</v>
      </c>
      <c r="B172" s="40" t="s">
        <v>1146</v>
      </c>
      <c r="C172" s="46">
        <v>46048</v>
      </c>
      <c r="D172" s="47" t="s">
        <v>1690</v>
      </c>
      <c r="E172" s="34">
        <v>39</v>
      </c>
      <c r="F172" s="33">
        <v>91468085</v>
      </c>
      <c r="G172" s="34" t="s">
        <v>304</v>
      </c>
      <c r="H172" s="41" t="str">
        <v>PCC</v>
      </c>
      <c r="I172" s="41" t="str">
        <v>L</v>
      </c>
      <c r="J172" s="41" t="str">
        <v>XS</v>
      </c>
      <c r="K172" s="41" t="str">
        <v>VESTIDOR HOMBRES</v>
      </c>
      <c r="L172" s="41"/>
      <c r="M172" s="41">
        <v>0</v>
      </c>
      <c r="N172" s="27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</row>
    <row r="173" spans="1:29" ht="23.25">
      <c r="A173" s="15"/>
      <c r="B173" s="55"/>
      <c r="C173" s="53"/>
      <c r="D173" s="17"/>
      <c r="E173" s="54"/>
      <c r="F173" s="33" t="str">
        <v/>
      </c>
      <c r="G173" s="34"/>
      <c r="H173" s="19" t="str">
        <v/>
      </c>
      <c r="I173" s="19" t="str">
        <v/>
      </c>
      <c r="J173" s="19" t="str">
        <v/>
      </c>
      <c r="K173" s="19" t="str">
        <v/>
      </c>
      <c r="L173" s="19"/>
      <c r="M173" s="19" t="str">
        <v/>
      </c>
      <c r="N173" s="27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</row>
    <row r="174" spans="1:29" ht="23.25">
      <c r="A174" s="15" t="s">
        <v>1704</v>
      </c>
      <c r="B174" s="40" t="s">
        <v>1705</v>
      </c>
      <c r="C174" s="46">
        <v>46086</v>
      </c>
      <c r="D174" s="47" t="s">
        <v>1706</v>
      </c>
      <c r="E174" s="34">
        <v>23</v>
      </c>
      <c r="F174" s="33">
        <v>1127604257</v>
      </c>
      <c r="G174" s="34" t="s">
        <v>1365</v>
      </c>
      <c r="H174" s="41" t="str">
        <v>LYD</v>
      </c>
      <c r="I174" s="41" t="str">
        <v>XL</v>
      </c>
      <c r="J174" s="41" t="str">
        <v>L</v>
      </c>
      <c r="K174" s="41" t="str">
        <v>VESTIDOR HOMBRES</v>
      </c>
      <c r="L174" s="41"/>
      <c r="M174" s="41">
        <v>0</v>
      </c>
      <c r="N174" s="27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</row>
    <row r="175" spans="1:29" ht="23.25">
      <c r="A175" s="15"/>
      <c r="B175" s="29"/>
      <c r="C175" s="46"/>
      <c r="D175" s="47"/>
      <c r="E175" s="34"/>
      <c r="F175" s="33" t="str">
        <v/>
      </c>
      <c r="G175" s="34"/>
      <c r="H175" s="41" t="str">
        <v/>
      </c>
      <c r="I175" s="41" t="str">
        <v/>
      </c>
      <c r="J175" s="41" t="str">
        <v/>
      </c>
      <c r="K175" s="41" t="str">
        <v/>
      </c>
      <c r="L175" s="41"/>
      <c r="M175" s="41" t="str">
        <v/>
      </c>
      <c r="N175" s="27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</row>
    <row r="176" spans="1:29" ht="23.25">
      <c r="A176" s="15" t="s">
        <v>1719</v>
      </c>
      <c r="B176" s="52" t="s">
        <v>1721</v>
      </c>
      <c r="C176" s="53">
        <v>46139</v>
      </c>
      <c r="D176" s="17" t="s">
        <v>1722</v>
      </c>
      <c r="E176" s="54" t="s">
        <v>350</v>
      </c>
      <c r="F176" s="33">
        <v>1097306118</v>
      </c>
      <c r="G176" s="34" t="s">
        <v>1204</v>
      </c>
      <c r="H176" s="19" t="str">
        <v>LN</v>
      </c>
      <c r="I176" s="19" t="str">
        <v>M</v>
      </c>
      <c r="J176" s="19" t="str">
        <v>M</v>
      </c>
      <c r="K176" s="19" t="str">
        <v>VESTIDOR HOMBRES</v>
      </c>
      <c r="L176" s="19"/>
      <c r="M176" s="19">
        <v>0</v>
      </c>
      <c r="N176" s="27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</row>
    <row r="177" spans="1:29" ht="23.25">
      <c r="A177" s="15" t="s">
        <v>1735</v>
      </c>
      <c r="B177" s="40" t="s">
        <v>734</v>
      </c>
      <c r="C177" s="46">
        <v>46139</v>
      </c>
      <c r="D177" s="47" t="s">
        <v>1736</v>
      </c>
      <c r="E177" s="34">
        <v>9</v>
      </c>
      <c r="F177" s="33">
        <v>1100220410</v>
      </c>
      <c r="G177" s="34" t="s">
        <v>1402</v>
      </c>
      <c r="H177" s="41" t="str">
        <v>LYD</v>
      </c>
      <c r="I177" s="41" t="str">
        <v>S</v>
      </c>
      <c r="J177" s="41" t="str">
        <v>M</v>
      </c>
      <c r="K177" s="41" t="str">
        <v>VESTIDOR HOMBRES</v>
      </c>
      <c r="L177" s="41"/>
      <c r="M177" s="41">
        <v>0</v>
      </c>
      <c r="N177" s="27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</row>
    <row r="178" spans="1:29" ht="23.25">
      <c r="A178" s="15"/>
      <c r="B178" s="29"/>
      <c r="C178" s="46"/>
      <c r="D178" s="47"/>
      <c r="E178" s="34"/>
      <c r="F178" s="33" t="str">
        <v/>
      </c>
      <c r="G178" s="34"/>
      <c r="H178" s="41" t="str">
        <v/>
      </c>
      <c r="I178" s="41" t="str">
        <v/>
      </c>
      <c r="J178" s="41" t="str">
        <v/>
      </c>
      <c r="K178" s="41" t="str">
        <v/>
      </c>
      <c r="L178" s="41"/>
      <c r="M178" s="41" t="str">
        <v/>
      </c>
      <c r="N178" s="27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</row>
    <row r="179" spans="1:29" ht="23.25">
      <c r="A179" s="15" t="s">
        <v>1749</v>
      </c>
      <c r="B179" s="40" t="s">
        <v>431</v>
      </c>
      <c r="C179" s="46">
        <v>46139</v>
      </c>
      <c r="D179" s="47" t="s">
        <v>1751</v>
      </c>
      <c r="E179" s="34">
        <v>38</v>
      </c>
      <c r="F179" s="33">
        <v>1116780001</v>
      </c>
      <c r="G179" s="34" t="s">
        <v>116</v>
      </c>
      <c r="H179" s="41" t="str">
        <v>PCC</v>
      </c>
      <c r="I179" s="41" t="str">
        <v>M</v>
      </c>
      <c r="J179" s="41" t="str">
        <v>L</v>
      </c>
      <c r="K179" s="41" t="str">
        <v>VESTIDOR HOMBRES</v>
      </c>
      <c r="L179" s="41"/>
      <c r="M179" s="41">
        <v>0</v>
      </c>
      <c r="N179" s="27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</row>
    <row r="180" spans="1:29" ht="23.25">
      <c r="A180" s="15"/>
      <c r="B180" s="29"/>
      <c r="C180" s="46"/>
      <c r="D180" s="47"/>
      <c r="E180" s="34"/>
      <c r="F180" s="33" t="str">
        <v/>
      </c>
      <c r="G180" s="34"/>
      <c r="H180" s="41" t="str">
        <v/>
      </c>
      <c r="I180" s="41" t="str">
        <v/>
      </c>
      <c r="J180" s="41" t="str">
        <v/>
      </c>
      <c r="K180" s="41" t="str">
        <v/>
      </c>
      <c r="L180" s="41"/>
      <c r="M180" s="41" t="str">
        <v/>
      </c>
      <c r="N180" s="27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</row>
    <row r="181" spans="1:29" ht="23.25">
      <c r="A181" s="15" t="s">
        <v>1762</v>
      </c>
      <c r="B181" s="40" t="s">
        <v>1765</v>
      </c>
      <c r="C181" s="46">
        <v>46139</v>
      </c>
      <c r="D181" s="47" t="s">
        <v>1767</v>
      </c>
      <c r="E181" s="34">
        <v>42</v>
      </c>
      <c r="F181" s="33">
        <v>1098637988</v>
      </c>
      <c r="G181" s="34" t="s">
        <v>764</v>
      </c>
      <c r="H181" s="41" t="str">
        <v>LN</v>
      </c>
      <c r="I181" s="41" t="str">
        <v>M</v>
      </c>
      <c r="J181" s="41" t="str">
        <v>L</v>
      </c>
      <c r="K181" s="41" t="str">
        <v>VESTIDOR HOMBRES</v>
      </c>
      <c r="L181" s="41"/>
      <c r="M181" s="41">
        <v>0</v>
      </c>
      <c r="N181" s="27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</row>
    <row r="182" spans="1:29" ht="32.25" customHeight="1">
      <c r="A182" s="15"/>
      <c r="B182" s="29"/>
      <c r="C182" s="46"/>
      <c r="D182" s="47"/>
      <c r="E182" s="34"/>
      <c r="F182" s="33" t="str">
        <v/>
      </c>
      <c r="G182" s="34"/>
      <c r="H182" s="41" t="str">
        <v/>
      </c>
      <c r="I182" s="41" t="str">
        <v/>
      </c>
      <c r="J182" s="41" t="str">
        <v/>
      </c>
      <c r="K182" s="41" t="str">
        <v/>
      </c>
      <c r="L182" s="41"/>
      <c r="M182" s="41" t="str">
        <v/>
      </c>
      <c r="N182" s="27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</row>
    <row r="183" spans="1:29" ht="23.25">
      <c r="A183" s="15" t="s">
        <v>1777</v>
      </c>
      <c r="B183" s="40" t="s">
        <v>526</v>
      </c>
      <c r="C183" s="46">
        <v>46139</v>
      </c>
      <c r="D183" s="47" t="s">
        <v>1779</v>
      </c>
      <c r="E183" s="34">
        <v>3</v>
      </c>
      <c r="F183" s="33">
        <v>1005332438</v>
      </c>
      <c r="G183" s="34" t="s">
        <v>1596</v>
      </c>
      <c r="H183" s="41" t="str">
        <v>LOG</v>
      </c>
      <c r="I183" s="41" t="str">
        <v>L</v>
      </c>
      <c r="J183" s="41" t="str">
        <v>L</v>
      </c>
      <c r="K183" s="41" t="str">
        <v>VESTIDOR HOMBRES</v>
      </c>
      <c r="L183" s="41"/>
      <c r="M183" s="41">
        <v>0</v>
      </c>
      <c r="N183" s="27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</row>
    <row r="184" spans="1:29" ht="23.25">
      <c r="A184" s="15" t="s">
        <v>1785</v>
      </c>
      <c r="B184" s="52" t="s">
        <v>1455</v>
      </c>
      <c r="C184" s="61">
        <v>46140</v>
      </c>
      <c r="D184" s="17" t="s">
        <v>1790</v>
      </c>
      <c r="E184" s="54" t="s">
        <v>114</v>
      </c>
      <c r="F184" s="33">
        <v>1099367927</v>
      </c>
      <c r="G184" s="34" t="s">
        <v>807</v>
      </c>
      <c r="H184" s="19" t="str">
        <v>LN</v>
      </c>
      <c r="I184" s="19" t="str">
        <v>M</v>
      </c>
      <c r="J184" s="19" t="str">
        <v>M</v>
      </c>
      <c r="K184" s="19" t="str">
        <v>VESTIDOR HOMBRES</v>
      </c>
      <c r="L184" s="19"/>
      <c r="M184" s="19">
        <v>0</v>
      </c>
      <c r="N184" s="27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</row>
    <row r="185" spans="1:29" ht="23.25">
      <c r="A185" s="15"/>
      <c r="B185" s="29"/>
      <c r="C185" s="46"/>
      <c r="D185" s="47"/>
      <c r="E185" s="34"/>
      <c r="F185" s="33" t="str">
        <v/>
      </c>
      <c r="G185" s="34"/>
      <c r="H185" s="41" t="str">
        <v/>
      </c>
      <c r="I185" s="41" t="str">
        <v/>
      </c>
      <c r="J185" s="41" t="str">
        <v/>
      </c>
      <c r="K185" s="41" t="str">
        <v/>
      </c>
      <c r="L185" s="41"/>
      <c r="M185" s="41" t="str">
        <v/>
      </c>
      <c r="N185" s="27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</row>
    <row r="186" spans="1:29" ht="23.25">
      <c r="A186" s="15"/>
      <c r="B186" s="29"/>
      <c r="C186" s="46"/>
      <c r="D186" s="47"/>
      <c r="E186" s="34"/>
      <c r="F186" s="33" t="str">
        <v/>
      </c>
      <c r="G186" s="34"/>
      <c r="H186" s="41" t="str">
        <v/>
      </c>
      <c r="I186" s="41" t="str">
        <v/>
      </c>
      <c r="J186" s="41" t="str">
        <v/>
      </c>
      <c r="K186" s="41" t="str">
        <v/>
      </c>
      <c r="L186" s="41"/>
      <c r="M186" s="41" t="str">
        <v/>
      </c>
      <c r="N186" s="27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</row>
    <row r="187" spans="1:29" ht="23.25">
      <c r="A187" s="15"/>
      <c r="B187" s="29"/>
      <c r="C187" s="46"/>
      <c r="D187" s="47"/>
      <c r="E187" s="34"/>
      <c r="F187" s="33" t="str">
        <v/>
      </c>
      <c r="G187" s="34"/>
      <c r="H187" s="41" t="str">
        <v/>
      </c>
      <c r="I187" s="41" t="str">
        <v/>
      </c>
      <c r="J187" s="41" t="str">
        <v/>
      </c>
      <c r="K187" s="41" t="str">
        <v/>
      </c>
      <c r="L187" s="41"/>
      <c r="M187" s="41" t="str">
        <v/>
      </c>
      <c r="N187" s="27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</row>
    <row r="188" spans="1:29" ht="23.25">
      <c r="A188" s="15" t="s">
        <v>1812</v>
      </c>
      <c r="B188" s="40" t="s">
        <v>362</v>
      </c>
      <c r="C188" s="37">
        <v>46192</v>
      </c>
      <c r="D188" s="38" t="s">
        <v>1814</v>
      </c>
      <c r="E188" s="39">
        <v>56</v>
      </c>
      <c r="F188" s="33">
        <v>1095942198</v>
      </c>
      <c r="G188" s="34" t="s">
        <v>1008</v>
      </c>
      <c r="H188" s="28" t="str">
        <v>LN</v>
      </c>
      <c r="I188" s="28" t="str">
        <v>M</v>
      </c>
      <c r="J188" s="28" t="str">
        <v>M</v>
      </c>
      <c r="K188" s="28" t="str">
        <v>VESTIDOR HOMBRES</v>
      </c>
      <c r="L188" s="28"/>
      <c r="M188" s="28">
        <v>0</v>
      </c>
      <c r="N188" s="27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</row>
    <row r="189" spans="1:29" ht="23.25">
      <c r="A189" s="15" t="s">
        <v>1822</v>
      </c>
      <c r="B189" s="40" t="s">
        <v>1823</v>
      </c>
      <c r="C189" s="37">
        <v>46192</v>
      </c>
      <c r="D189" s="38" t="s">
        <v>1824</v>
      </c>
      <c r="E189" s="39">
        <v>47</v>
      </c>
      <c r="F189" s="33">
        <v>2420173</v>
      </c>
      <c r="G189" s="34" t="s">
        <v>1049</v>
      </c>
      <c r="H189" s="28" t="str">
        <v>LN</v>
      </c>
      <c r="I189" s="28" t="str">
        <v>M</v>
      </c>
      <c r="J189" s="28" t="str">
        <v>M</v>
      </c>
      <c r="K189" s="28" t="str">
        <v>VESTIDOR HOMBRES</v>
      </c>
      <c r="L189" s="28"/>
      <c r="M189" s="28">
        <v>0</v>
      </c>
      <c r="N189" s="27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</row>
    <row r="190" spans="1:29" ht="23.25">
      <c r="A190" s="15" t="s">
        <v>1831</v>
      </c>
      <c r="B190" s="40" t="s">
        <v>1507</v>
      </c>
      <c r="C190" s="37">
        <v>46192</v>
      </c>
      <c r="D190" s="38" t="s">
        <v>1832</v>
      </c>
      <c r="E190" s="39">
        <v>22</v>
      </c>
      <c r="F190" s="33">
        <v>1005221207</v>
      </c>
      <c r="G190" s="34" t="s">
        <v>407</v>
      </c>
      <c r="H190" s="28" t="str">
        <v>PCC</v>
      </c>
      <c r="I190" s="28" t="str">
        <v>M</v>
      </c>
      <c r="J190" s="28" t="str">
        <v>L</v>
      </c>
      <c r="K190" s="28" t="str">
        <v>VESTIDOR HOMBRES</v>
      </c>
      <c r="L190" s="28"/>
      <c r="M190" s="28">
        <v>0</v>
      </c>
      <c r="N190" s="27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</row>
    <row r="191" spans="1:29" ht="23.25">
      <c r="A191" s="15" t="s">
        <v>1836</v>
      </c>
      <c r="B191" s="40" t="s">
        <v>1837</v>
      </c>
      <c r="C191" s="37">
        <v>46192</v>
      </c>
      <c r="D191" s="38" t="s">
        <v>1839</v>
      </c>
      <c r="E191" s="39">
        <v>5</v>
      </c>
      <c r="F191" s="33">
        <v>1104130881</v>
      </c>
      <c r="G191" s="34"/>
      <c r="H191" s="28" t="str">
        <v>LN</v>
      </c>
      <c r="I191" s="28" t="str">
        <v>M</v>
      </c>
      <c r="J191" s="28" t="str">
        <v>L</v>
      </c>
      <c r="K191" s="28" t="str">
        <v>VESTIDOR HOMBRES</v>
      </c>
      <c r="L191" s="28"/>
      <c r="M191" s="28">
        <v>0</v>
      </c>
      <c r="N191" s="27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</row>
    <row r="192" spans="1:29" ht="23.25">
      <c r="A192" s="15" t="s">
        <v>1847</v>
      </c>
      <c r="B192" s="40" t="s">
        <v>1848</v>
      </c>
      <c r="C192" s="37">
        <v>46192</v>
      </c>
      <c r="D192" s="38" t="s">
        <v>1849</v>
      </c>
      <c r="E192" s="39">
        <v>13</v>
      </c>
      <c r="F192" s="33">
        <v>1004898102</v>
      </c>
      <c r="G192" s="34" t="s">
        <v>1181</v>
      </c>
      <c r="H192" s="28" t="str">
        <v>CAL</v>
      </c>
      <c r="I192" s="28" t="str">
        <v>M</v>
      </c>
      <c r="J192" s="28" t="str">
        <v>L</v>
      </c>
      <c r="K192" s="28" t="str">
        <v>ADMINISTRACION</v>
      </c>
      <c r="L192" s="28"/>
      <c r="M192" s="28">
        <v>0</v>
      </c>
      <c r="N192" s="27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</row>
    <row r="193" spans="1:29" ht="23.25">
      <c r="A193" s="15"/>
      <c r="B193" s="55"/>
      <c r="C193" s="66"/>
      <c r="D193" s="67"/>
      <c r="E193" s="68"/>
      <c r="F193" s="33" t="str">
        <v/>
      </c>
      <c r="G193" s="34"/>
      <c r="H193" s="36" t="str">
        <v/>
      </c>
      <c r="I193" s="36" t="str">
        <v/>
      </c>
      <c r="J193" s="36" t="str">
        <v/>
      </c>
      <c r="K193" s="36" t="str">
        <v/>
      </c>
      <c r="L193" s="36"/>
      <c r="M193" s="36" t="str">
        <v/>
      </c>
      <c r="N193" s="27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</row>
    <row r="194" spans="1:29" ht="23.25">
      <c r="A194" s="15" t="s">
        <v>1870</v>
      </c>
      <c r="B194" s="40" t="s">
        <v>156</v>
      </c>
      <c r="C194" s="37">
        <v>46192</v>
      </c>
      <c r="D194" s="38" t="s">
        <v>1873</v>
      </c>
      <c r="E194" s="39">
        <v>55</v>
      </c>
      <c r="F194" s="33">
        <v>1005109725</v>
      </c>
      <c r="G194" s="34" t="s">
        <v>1182</v>
      </c>
      <c r="H194" s="28" t="str">
        <v>LN</v>
      </c>
      <c r="I194" s="28" t="str">
        <v>M</v>
      </c>
      <c r="J194" s="28" t="str">
        <v>M</v>
      </c>
      <c r="K194" s="28" t="str">
        <v>VESTIDOR HOMBRES</v>
      </c>
      <c r="L194" s="28"/>
      <c r="M194" s="28">
        <v>0</v>
      </c>
      <c r="N194" s="27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</row>
    <row r="195" spans="1:29" ht="23.25">
      <c r="A195" s="15" t="s">
        <v>1878</v>
      </c>
      <c r="B195" s="40" t="s">
        <v>225</v>
      </c>
      <c r="C195" s="37">
        <v>46192</v>
      </c>
      <c r="D195" s="38" t="s">
        <v>1881</v>
      </c>
      <c r="E195" s="39">
        <v>15</v>
      </c>
      <c r="F195" s="33">
        <v>1096538224</v>
      </c>
      <c r="G195" s="34" t="s">
        <v>286</v>
      </c>
      <c r="H195" s="28" t="str">
        <v>PCC</v>
      </c>
      <c r="I195" s="28" t="str">
        <v>M</v>
      </c>
      <c r="J195" s="28" t="str">
        <v>XL</v>
      </c>
      <c r="K195" s="28" t="str">
        <v>VESTIDOR HOMBRES</v>
      </c>
      <c r="L195" s="28"/>
      <c r="M195" s="28">
        <v>0</v>
      </c>
      <c r="N195" s="27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</row>
    <row r="196" spans="1:29" ht="23.25">
      <c r="A196" s="15" t="s">
        <v>1887</v>
      </c>
      <c r="B196" s="52" t="s">
        <v>638</v>
      </c>
      <c r="C196" s="66">
        <v>46192</v>
      </c>
      <c r="D196" s="67" t="s">
        <v>1890</v>
      </c>
      <c r="E196" s="68" t="s">
        <v>873</v>
      </c>
      <c r="F196" s="33">
        <v>1098640052</v>
      </c>
      <c r="G196" s="34" t="s">
        <v>1220</v>
      </c>
      <c r="H196" s="36" t="str">
        <v>LOG</v>
      </c>
      <c r="I196" s="36" t="str">
        <v>L</v>
      </c>
      <c r="J196" s="36" t="str">
        <v>L</v>
      </c>
      <c r="K196" s="36" t="str">
        <v>VESTIDOR HOMBRES</v>
      </c>
      <c r="L196" s="36"/>
      <c r="M196" s="36">
        <v>0</v>
      </c>
      <c r="N196" s="27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</row>
    <row r="197" spans="1:29" ht="23.25">
      <c r="A197" s="15" t="s">
        <v>1896</v>
      </c>
      <c r="B197" s="40" t="s">
        <v>1897</v>
      </c>
      <c r="C197" s="37">
        <v>46192</v>
      </c>
      <c r="D197" s="38" t="s">
        <v>1898</v>
      </c>
      <c r="E197" s="39">
        <v>4</v>
      </c>
      <c r="F197" s="33">
        <v>1005969053</v>
      </c>
      <c r="G197" s="34" t="s">
        <v>1863</v>
      </c>
      <c r="H197" s="28" t="str">
        <v>CAL</v>
      </c>
      <c r="I197" s="28" t="str">
        <v>L</v>
      </c>
      <c r="J197" s="28" t="str">
        <v>S</v>
      </c>
      <c r="K197" s="28" t="str">
        <v>VESTIDOR HOMBRES</v>
      </c>
      <c r="L197" s="28"/>
      <c r="M197" s="28">
        <v>0</v>
      </c>
      <c r="N197" s="27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</row>
    <row r="198" spans="1:29" ht="23.25">
      <c r="A198" s="15"/>
      <c r="B198" s="29"/>
      <c r="C198" s="37"/>
      <c r="D198" s="38"/>
      <c r="E198" s="39"/>
      <c r="F198" s="33" t="str">
        <v/>
      </c>
      <c r="G198" s="34"/>
      <c r="H198" s="28" t="str">
        <v/>
      </c>
      <c r="I198" s="28" t="str">
        <v/>
      </c>
      <c r="J198" s="28" t="str">
        <v/>
      </c>
      <c r="K198" s="28" t="str">
        <v/>
      </c>
      <c r="L198" s="28"/>
      <c r="M198" s="28" t="str">
        <v/>
      </c>
      <c r="N198" s="27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</row>
    <row r="199" spans="1:29" ht="23.25">
      <c r="A199" s="15"/>
      <c r="B199" s="29"/>
      <c r="C199" s="37"/>
      <c r="D199" s="38"/>
      <c r="E199" s="39"/>
      <c r="F199" s="33" t="str">
        <v/>
      </c>
      <c r="G199" s="34"/>
      <c r="H199" s="28" t="str">
        <v/>
      </c>
      <c r="I199" s="28" t="str">
        <v/>
      </c>
      <c r="J199" s="28" t="str">
        <v/>
      </c>
      <c r="K199" s="28" t="str">
        <v/>
      </c>
      <c r="L199" s="28"/>
      <c r="M199" s="28" t="str">
        <v/>
      </c>
      <c r="N199" s="27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</row>
    <row r="200" spans="1:29" ht="23.25">
      <c r="A200" s="15" t="s">
        <v>1911</v>
      </c>
      <c r="B200" s="40" t="s">
        <v>93</v>
      </c>
      <c r="C200" s="37">
        <v>46196</v>
      </c>
      <c r="D200" s="38" t="s">
        <v>1915</v>
      </c>
      <c r="E200" s="39">
        <v>12</v>
      </c>
      <c r="F200" s="33">
        <v>1091662742</v>
      </c>
      <c r="G200" s="34" t="s">
        <v>1533</v>
      </c>
      <c r="H200" s="28" t="str">
        <v>LYD</v>
      </c>
      <c r="I200" s="28" t="str">
        <v>M</v>
      </c>
      <c r="J200" s="28" t="str">
        <v>S</v>
      </c>
      <c r="K200" s="28" t="str">
        <v>VESTIDOR HOMBRES</v>
      </c>
      <c r="L200" s="28"/>
      <c r="M200" s="28">
        <v>0</v>
      </c>
      <c r="N200" s="27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</row>
    <row r="201" spans="1:29" ht="23.25">
      <c r="A201" s="15"/>
      <c r="B201" s="55"/>
      <c r="C201" s="66"/>
      <c r="D201" s="38"/>
      <c r="E201" s="68"/>
      <c r="F201" s="33" t="str">
        <v/>
      </c>
      <c r="G201" s="34"/>
      <c r="H201" s="36" t="str">
        <v/>
      </c>
      <c r="I201" s="36" t="str">
        <v/>
      </c>
      <c r="J201" s="36" t="str">
        <v/>
      </c>
      <c r="K201" s="36" t="str">
        <v/>
      </c>
      <c r="L201" s="36"/>
      <c r="M201" s="36" t="str">
        <v/>
      </c>
      <c r="N201" s="27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</row>
    <row r="202" spans="1:29" ht="23.25">
      <c r="A202" s="15" t="s">
        <v>1926</v>
      </c>
      <c r="B202" s="40" t="s">
        <v>1927</v>
      </c>
      <c r="C202" s="37">
        <v>46224</v>
      </c>
      <c r="D202" s="38" t="s">
        <v>1928</v>
      </c>
      <c r="E202" s="39">
        <v>3</v>
      </c>
      <c r="F202" s="33">
        <v>1096252867</v>
      </c>
      <c r="G202" s="34" t="s">
        <v>1863</v>
      </c>
      <c r="H202" s="28" t="str">
        <v>CAL</v>
      </c>
      <c r="I202" s="28" t="str">
        <v>M</v>
      </c>
      <c r="J202" s="28" t="str">
        <v>XS</v>
      </c>
      <c r="K202" s="28" t="str">
        <v>VESTIDOR MUJERES</v>
      </c>
      <c r="L202" s="28"/>
      <c r="M202" s="28">
        <v>0</v>
      </c>
      <c r="N202" s="27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</row>
    <row r="203" spans="1:29" ht="23.25">
      <c r="A203" s="15" t="s">
        <v>1936</v>
      </c>
      <c r="B203" s="40" t="s">
        <v>354</v>
      </c>
      <c r="C203" s="37">
        <v>46224</v>
      </c>
      <c r="D203" s="38" t="s">
        <v>1937</v>
      </c>
      <c r="E203" s="39">
        <v>51</v>
      </c>
      <c r="F203" s="33">
        <v>1100891168</v>
      </c>
      <c r="G203" s="34" t="s">
        <v>972</v>
      </c>
      <c r="H203" s="28" t="str">
        <v>LN</v>
      </c>
      <c r="I203" s="28" t="str">
        <v>M</v>
      </c>
      <c r="J203" s="28" t="str">
        <v>M</v>
      </c>
      <c r="K203" s="28" t="str">
        <v>VESTIDOR HOMBRES</v>
      </c>
      <c r="L203" s="28"/>
      <c r="M203" s="28">
        <v>0</v>
      </c>
      <c r="N203" s="27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</row>
    <row r="204" spans="1:29" ht="23.25">
      <c r="A204" s="15" t="s">
        <v>1941</v>
      </c>
      <c r="B204" s="40" t="s">
        <v>82</v>
      </c>
      <c r="C204" s="37">
        <v>46224</v>
      </c>
      <c r="D204" s="38" t="s">
        <v>1942</v>
      </c>
      <c r="E204" s="39">
        <v>6</v>
      </c>
      <c r="F204" s="33">
        <v>1095302844</v>
      </c>
      <c r="G204" s="34" t="s">
        <v>1693</v>
      </c>
      <c r="H204" s="28" t="str">
        <v>LYD</v>
      </c>
      <c r="I204" s="28" t="str">
        <v>XL</v>
      </c>
      <c r="J204" s="28" t="str">
        <v>XXL</v>
      </c>
      <c r="K204" s="28" t="str">
        <v>VESTIDOR HOMBRES</v>
      </c>
      <c r="L204" s="28"/>
      <c r="M204" s="28">
        <v>0</v>
      </c>
      <c r="N204" s="27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</row>
    <row r="205" spans="1:29" ht="23.25">
      <c r="A205" s="15"/>
      <c r="B205" s="55"/>
      <c r="C205" s="66"/>
      <c r="D205" s="67"/>
      <c r="E205" s="68"/>
      <c r="F205" s="33" t="str">
        <v/>
      </c>
      <c r="G205" s="34"/>
      <c r="H205" s="36" t="str">
        <v/>
      </c>
      <c r="I205" s="36" t="str">
        <v/>
      </c>
      <c r="J205" s="36" t="str">
        <v/>
      </c>
      <c r="K205" s="36" t="str">
        <v/>
      </c>
      <c r="L205" s="36"/>
      <c r="M205" s="36" t="str">
        <v/>
      </c>
      <c r="N205" s="27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</row>
    <row r="206" spans="1:29" ht="23.25">
      <c r="A206" s="15" t="s">
        <v>1954</v>
      </c>
      <c r="B206" s="40" t="s">
        <v>748</v>
      </c>
      <c r="C206" s="37">
        <v>46224</v>
      </c>
      <c r="D206" s="38" t="s">
        <v>1955</v>
      </c>
      <c r="E206" s="39">
        <v>30</v>
      </c>
      <c r="F206" s="33">
        <v>1102635593</v>
      </c>
      <c r="G206" s="34" t="s">
        <v>560</v>
      </c>
      <c r="H206" s="28" t="str">
        <v>PCC</v>
      </c>
      <c r="I206" s="28" t="str">
        <v>M</v>
      </c>
      <c r="J206" s="28" t="str">
        <v>M</v>
      </c>
      <c r="K206" s="28" t="str">
        <v>VESTIDOR HOMBRES</v>
      </c>
      <c r="L206" s="28"/>
      <c r="M206" s="28">
        <v>0</v>
      </c>
      <c r="N206" s="27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</row>
    <row r="207" spans="1:29" ht="23.25">
      <c r="A207" s="15" t="s">
        <v>1960</v>
      </c>
      <c r="B207" s="52" t="s">
        <v>101</v>
      </c>
      <c r="C207" s="66">
        <v>46224</v>
      </c>
      <c r="D207" s="67" t="s">
        <v>1963</v>
      </c>
      <c r="E207" s="68" t="s">
        <v>885</v>
      </c>
      <c r="F207" s="33">
        <v>1096802472</v>
      </c>
      <c r="G207" s="34" t="s">
        <v>125</v>
      </c>
      <c r="H207" s="36" t="str">
        <v>PCC</v>
      </c>
      <c r="I207" s="36" t="str">
        <v>M</v>
      </c>
      <c r="J207" s="36" t="str">
        <v>M</v>
      </c>
      <c r="K207" s="36" t="str">
        <v>VESTIDOR HOMBRES</v>
      </c>
      <c r="L207" s="36"/>
      <c r="M207" s="36">
        <v>0</v>
      </c>
      <c r="N207" s="27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</row>
    <row r="208" spans="1:29" ht="23.25">
      <c r="A208" s="15" t="s">
        <v>1970</v>
      </c>
      <c r="B208" s="40" t="s">
        <v>1861</v>
      </c>
      <c r="C208" s="37">
        <v>46224</v>
      </c>
      <c r="D208" s="38" t="s">
        <v>1973</v>
      </c>
      <c r="E208" s="39">
        <v>8</v>
      </c>
      <c r="F208" s="33">
        <v>1003379286</v>
      </c>
      <c r="G208" s="34" t="s">
        <v>1796</v>
      </c>
      <c r="H208" s="28" t="str">
        <v>CAL</v>
      </c>
      <c r="I208" s="28" t="str">
        <v>M</v>
      </c>
      <c r="J208" s="28" t="str">
        <v>S</v>
      </c>
      <c r="K208" s="28" t="str">
        <v>VESTIDOR MUJERES</v>
      </c>
      <c r="L208" s="28"/>
      <c r="M208" s="28">
        <v>0</v>
      </c>
      <c r="N208" s="27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</row>
    <row r="209" spans="1:29" ht="23.25">
      <c r="A209" s="15" t="s">
        <v>1978</v>
      </c>
      <c r="B209" s="40" t="s">
        <v>1891</v>
      </c>
      <c r="C209" s="37">
        <v>46226</v>
      </c>
      <c r="D209" s="38" t="s">
        <v>1979</v>
      </c>
      <c r="E209" s="39">
        <v>37</v>
      </c>
      <c r="F209" s="33">
        <v>1098685092</v>
      </c>
      <c r="G209" s="34" t="s">
        <v>573</v>
      </c>
      <c r="H209" s="28" t="str">
        <v>PCC</v>
      </c>
      <c r="I209" s="28" t="str">
        <v>L</v>
      </c>
      <c r="J209" s="28" t="str">
        <v>M</v>
      </c>
      <c r="K209" s="28" t="str">
        <v>VESTIDOR HOMBRES</v>
      </c>
      <c r="L209" s="28"/>
      <c r="M209" s="28">
        <v>0</v>
      </c>
      <c r="N209" s="27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</row>
    <row r="210" spans="1:29" ht="23.25">
      <c r="A210" s="15"/>
      <c r="B210" s="29"/>
      <c r="C210" s="37"/>
      <c r="D210" s="38"/>
      <c r="E210" s="39"/>
      <c r="F210" s="33" t="str">
        <v/>
      </c>
      <c r="G210" s="34"/>
      <c r="H210" s="28" t="str">
        <v/>
      </c>
      <c r="I210" s="28" t="str">
        <v/>
      </c>
      <c r="J210" s="28" t="str">
        <v/>
      </c>
      <c r="K210" s="28" t="str">
        <v/>
      </c>
      <c r="L210" s="28"/>
      <c r="M210" s="28" t="str">
        <v/>
      </c>
      <c r="N210" s="27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</row>
    <row r="211" spans="1:29" ht="23.25">
      <c r="A211" s="15"/>
      <c r="B211" s="29"/>
      <c r="C211" s="37"/>
      <c r="D211" s="71"/>
      <c r="E211" s="39"/>
      <c r="F211" s="33" t="str">
        <v/>
      </c>
      <c r="G211" s="34"/>
      <c r="H211" s="28" t="str">
        <v/>
      </c>
      <c r="I211" s="28" t="str">
        <v/>
      </c>
      <c r="J211" s="28" t="str">
        <v/>
      </c>
      <c r="K211" s="28" t="str">
        <v/>
      </c>
      <c r="L211" s="28"/>
      <c r="M211" s="28" t="str">
        <v/>
      </c>
      <c r="N211" s="27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</row>
    <row r="212" spans="1:29" ht="23.25">
      <c r="A212" s="15" t="s">
        <v>1995</v>
      </c>
      <c r="B212" s="40" t="s">
        <v>1327</v>
      </c>
      <c r="C212" s="37">
        <v>46226</v>
      </c>
      <c r="D212" s="38" t="s">
        <v>1996</v>
      </c>
      <c r="E212" s="39">
        <v>52</v>
      </c>
      <c r="F212" s="33">
        <v>1097493532</v>
      </c>
      <c r="G212" s="34" t="s">
        <v>1240</v>
      </c>
      <c r="H212" s="28" t="str">
        <v>LN</v>
      </c>
      <c r="I212" s="28" t="str">
        <v>L</v>
      </c>
      <c r="J212" s="28" t="str">
        <v>L</v>
      </c>
      <c r="K212" s="28" t="str">
        <v>VESTIDOR HOMBRES</v>
      </c>
      <c r="L212" s="28"/>
      <c r="M212" s="28">
        <v>0</v>
      </c>
      <c r="N212" s="27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</row>
    <row r="213" spans="1:29" ht="23.25">
      <c r="A213" s="15" t="s">
        <v>2002</v>
      </c>
      <c r="B213" s="40" t="s">
        <v>940</v>
      </c>
      <c r="C213" s="37">
        <v>46240</v>
      </c>
      <c r="D213" s="38" t="s">
        <v>2004</v>
      </c>
      <c r="E213" s="39">
        <v>57</v>
      </c>
      <c r="F213" s="33">
        <v>1007582327</v>
      </c>
      <c r="G213" s="34" t="s">
        <v>836</v>
      </c>
      <c r="H213" s="28" t="str">
        <v>LN</v>
      </c>
      <c r="I213" s="28" t="str">
        <v>M</v>
      </c>
      <c r="J213" s="28" t="str">
        <v>M</v>
      </c>
      <c r="K213" s="28" t="str">
        <v>VESTIDOR HOMBRES</v>
      </c>
      <c r="L213" s="28"/>
      <c r="M213" s="28">
        <v>0</v>
      </c>
      <c r="N213" s="27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</row>
    <row r="214" spans="1:29" ht="23.25">
      <c r="A214" s="15" t="s">
        <v>2009</v>
      </c>
      <c r="B214" s="40" t="s">
        <v>1788</v>
      </c>
      <c r="C214" s="37">
        <v>46240</v>
      </c>
      <c r="D214" s="38" t="s">
        <v>2010</v>
      </c>
      <c r="E214" s="39">
        <v>43</v>
      </c>
      <c r="F214" s="33">
        <v>1095919789</v>
      </c>
      <c r="G214" s="34" t="s">
        <v>1269</v>
      </c>
      <c r="H214" s="28" t="str">
        <v>LN</v>
      </c>
      <c r="I214" s="28" t="str">
        <v>M</v>
      </c>
      <c r="J214" s="28" t="str">
        <v>M</v>
      </c>
      <c r="K214" s="28" t="str">
        <v>VESTIDOR HOMBRES</v>
      </c>
      <c r="L214" s="28"/>
      <c r="M214" s="28">
        <v>0</v>
      </c>
      <c r="N214" s="27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</row>
    <row r="215" spans="1:29" ht="23.25">
      <c r="A215" s="15"/>
      <c r="B215" s="55"/>
      <c r="C215" s="66"/>
      <c r="D215" s="67"/>
      <c r="E215" s="68"/>
      <c r="F215" s="33" t="str">
        <v/>
      </c>
      <c r="G215" s="34"/>
      <c r="H215" s="36" t="str">
        <v/>
      </c>
      <c r="I215" s="36" t="str">
        <v/>
      </c>
      <c r="J215" s="36" t="str">
        <v/>
      </c>
      <c r="K215" s="36" t="str">
        <v/>
      </c>
      <c r="L215" s="36"/>
      <c r="M215" s="36" t="str">
        <v/>
      </c>
      <c r="N215" s="27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</row>
    <row r="216" spans="1:29" ht="23.25">
      <c r="A216" s="15" t="s">
        <v>2020</v>
      </c>
      <c r="B216" s="52" t="s">
        <v>810</v>
      </c>
      <c r="C216" s="66">
        <v>46240</v>
      </c>
      <c r="D216" s="67" t="s">
        <v>2021</v>
      </c>
      <c r="E216" s="68" t="s">
        <v>1333</v>
      </c>
      <c r="F216" s="33">
        <v>1007679223</v>
      </c>
      <c r="G216" s="34" t="s">
        <v>96</v>
      </c>
      <c r="H216" s="36" t="str">
        <v>PCC</v>
      </c>
      <c r="I216" s="36" t="str">
        <v>S</v>
      </c>
      <c r="J216" s="36" t="str">
        <v>M</v>
      </c>
      <c r="K216" s="36" t="str">
        <v>VESTIDOR HOMBRES</v>
      </c>
      <c r="L216" s="36"/>
      <c r="M216" s="36">
        <v>0</v>
      </c>
      <c r="N216" s="27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</row>
    <row r="217" spans="1:29" ht="23.25">
      <c r="A217" s="15" t="s">
        <v>2025</v>
      </c>
      <c r="B217" s="52" t="s">
        <v>1543</v>
      </c>
      <c r="C217" s="66">
        <v>46240</v>
      </c>
      <c r="D217" s="67" t="s">
        <v>2026</v>
      </c>
      <c r="E217" s="68" t="s">
        <v>350</v>
      </c>
      <c r="F217" s="33">
        <v>1098740282</v>
      </c>
      <c r="G217" s="34" t="s">
        <v>138</v>
      </c>
      <c r="H217" s="36" t="str">
        <v>PCC</v>
      </c>
      <c r="I217" s="36" t="str">
        <v>M</v>
      </c>
      <c r="J217" s="36" t="str">
        <v>M</v>
      </c>
      <c r="K217" s="36" t="str">
        <v>VESTIDOR HOMBRES</v>
      </c>
      <c r="L217" s="36"/>
      <c r="M217" s="36">
        <v>0</v>
      </c>
      <c r="N217" s="27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</row>
    <row r="218" spans="1:29" ht="23.25">
      <c r="A218" s="15"/>
      <c r="B218" s="55"/>
      <c r="C218" s="66"/>
      <c r="D218" s="67"/>
      <c r="E218" s="68"/>
      <c r="F218" s="33" t="str">
        <v/>
      </c>
      <c r="G218" s="34"/>
      <c r="H218" s="36" t="str">
        <v/>
      </c>
      <c r="I218" s="36" t="str">
        <v/>
      </c>
      <c r="J218" s="36" t="str">
        <v/>
      </c>
      <c r="K218" s="36" t="str">
        <v/>
      </c>
      <c r="L218" s="36"/>
      <c r="M218" s="36" t="str">
        <v/>
      </c>
      <c r="N218" s="27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</row>
    <row r="219" spans="1:29" ht="23.25">
      <c r="A219" s="15" t="s">
        <v>2037</v>
      </c>
      <c r="B219" s="52" t="s">
        <v>173</v>
      </c>
      <c r="C219" s="66">
        <v>46240</v>
      </c>
      <c r="D219" s="67" t="s">
        <v>2039</v>
      </c>
      <c r="E219" s="68"/>
      <c r="F219" s="33">
        <v>1005153016</v>
      </c>
      <c r="G219" s="34" t="s">
        <v>1669</v>
      </c>
      <c r="H219" s="36" t="str">
        <v>CAL</v>
      </c>
      <c r="I219" s="36" t="str">
        <v>S</v>
      </c>
      <c r="J219" s="36" t="str">
        <v>S</v>
      </c>
      <c r="K219" s="36" t="str">
        <v>VESTIDOR MUJERES</v>
      </c>
      <c r="L219" s="36"/>
      <c r="M219" s="36">
        <v>0</v>
      </c>
      <c r="N219" s="27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</row>
    <row r="220" spans="1:29" ht="23.25">
      <c r="A220" s="15" t="s">
        <v>2045</v>
      </c>
      <c r="B220" s="52" t="s">
        <v>1820</v>
      </c>
      <c r="C220" s="66">
        <v>46266</v>
      </c>
      <c r="D220" s="67" t="s">
        <v>2046</v>
      </c>
      <c r="E220" s="68" t="s">
        <v>202</v>
      </c>
      <c r="F220" s="33">
        <v>1098812761</v>
      </c>
      <c r="G220" s="34" t="s">
        <v>662</v>
      </c>
      <c r="H220" s="36" t="str">
        <v>LYD</v>
      </c>
      <c r="I220" s="36" t="str">
        <v>M</v>
      </c>
      <c r="J220" s="36" t="str">
        <v>S</v>
      </c>
      <c r="K220" s="36" t="str">
        <v>VESTIDOR MUJERES</v>
      </c>
      <c r="L220" s="36"/>
      <c r="M220" s="36">
        <v>0</v>
      </c>
      <c r="N220" s="27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</row>
    <row r="221" spans="1:29" ht="23.25">
      <c r="A221" s="15"/>
      <c r="B221" s="55"/>
      <c r="C221" s="66"/>
      <c r="D221" s="67"/>
      <c r="E221" s="68"/>
      <c r="F221" s="33" t="str">
        <v/>
      </c>
      <c r="G221" s="34"/>
      <c r="H221" s="36" t="str">
        <v/>
      </c>
      <c r="I221" s="36" t="str">
        <v/>
      </c>
      <c r="J221" s="36" t="str">
        <v/>
      </c>
      <c r="K221" s="36" t="str">
        <v/>
      </c>
      <c r="L221" s="36"/>
      <c r="M221" s="36" t="str">
        <v/>
      </c>
      <c r="N221" s="27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</row>
    <row r="222" spans="1:29" ht="23.25">
      <c r="A222" s="15"/>
      <c r="B222" s="55"/>
      <c r="C222" s="66"/>
      <c r="D222" s="67"/>
      <c r="E222" s="68"/>
      <c r="F222" s="33" t="str">
        <v/>
      </c>
      <c r="G222" s="34"/>
      <c r="H222" s="36" t="str">
        <v/>
      </c>
      <c r="I222" s="36" t="str">
        <v/>
      </c>
      <c r="J222" s="36" t="str">
        <v/>
      </c>
      <c r="K222" s="36" t="str">
        <v/>
      </c>
      <c r="L222" s="36"/>
      <c r="M222" s="36" t="str">
        <v/>
      </c>
      <c r="N222" s="27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</row>
    <row r="223" spans="1:29" ht="23.25">
      <c r="A223" s="15"/>
      <c r="B223" s="55"/>
      <c r="C223" s="66"/>
      <c r="D223" s="67"/>
      <c r="E223" s="68"/>
      <c r="F223" s="33" t="str">
        <v/>
      </c>
      <c r="G223" s="34"/>
      <c r="H223" s="36" t="str">
        <v/>
      </c>
      <c r="I223" s="36" t="str">
        <v/>
      </c>
      <c r="J223" s="36" t="str">
        <v/>
      </c>
      <c r="K223" s="36" t="str">
        <v/>
      </c>
      <c r="L223" s="36"/>
      <c r="M223" s="36" t="str">
        <v/>
      </c>
      <c r="N223" s="27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</row>
    <row r="224" spans="1:29" ht="23.25">
      <c r="A224" s="15" t="s">
        <v>2072</v>
      </c>
      <c r="B224" s="52" t="s">
        <v>2073</v>
      </c>
      <c r="C224" s="66">
        <v>46266</v>
      </c>
      <c r="D224" s="67" t="s">
        <v>2075</v>
      </c>
      <c r="E224" s="68" t="s">
        <v>202</v>
      </c>
      <c r="F224" s="33">
        <v>1124521232</v>
      </c>
      <c r="G224" s="34" t="s">
        <v>1355</v>
      </c>
      <c r="H224" s="36" t="str">
        <v>LYD</v>
      </c>
      <c r="I224" s="36" t="str">
        <v>L</v>
      </c>
      <c r="J224" s="36" t="str">
        <v>M</v>
      </c>
      <c r="K224" s="36" t="str">
        <v>VESTIDOR HOMBRES</v>
      </c>
      <c r="L224" s="36"/>
      <c r="M224" s="36">
        <v>0</v>
      </c>
      <c r="N224" s="27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</row>
    <row r="225" spans="1:29" ht="23.25">
      <c r="A225" s="15" t="s">
        <v>2079</v>
      </c>
      <c r="B225" s="52" t="s">
        <v>2080</v>
      </c>
      <c r="C225" s="66">
        <v>46266</v>
      </c>
      <c r="D225" s="67" t="s">
        <v>2082</v>
      </c>
      <c r="E225" s="68" t="s">
        <v>26</v>
      </c>
      <c r="F225" s="33">
        <v>1005029909</v>
      </c>
      <c r="G225" s="34" t="s">
        <v>1432</v>
      </c>
      <c r="H225" s="36" t="str">
        <v>LYD</v>
      </c>
      <c r="I225" s="36" t="str">
        <v>M</v>
      </c>
      <c r="J225" s="36" t="str">
        <v>M</v>
      </c>
      <c r="K225" s="36" t="str">
        <v>VESTIDOR HOMBRES</v>
      </c>
      <c r="L225" s="36"/>
      <c r="M225" s="36">
        <v>0</v>
      </c>
      <c r="N225" s="27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</row>
    <row r="226" spans="1:29" ht="23.25">
      <c r="A226" s="15" t="s">
        <v>2088</v>
      </c>
      <c r="B226" s="52" t="s">
        <v>2089</v>
      </c>
      <c r="C226" s="66">
        <v>46266</v>
      </c>
      <c r="D226" s="67" t="s">
        <v>2091</v>
      </c>
      <c r="E226" s="68" t="s">
        <v>79</v>
      </c>
      <c r="F226" s="33">
        <v>1098629701</v>
      </c>
      <c r="G226" s="34" t="s">
        <v>1432</v>
      </c>
      <c r="H226" s="36" t="str">
        <v>LYD</v>
      </c>
      <c r="I226" s="36" t="str">
        <v>M</v>
      </c>
      <c r="J226" s="36" t="str">
        <v>S</v>
      </c>
      <c r="K226" s="36" t="str">
        <v>VESTIDOR HOMBRES</v>
      </c>
      <c r="L226" s="36"/>
      <c r="M226" s="36">
        <v>0</v>
      </c>
      <c r="N226" s="27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</row>
    <row r="227" spans="1:29" ht="23.25">
      <c r="A227" s="15" t="s">
        <v>2097</v>
      </c>
      <c r="B227" s="52" t="s">
        <v>183</v>
      </c>
      <c r="C227" s="66">
        <v>46267</v>
      </c>
      <c r="D227" s="67" t="s">
        <v>2098</v>
      </c>
      <c r="E227" s="68" t="s">
        <v>400</v>
      </c>
      <c r="F227" s="33">
        <v>1005288253</v>
      </c>
      <c r="G227" s="34" t="s">
        <v>1840</v>
      </c>
      <c r="H227" s="36" t="str">
        <v>SST</v>
      </c>
      <c r="I227" s="36" t="str">
        <v>M</v>
      </c>
      <c r="J227" s="36" t="str">
        <v>M</v>
      </c>
      <c r="K227" s="36" t="str">
        <v>ADMINISTRACION</v>
      </c>
      <c r="L227" s="36"/>
      <c r="M227" s="36">
        <v>0</v>
      </c>
      <c r="N227" s="27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</row>
    <row r="228" spans="1:29" ht="23.25">
      <c r="A228" s="15" t="s">
        <v>2106</v>
      </c>
      <c r="B228" s="52" t="s">
        <v>554</v>
      </c>
      <c r="C228" s="66">
        <v>46309</v>
      </c>
      <c r="D228" s="67" t="s">
        <v>2107</v>
      </c>
      <c r="E228" s="68" t="s">
        <v>26</v>
      </c>
      <c r="F228" s="33">
        <v>1005335592</v>
      </c>
      <c r="G228" s="34" t="s">
        <v>1559</v>
      </c>
      <c r="H228" s="36" t="str">
        <v>LOG</v>
      </c>
      <c r="I228" s="36" t="str">
        <v>L</v>
      </c>
      <c r="J228" s="36" t="str">
        <v>XL</v>
      </c>
      <c r="K228" s="36" t="str">
        <v>VESTIDOR HOMBRES</v>
      </c>
      <c r="L228" s="36"/>
      <c r="M228" s="36">
        <v>0</v>
      </c>
      <c r="N228" s="27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</row>
    <row r="229" spans="1:29" ht="23.25">
      <c r="A229" s="15" t="s">
        <v>2113</v>
      </c>
      <c r="B229" s="52" t="s">
        <v>189</v>
      </c>
      <c r="C229" s="66">
        <v>46309</v>
      </c>
      <c r="D229" s="67" t="s">
        <v>2115</v>
      </c>
      <c r="E229" s="68" t="s">
        <v>114</v>
      </c>
      <c r="F229" s="33">
        <v>1019047323</v>
      </c>
      <c r="G229" s="34" t="s">
        <v>1380</v>
      </c>
      <c r="H229" s="36" t="str">
        <v>LYD</v>
      </c>
      <c r="I229" s="36" t="str">
        <v>M</v>
      </c>
      <c r="J229" s="36" t="str">
        <v>L</v>
      </c>
      <c r="K229" s="36" t="str">
        <v>VESTIDOR HOMBRES</v>
      </c>
      <c r="L229" s="36"/>
      <c r="M229" s="36">
        <v>0</v>
      </c>
      <c r="N229" s="27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</row>
    <row r="230" spans="1:29" ht="23.25">
      <c r="A230" s="15" t="s">
        <v>2121</v>
      </c>
      <c r="B230" s="52" t="s">
        <v>167</v>
      </c>
      <c r="C230" s="66">
        <v>46309</v>
      </c>
      <c r="D230" s="67" t="s">
        <v>2123</v>
      </c>
      <c r="E230" s="68" t="s">
        <v>684</v>
      </c>
      <c r="F230" s="33">
        <v>1073321214</v>
      </c>
      <c r="G230" s="34" t="s">
        <v>728</v>
      </c>
      <c r="H230" s="36" t="str">
        <v>LN</v>
      </c>
      <c r="I230" s="36" t="str">
        <v>M</v>
      </c>
      <c r="J230" s="36" t="str">
        <v>M</v>
      </c>
      <c r="K230" s="36" t="str">
        <v>VESTIDOR HOMBRES</v>
      </c>
      <c r="L230" s="36"/>
      <c r="M230" s="36">
        <v>0</v>
      </c>
      <c r="N230" s="27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</row>
    <row r="231" spans="1:29" ht="23.25">
      <c r="A231" s="15" t="s">
        <v>2130</v>
      </c>
      <c r="B231" s="52" t="s">
        <v>107</v>
      </c>
      <c r="C231" s="66">
        <v>46309</v>
      </c>
      <c r="D231" s="67" t="s">
        <v>2131</v>
      </c>
      <c r="E231" s="68" t="s">
        <v>95</v>
      </c>
      <c r="F231" s="33">
        <v>1022380951</v>
      </c>
      <c r="G231" s="34" t="s">
        <v>821</v>
      </c>
      <c r="H231" s="36" t="str">
        <v>LN</v>
      </c>
      <c r="I231" s="36" t="str">
        <v>L</v>
      </c>
      <c r="J231" s="36" t="str">
        <v>M</v>
      </c>
      <c r="K231" s="36" t="str">
        <v>VESTIDOR HOMBRES</v>
      </c>
      <c r="L231" s="36"/>
      <c r="M231" s="36">
        <v>0</v>
      </c>
      <c r="N231" s="27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</row>
    <row r="232" spans="1:29" ht="23.25">
      <c r="A232" s="15" t="s">
        <v>2139</v>
      </c>
      <c r="B232" s="52" t="s">
        <v>196</v>
      </c>
      <c r="C232" s="66">
        <v>46309</v>
      </c>
      <c r="D232" s="67" t="s">
        <v>2140</v>
      </c>
      <c r="E232" s="68" t="s">
        <v>136</v>
      </c>
      <c r="F232" s="33">
        <v>1066094330</v>
      </c>
      <c r="G232" s="34" t="s">
        <v>212</v>
      </c>
      <c r="H232" s="36" t="str">
        <v>PCC</v>
      </c>
      <c r="I232" s="36" t="str">
        <v>L</v>
      </c>
      <c r="J232" s="36" t="str">
        <v>M</v>
      </c>
      <c r="K232" s="36" t="str">
        <v>VESTIDOR HOMBRES</v>
      </c>
      <c r="L232" s="36"/>
      <c r="M232" s="36">
        <v>0</v>
      </c>
      <c r="N232" s="27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</row>
    <row r="233" spans="1:29" ht="23.25">
      <c r="A233" s="15" t="s">
        <v>2147</v>
      </c>
      <c r="B233" s="52" t="s">
        <v>558</v>
      </c>
      <c r="C233" s="66">
        <v>46309</v>
      </c>
      <c r="D233" s="67" t="s">
        <v>2148</v>
      </c>
      <c r="E233" s="68" t="s">
        <v>669</v>
      </c>
      <c r="F233" s="33">
        <v>1098795600</v>
      </c>
      <c r="G233" s="34" t="s">
        <v>317</v>
      </c>
      <c r="H233" s="36" t="str">
        <v>PCC</v>
      </c>
      <c r="I233" s="36" t="str">
        <v>L</v>
      </c>
      <c r="J233" s="36" t="str">
        <v>L</v>
      </c>
      <c r="K233" s="36" t="str">
        <v>VESTIDOR HOMBRES</v>
      </c>
      <c r="L233" s="36"/>
      <c r="M233" s="36">
        <v>0</v>
      </c>
      <c r="N233" s="27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</row>
    <row r="234" spans="1:29" ht="23.25">
      <c r="A234" s="15" t="s">
        <v>2154</v>
      </c>
      <c r="B234" s="52" t="s">
        <v>313</v>
      </c>
      <c r="C234" s="66">
        <v>46309</v>
      </c>
      <c r="D234" s="67" t="s">
        <v>2155</v>
      </c>
      <c r="E234" s="68" t="s">
        <v>120</v>
      </c>
      <c r="F234" s="33">
        <v>1085168797</v>
      </c>
      <c r="G234" s="34" t="s">
        <v>608</v>
      </c>
      <c r="H234" s="36" t="str">
        <v>PCC</v>
      </c>
      <c r="I234" s="36" t="str">
        <v>M</v>
      </c>
      <c r="J234" s="36" t="str">
        <v>L</v>
      </c>
      <c r="K234" s="36" t="str">
        <v>VESTIDOR HOMBRES</v>
      </c>
      <c r="L234" s="36"/>
      <c r="M234" s="36">
        <v>0</v>
      </c>
      <c r="N234" s="27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</row>
    <row r="235" spans="1:29" ht="23.25">
      <c r="A235" s="72" t="s">
        <v>2163</v>
      </c>
      <c r="B235" s="52" t="s">
        <v>739</v>
      </c>
      <c r="C235" s="66">
        <v>46309</v>
      </c>
      <c r="D235" s="67" t="s">
        <v>2164</v>
      </c>
      <c r="E235" s="68" t="s">
        <v>84</v>
      </c>
      <c r="F235" s="33">
        <v>1095908902</v>
      </c>
      <c r="G235" s="34" t="s">
        <v>1614</v>
      </c>
      <c r="H235" s="36" t="str">
        <v>LOG</v>
      </c>
      <c r="I235" s="36" t="str">
        <v>M</v>
      </c>
      <c r="J235" s="36" t="str">
        <v>M</v>
      </c>
      <c r="K235" s="36" t="str">
        <v>ADMINISTRACION</v>
      </c>
      <c r="L235" s="36"/>
      <c r="M235" s="36">
        <v>0</v>
      </c>
      <c r="N235" s="27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</row>
    <row r="236" spans="1:29" ht="23.25">
      <c r="A236" s="15" t="s">
        <v>2165</v>
      </c>
      <c r="B236" s="52" t="s">
        <v>2134</v>
      </c>
      <c r="C236" s="66">
        <v>46310</v>
      </c>
      <c r="D236" s="67" t="s">
        <v>2166</v>
      </c>
      <c r="E236" s="68" t="s">
        <v>84</v>
      </c>
      <c r="F236" s="33">
        <v>1098655071</v>
      </c>
      <c r="G236" s="34" t="s">
        <v>1614</v>
      </c>
      <c r="H236" s="36" t="str">
        <v>LOG</v>
      </c>
      <c r="I236" s="36" t="str">
        <v>XL</v>
      </c>
      <c r="J236" s="36" t="str">
        <v>XXL</v>
      </c>
      <c r="K236" s="36" t="str">
        <v>VESTIDOR HOMBRES</v>
      </c>
      <c r="L236" s="36"/>
      <c r="M236" s="36">
        <v>0</v>
      </c>
      <c r="N236" s="27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</row>
    <row r="237" spans="1:29" ht="23.25">
      <c r="A237" s="15" t="s">
        <v>2167</v>
      </c>
      <c r="B237" s="52" t="s">
        <v>52</v>
      </c>
      <c r="C237" s="66">
        <v>46310</v>
      </c>
      <c r="D237" s="67" t="s">
        <v>2168</v>
      </c>
      <c r="E237" s="68" t="s">
        <v>530</v>
      </c>
      <c r="F237" s="33">
        <v>1095953187</v>
      </c>
      <c r="G237" s="34" t="s">
        <v>1038</v>
      </c>
      <c r="H237" s="36" t="str">
        <v>LN</v>
      </c>
      <c r="I237" s="36" t="str">
        <v>L</v>
      </c>
      <c r="J237" s="36" t="str">
        <v>M</v>
      </c>
      <c r="K237" s="36" t="str">
        <v>VESTIDOR HOMBRES</v>
      </c>
      <c r="L237" s="36"/>
      <c r="M237" s="36">
        <v>0</v>
      </c>
      <c r="N237" s="27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</row>
    <row r="238" spans="1:29" ht="23.25">
      <c r="A238" s="15" t="s">
        <v>2169</v>
      </c>
      <c r="B238" s="52" t="s">
        <v>146</v>
      </c>
      <c r="C238" s="66">
        <v>46310</v>
      </c>
      <c r="D238" s="67" t="s">
        <v>2170</v>
      </c>
      <c r="E238" s="68" t="s">
        <v>1333</v>
      </c>
      <c r="F238" s="33">
        <v>1002448543</v>
      </c>
      <c r="G238" s="34" t="s">
        <v>1087</v>
      </c>
      <c r="H238" s="36" t="str">
        <v>LN</v>
      </c>
      <c r="I238" s="36" t="str">
        <v>M</v>
      </c>
      <c r="J238" s="36" t="str">
        <v>M</v>
      </c>
      <c r="K238" s="36" t="str">
        <v>VESTIDOR HOMBRES</v>
      </c>
      <c r="L238" s="36"/>
      <c r="M238" s="36">
        <v>0</v>
      </c>
      <c r="N238" s="27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</row>
    <row r="239" spans="1:29" ht="23.25">
      <c r="A239" s="15" t="s">
        <v>2171</v>
      </c>
      <c r="B239" s="52" t="s">
        <v>618</v>
      </c>
      <c r="C239" s="66">
        <v>46310</v>
      </c>
      <c r="D239" s="67" t="s">
        <v>2172</v>
      </c>
      <c r="E239" s="68" t="s">
        <v>400</v>
      </c>
      <c r="F239" s="33">
        <v>1005281690</v>
      </c>
      <c r="G239" s="34" t="s">
        <v>37</v>
      </c>
      <c r="H239" s="36" t="str">
        <v>LYD</v>
      </c>
      <c r="I239" s="36" t="str">
        <v>XXL</v>
      </c>
      <c r="J239" s="36" t="str">
        <v>L</v>
      </c>
      <c r="K239" s="36" t="str">
        <v>VESTIDOR HOMBRES</v>
      </c>
      <c r="L239" s="36"/>
      <c r="M239" s="36">
        <v>0</v>
      </c>
      <c r="N239" s="27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</row>
    <row r="240" spans="1:29" ht="23.25">
      <c r="A240" s="15" t="s">
        <v>2173</v>
      </c>
      <c r="B240" s="52" t="s">
        <v>2032</v>
      </c>
      <c r="C240" s="66">
        <v>46310</v>
      </c>
      <c r="D240" s="67" t="s">
        <v>2174</v>
      </c>
      <c r="E240" s="68" t="s">
        <v>885</v>
      </c>
      <c r="F240" s="33">
        <v>1091073475</v>
      </c>
      <c r="G240" s="34" t="s">
        <v>472</v>
      </c>
      <c r="H240" s="36" t="str">
        <v>PCC</v>
      </c>
      <c r="I240" s="36" t="str">
        <v>M</v>
      </c>
      <c r="J240" s="36" t="str">
        <v>M</v>
      </c>
      <c r="K240" s="36" t="str">
        <v>VESTIDOR HOMBRES</v>
      </c>
      <c r="L240" s="36"/>
      <c r="M240" s="36">
        <v>0</v>
      </c>
      <c r="N240" s="27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</row>
    <row r="241" spans="1:29" ht="23.25">
      <c r="A241" s="15" t="s">
        <v>2175</v>
      </c>
      <c r="B241" s="52" t="s">
        <v>1361</v>
      </c>
      <c r="C241" s="66">
        <v>46310</v>
      </c>
      <c r="D241" s="67" t="s">
        <v>2176</v>
      </c>
      <c r="E241" s="68" t="s">
        <v>962</v>
      </c>
      <c r="F241" s="33">
        <v>1099367569</v>
      </c>
      <c r="G241" s="34" t="s">
        <v>536</v>
      </c>
      <c r="H241" s="36" t="str">
        <v>PCC</v>
      </c>
      <c r="I241" s="36" t="str">
        <v>M</v>
      </c>
      <c r="J241" s="36" t="str">
        <v>L</v>
      </c>
      <c r="K241" s="36" t="str">
        <v>VESTIDOR HOMBRES</v>
      </c>
      <c r="L241" s="36"/>
      <c r="M241" s="36">
        <v>0</v>
      </c>
      <c r="N241" s="27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</row>
    <row r="242" spans="1:29" ht="23.25">
      <c r="A242" s="15" t="s">
        <v>2177</v>
      </c>
      <c r="B242" s="52" t="s">
        <v>1718</v>
      </c>
      <c r="C242" s="66">
        <v>46310</v>
      </c>
      <c r="D242" s="67" t="s">
        <v>2178</v>
      </c>
      <c r="E242" s="68" t="s">
        <v>109</v>
      </c>
      <c r="F242" s="33">
        <v>1098695515</v>
      </c>
      <c r="G242" s="34" t="s">
        <v>1791</v>
      </c>
      <c r="H242" s="36" t="str">
        <v>SST</v>
      </c>
      <c r="I242" s="36" t="str">
        <v>M</v>
      </c>
      <c r="J242" s="36" t="str">
        <v>XXL</v>
      </c>
      <c r="K242" s="36" t="str">
        <v>ADMINISTRACION</v>
      </c>
      <c r="L242" s="36"/>
      <c r="M242" s="36">
        <v>0</v>
      </c>
      <c r="N242" s="27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</row>
    <row r="243" spans="1:29" ht="23.25">
      <c r="A243" s="15" t="s">
        <v>2179</v>
      </c>
      <c r="B243" s="52" t="s">
        <v>644</v>
      </c>
      <c r="C243" s="66">
        <v>46310</v>
      </c>
      <c r="D243" s="67" t="s">
        <v>2180</v>
      </c>
      <c r="E243" s="68" t="s">
        <v>26</v>
      </c>
      <c r="F243" s="33">
        <v>1005162143</v>
      </c>
      <c r="G243" s="34" t="s">
        <v>1655</v>
      </c>
      <c r="H243" s="36" t="str">
        <v>LOG</v>
      </c>
      <c r="I243" s="36" t="str">
        <v>XL</v>
      </c>
      <c r="J243" s="36" t="str">
        <v>XXXL</v>
      </c>
      <c r="K243" s="36" t="str">
        <v>VESTIDOR HOMBRES</v>
      </c>
      <c r="L243" s="36"/>
      <c r="M243" s="36">
        <v>0</v>
      </c>
      <c r="N243" s="27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</row>
    <row r="244" spans="1:29" ht="23.25">
      <c r="A244" s="15" t="s">
        <v>2181</v>
      </c>
      <c r="B244" s="52" t="s">
        <v>112</v>
      </c>
      <c r="C244" s="66">
        <v>46310</v>
      </c>
      <c r="D244" s="67" t="s">
        <v>2182</v>
      </c>
      <c r="E244" s="68" t="s">
        <v>95</v>
      </c>
      <c r="F244" s="33">
        <v>91182404</v>
      </c>
      <c r="G244" s="34" t="s">
        <v>1800</v>
      </c>
      <c r="H244" s="36" t="str">
        <v>LOG</v>
      </c>
      <c r="I244" s="36" t="str">
        <v>XXL</v>
      </c>
      <c r="J244" s="36" t="str">
        <v>M</v>
      </c>
      <c r="K244" s="36" t="str">
        <v>ADMINISTRACION</v>
      </c>
      <c r="L244" s="36"/>
      <c r="M244" s="36">
        <v>0</v>
      </c>
      <c r="N244" s="27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</row>
    <row r="245" spans="1:29" ht="23.25">
      <c r="A245" s="15" t="s">
        <v>2183</v>
      </c>
      <c r="B245" s="55" t="s">
        <v>2184</v>
      </c>
      <c r="C245" s="66">
        <v>46310</v>
      </c>
      <c r="D245" s="67" t="s">
        <v>2185</v>
      </c>
      <c r="E245" s="68" t="s">
        <v>143</v>
      </c>
      <c r="F245" s="33">
        <v>1098679386</v>
      </c>
      <c r="G245" s="34" t="s">
        <v>1273</v>
      </c>
      <c r="H245" s="36" t="str">
        <v>LOG</v>
      </c>
      <c r="I245" s="36" t="str">
        <v>M</v>
      </c>
      <c r="J245" s="36" t="str">
        <v>M</v>
      </c>
      <c r="K245" s="36" t="str">
        <v>VESTIDOR HOMBRES</v>
      </c>
      <c r="L245" s="36"/>
      <c r="M245" s="36">
        <v>0</v>
      </c>
      <c r="N245" s="27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</row>
    <row r="246" spans="1:29" ht="23.25">
      <c r="A246" s="15"/>
      <c r="B246" s="55"/>
      <c r="C246" s="66"/>
      <c r="D246" s="67"/>
      <c r="E246" s="68"/>
      <c r="F246" s="33" t="str">
        <v/>
      </c>
      <c r="G246" s="34"/>
      <c r="H246" s="36" t="str">
        <v/>
      </c>
      <c r="I246" s="36" t="str">
        <v/>
      </c>
      <c r="J246" s="36" t="str">
        <v/>
      </c>
      <c r="K246" s="36" t="str">
        <v/>
      </c>
      <c r="L246" s="36"/>
      <c r="M246" s="36" t="str">
        <v/>
      </c>
      <c r="N246" s="27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</row>
    <row r="247" spans="1:29" ht="23.25">
      <c r="A247" s="15"/>
      <c r="B247" s="55"/>
      <c r="C247" s="66"/>
      <c r="D247" s="67"/>
      <c r="E247" s="68"/>
      <c r="F247" s="33" t="str">
        <v/>
      </c>
      <c r="G247" s="34"/>
      <c r="H247" s="36" t="str">
        <v/>
      </c>
      <c r="I247" s="36" t="str">
        <v/>
      </c>
      <c r="J247" s="36" t="str">
        <v/>
      </c>
      <c r="K247" s="36" t="str">
        <v/>
      </c>
      <c r="L247" s="36"/>
      <c r="M247" s="36" t="str">
        <v/>
      </c>
      <c r="N247" s="27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</row>
    <row r="248" spans="1:29" ht="23.25">
      <c r="A248" s="15"/>
      <c r="B248" s="55"/>
      <c r="C248" s="66"/>
      <c r="D248" s="67"/>
      <c r="E248" s="68"/>
      <c r="F248" s="33" t="str">
        <v/>
      </c>
      <c r="G248" s="34"/>
      <c r="H248" s="36" t="str">
        <v/>
      </c>
      <c r="I248" s="36" t="str">
        <v/>
      </c>
      <c r="J248" s="36" t="str">
        <v/>
      </c>
      <c r="K248" s="36" t="str">
        <v/>
      </c>
      <c r="L248" s="36"/>
      <c r="M248" s="36" t="str">
        <v/>
      </c>
      <c r="N248" s="27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</row>
    <row r="249" spans="1:29" ht="23.25">
      <c r="A249" s="15"/>
      <c r="B249" s="55"/>
      <c r="C249" s="66"/>
      <c r="D249" s="67"/>
      <c r="E249" s="68"/>
      <c r="F249" s="33" t="str">
        <v/>
      </c>
      <c r="G249" s="34"/>
      <c r="H249" s="36" t="str">
        <v/>
      </c>
      <c r="I249" s="36" t="str">
        <v/>
      </c>
      <c r="J249" s="36" t="str">
        <v/>
      </c>
      <c r="K249" s="36" t="str">
        <v/>
      </c>
      <c r="L249" s="36"/>
      <c r="M249" s="36" t="str">
        <v/>
      </c>
      <c r="N249" s="27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</row>
    <row r="250" spans="1:29" ht="23.25">
      <c r="A250" s="15"/>
      <c r="B250" s="55"/>
      <c r="C250" s="66"/>
      <c r="D250" s="67"/>
      <c r="E250" s="68"/>
      <c r="F250" s="33" t="str">
        <v/>
      </c>
      <c r="G250" s="34"/>
      <c r="H250" s="36" t="str">
        <v/>
      </c>
      <c r="I250" s="36" t="str">
        <v/>
      </c>
      <c r="J250" s="36" t="str">
        <v/>
      </c>
      <c r="K250" s="36" t="str">
        <v/>
      </c>
      <c r="L250" s="36"/>
      <c r="M250" s="36" t="str">
        <v/>
      </c>
      <c r="N250" s="27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</row>
    <row r="251" spans="1:29" ht="23.25">
      <c r="A251" s="15"/>
      <c r="B251" s="55"/>
      <c r="C251" s="66"/>
      <c r="D251" s="67"/>
      <c r="E251" s="68"/>
      <c r="F251" s="33" t="str">
        <v/>
      </c>
      <c r="G251" s="34"/>
      <c r="H251" s="36" t="str">
        <v/>
      </c>
      <c r="I251" s="36" t="str">
        <v/>
      </c>
      <c r="J251" s="36" t="str">
        <v/>
      </c>
      <c r="K251" s="36" t="str">
        <v/>
      </c>
      <c r="L251" s="36"/>
      <c r="M251" s="36" t="str">
        <v/>
      </c>
      <c r="N251" s="27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</row>
    <row r="252" spans="1:29" ht="23.25">
      <c r="A252" s="15"/>
      <c r="B252" s="55"/>
      <c r="C252" s="66"/>
      <c r="D252" s="67"/>
      <c r="E252" s="68"/>
      <c r="F252" s="33" t="str">
        <v/>
      </c>
      <c r="G252" s="34"/>
      <c r="H252" s="36" t="str">
        <v/>
      </c>
      <c r="I252" s="36" t="str">
        <v/>
      </c>
      <c r="J252" s="36" t="str">
        <v/>
      </c>
      <c r="K252" s="36" t="str">
        <v/>
      </c>
      <c r="L252" s="36"/>
      <c r="M252" s="36" t="str">
        <v/>
      </c>
      <c r="N252" s="27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</row>
    <row r="253" spans="1:29" ht="23.25">
      <c r="A253" s="15"/>
      <c r="B253" s="55"/>
      <c r="C253" s="66"/>
      <c r="D253" s="67"/>
      <c r="E253" s="68"/>
      <c r="F253" s="33" t="str">
        <v/>
      </c>
      <c r="G253" s="34"/>
      <c r="H253" s="36" t="str">
        <v/>
      </c>
      <c r="I253" s="36" t="str">
        <v/>
      </c>
      <c r="J253" s="36" t="str">
        <v/>
      </c>
      <c r="K253" s="36" t="str">
        <v/>
      </c>
      <c r="L253" s="36"/>
      <c r="M253" s="36" t="str">
        <v/>
      </c>
      <c r="N253" s="27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</row>
    <row r="254" spans="1:29" ht="23.25">
      <c r="A254" s="15"/>
      <c r="B254" s="55"/>
      <c r="C254" s="66"/>
      <c r="D254" s="67"/>
      <c r="E254" s="68"/>
      <c r="F254" s="33" t="str">
        <v/>
      </c>
      <c r="G254" s="34"/>
      <c r="H254" s="36" t="str">
        <v/>
      </c>
      <c r="I254" s="36" t="str">
        <v/>
      </c>
      <c r="J254" s="36" t="str">
        <v/>
      </c>
      <c r="K254" s="36" t="str">
        <v/>
      </c>
      <c r="L254" s="36"/>
      <c r="M254" s="36" t="str">
        <v/>
      </c>
      <c r="N254" s="27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</row>
    <row r="255" spans="1:29" ht="23.25">
      <c r="A255" s="15"/>
      <c r="B255" s="55"/>
      <c r="C255" s="66"/>
      <c r="D255" s="67"/>
      <c r="E255" s="68"/>
      <c r="F255" s="33" t="str">
        <v/>
      </c>
      <c r="G255" s="34"/>
      <c r="H255" s="36" t="str">
        <v/>
      </c>
      <c r="I255" s="36" t="str">
        <v/>
      </c>
      <c r="J255" s="36" t="str">
        <v/>
      </c>
      <c r="K255" s="36" t="str">
        <v/>
      </c>
      <c r="L255" s="36"/>
      <c r="M255" s="36" t="str">
        <v/>
      </c>
      <c r="N255" s="27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</row>
    <row r="256" spans="1:29" ht="23.25">
      <c r="A256" s="15"/>
      <c r="B256" s="55"/>
      <c r="C256" s="66"/>
      <c r="D256" s="67"/>
      <c r="E256" s="68"/>
      <c r="F256" s="33" t="str">
        <v/>
      </c>
      <c r="G256" s="36"/>
      <c r="H256" s="36" t="str">
        <v/>
      </c>
      <c r="I256" s="36" t="str">
        <v/>
      </c>
      <c r="J256" s="36" t="str">
        <v/>
      </c>
      <c r="K256" s="36" t="str">
        <v/>
      </c>
      <c r="L256" s="36"/>
      <c r="M256" s="36" t="str">
        <v/>
      </c>
      <c r="N256" s="27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</row>
    <row r="257" spans="1:29" ht="23.25">
      <c r="A257" s="15"/>
      <c r="B257" s="55"/>
      <c r="C257" s="66"/>
      <c r="D257" s="67"/>
      <c r="E257" s="68"/>
      <c r="F257" s="33" t="str">
        <v/>
      </c>
      <c r="G257" s="36"/>
      <c r="H257" s="36" t="str">
        <v/>
      </c>
      <c r="I257" s="36" t="str">
        <v/>
      </c>
      <c r="J257" s="36" t="str">
        <v/>
      </c>
      <c r="K257" s="36" t="str">
        <v/>
      </c>
      <c r="L257" s="36"/>
      <c r="M257" s="36" t="str">
        <v/>
      </c>
      <c r="N257" s="27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</row>
    <row r="258" spans="1:29" ht="23.25">
      <c r="A258" s="15"/>
      <c r="B258" s="55"/>
      <c r="C258" s="66"/>
      <c r="D258" s="67"/>
      <c r="E258" s="68"/>
      <c r="F258" s="33" t="str">
        <v/>
      </c>
      <c r="G258" s="36"/>
      <c r="H258" s="36" t="str">
        <v/>
      </c>
      <c r="I258" s="36" t="str">
        <v/>
      </c>
      <c r="J258" s="36" t="str">
        <v/>
      </c>
      <c r="K258" s="36" t="str">
        <v/>
      </c>
      <c r="L258" s="36"/>
      <c r="M258" s="36" t="str">
        <v/>
      </c>
      <c r="N258" s="27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</row>
    <row r="259" spans="1:29" ht="23.25">
      <c r="A259" s="15"/>
      <c r="B259" s="55"/>
      <c r="C259" s="66"/>
      <c r="D259" s="67"/>
      <c r="E259" s="68"/>
      <c r="F259" s="33" t="str">
        <v/>
      </c>
      <c r="G259" s="36"/>
      <c r="H259" s="36" t="str">
        <v/>
      </c>
      <c r="I259" s="36" t="str">
        <v/>
      </c>
      <c r="J259" s="36" t="str">
        <v/>
      </c>
      <c r="K259" s="36" t="str">
        <v/>
      </c>
      <c r="L259" s="36"/>
      <c r="M259" s="36" t="str">
        <v/>
      </c>
      <c r="N259" s="27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</row>
    <row r="260" spans="1:29" ht="23.25">
      <c r="A260" s="15"/>
      <c r="B260" s="55"/>
      <c r="C260" s="66"/>
      <c r="D260" s="67"/>
      <c r="E260" s="68"/>
      <c r="F260" s="33" t="str">
        <v/>
      </c>
      <c r="G260" s="36"/>
      <c r="H260" s="36" t="str">
        <v/>
      </c>
      <c r="I260" s="36" t="str">
        <v/>
      </c>
      <c r="J260" s="36" t="str">
        <v/>
      </c>
      <c r="K260" s="36" t="str">
        <v/>
      </c>
      <c r="L260" s="36"/>
      <c r="M260" s="36" t="str">
        <v/>
      </c>
      <c r="N260" s="27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</row>
    <row r="261" spans="1:29" ht="23.25">
      <c r="A261" s="15"/>
      <c r="B261" s="55"/>
      <c r="C261" s="66"/>
      <c r="D261" s="67"/>
      <c r="E261" s="68"/>
      <c r="F261" s="33" t="str">
        <v/>
      </c>
      <c r="G261" s="36"/>
      <c r="H261" s="36" t="str">
        <v/>
      </c>
      <c r="I261" s="36" t="str">
        <v/>
      </c>
      <c r="J261" s="36" t="str">
        <v/>
      </c>
      <c r="K261" s="36" t="str">
        <v/>
      </c>
      <c r="L261" s="36"/>
      <c r="M261" s="36" t="str">
        <v/>
      </c>
      <c r="N261" s="27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</row>
    <row r="262" spans="1:29" ht="23.25">
      <c r="A262" s="15"/>
      <c r="B262" s="55"/>
      <c r="C262" s="66"/>
      <c r="D262" s="67"/>
      <c r="E262" s="68"/>
      <c r="F262" s="33" t="str">
        <v/>
      </c>
      <c r="G262" s="36"/>
      <c r="H262" s="36" t="str">
        <v/>
      </c>
      <c r="I262" s="36" t="str">
        <v/>
      </c>
      <c r="J262" s="36" t="str">
        <v/>
      </c>
      <c r="K262" s="36" t="str">
        <v/>
      </c>
      <c r="L262" s="36"/>
      <c r="M262" s="36" t="str">
        <v/>
      </c>
      <c r="N262" s="27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</row>
    <row r="263" spans="1:29" ht="23.25">
      <c r="A263" s="15"/>
      <c r="B263" s="55"/>
      <c r="C263" s="66"/>
      <c r="D263" s="67"/>
      <c r="E263" s="68"/>
      <c r="F263" s="33" t="str">
        <v/>
      </c>
      <c r="G263" s="36"/>
      <c r="H263" s="36" t="str">
        <v/>
      </c>
      <c r="I263" s="36" t="str">
        <v/>
      </c>
      <c r="J263" s="36" t="str">
        <v/>
      </c>
      <c r="K263" s="36" t="str">
        <v/>
      </c>
      <c r="L263" s="36"/>
      <c r="M263" s="36" t="str">
        <v/>
      </c>
      <c r="N263" s="27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</row>
    <row r="264" spans="1:29" ht="23.25">
      <c r="A264" s="15"/>
      <c r="B264" s="55"/>
      <c r="C264" s="66"/>
      <c r="D264" s="67"/>
      <c r="E264" s="68"/>
      <c r="F264" s="33" t="str">
        <v/>
      </c>
      <c r="G264" s="36"/>
      <c r="H264" s="36" t="str">
        <v/>
      </c>
      <c r="I264" s="36" t="str">
        <v/>
      </c>
      <c r="J264" s="36" t="str">
        <v/>
      </c>
      <c r="K264" s="36" t="str">
        <v/>
      </c>
      <c r="L264" s="36"/>
      <c r="M264" s="36" t="str">
        <v/>
      </c>
      <c r="N264" s="27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</row>
    <row r="265" spans="1:29" ht="23.25">
      <c r="A265" s="15"/>
      <c r="B265" s="55"/>
      <c r="C265" s="66"/>
      <c r="D265" s="67"/>
      <c r="E265" s="68"/>
      <c r="F265" s="33" t="str">
        <v/>
      </c>
      <c r="G265" s="36"/>
      <c r="H265" s="36" t="str">
        <v/>
      </c>
      <c r="I265" s="36" t="str">
        <v/>
      </c>
      <c r="J265" s="36" t="str">
        <v/>
      </c>
      <c r="K265" s="36" t="str">
        <v/>
      </c>
      <c r="L265" s="36"/>
      <c r="M265" s="36" t="str">
        <v/>
      </c>
      <c r="N265" s="27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</row>
    <row r="266" spans="1:29" ht="23.25">
      <c r="A266" s="15"/>
      <c r="B266" s="55"/>
      <c r="C266" s="66"/>
      <c r="D266" s="67"/>
      <c r="E266" s="68"/>
      <c r="F266" s="33" t="str">
        <v/>
      </c>
      <c r="G266" s="36"/>
      <c r="H266" s="36" t="str">
        <v/>
      </c>
      <c r="I266" s="36" t="str">
        <v/>
      </c>
      <c r="J266" s="36" t="str">
        <v/>
      </c>
      <c r="K266" s="36" t="str">
        <v/>
      </c>
      <c r="L266" s="36"/>
      <c r="M266" s="36" t="str">
        <v/>
      </c>
      <c r="N266" s="27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</row>
    <row r="267" spans="1:29" ht="23.25">
      <c r="A267" s="15"/>
      <c r="B267" s="55"/>
      <c r="C267" s="66"/>
      <c r="D267" s="67"/>
      <c r="E267" s="68"/>
      <c r="F267" s="33" t="str">
        <v/>
      </c>
      <c r="G267" s="36"/>
      <c r="H267" s="36" t="str">
        <v/>
      </c>
      <c r="I267" s="36" t="str">
        <v/>
      </c>
      <c r="J267" s="36" t="str">
        <v/>
      </c>
      <c r="K267" s="36" t="str">
        <v/>
      </c>
      <c r="L267" s="36"/>
      <c r="M267" s="36" t="str">
        <v/>
      </c>
      <c r="N267" s="27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</row>
    <row r="268" spans="1:29" ht="23.25">
      <c r="A268" s="15"/>
      <c r="B268" s="55"/>
      <c r="C268" s="66"/>
      <c r="D268" s="67"/>
      <c r="E268" s="68"/>
      <c r="F268" s="33" t="str">
        <v/>
      </c>
      <c r="G268" s="36"/>
      <c r="H268" s="36" t="str">
        <v/>
      </c>
      <c r="I268" s="36" t="str">
        <v/>
      </c>
      <c r="J268" s="36" t="str">
        <v/>
      </c>
      <c r="K268" s="36" t="str">
        <v/>
      </c>
      <c r="L268" s="36"/>
      <c r="M268" s="36" t="str">
        <v/>
      </c>
      <c r="N268" s="27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</row>
    <row r="269" spans="1:29" ht="23.25">
      <c r="A269" s="15"/>
      <c r="B269" s="55"/>
      <c r="C269" s="66"/>
      <c r="D269" s="67"/>
      <c r="E269" s="68"/>
      <c r="F269" s="33" t="str">
        <v/>
      </c>
      <c r="G269" s="36"/>
      <c r="H269" s="36" t="str">
        <v/>
      </c>
      <c r="I269" s="36" t="str">
        <v/>
      </c>
      <c r="J269" s="36" t="str">
        <v/>
      </c>
      <c r="K269" s="36" t="str">
        <v/>
      </c>
      <c r="L269" s="36"/>
      <c r="M269" s="36" t="str">
        <v/>
      </c>
      <c r="N269" s="27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</row>
    <row r="270" spans="1:29" ht="23.25">
      <c r="A270" s="15"/>
      <c r="B270" s="55"/>
      <c r="C270" s="66"/>
      <c r="D270" s="67"/>
      <c r="E270" s="68"/>
      <c r="F270" s="33" t="str">
        <v/>
      </c>
      <c r="G270" s="36"/>
      <c r="H270" s="36" t="str">
        <v/>
      </c>
      <c r="I270" s="36" t="str">
        <v/>
      </c>
      <c r="J270" s="36" t="str">
        <v/>
      </c>
      <c r="K270" s="36" t="str">
        <v/>
      </c>
      <c r="L270" s="36"/>
      <c r="M270" s="36" t="str">
        <v/>
      </c>
      <c r="N270" s="27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</row>
    <row r="271" spans="1:29" ht="23.25">
      <c r="A271" s="15"/>
      <c r="B271" s="55"/>
      <c r="C271" s="66"/>
      <c r="D271" s="67"/>
      <c r="E271" s="68"/>
      <c r="F271" s="33" t="str">
        <v/>
      </c>
      <c r="G271" s="36"/>
      <c r="H271" s="36" t="str">
        <v/>
      </c>
      <c r="I271" s="36" t="str">
        <v/>
      </c>
      <c r="J271" s="36" t="str">
        <v/>
      </c>
      <c r="K271" s="36" t="str">
        <v/>
      </c>
      <c r="L271" s="36"/>
      <c r="M271" s="36" t="str">
        <v/>
      </c>
      <c r="N271" s="27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</row>
    <row r="272" spans="1:29" ht="23.25">
      <c r="A272" s="15"/>
      <c r="B272" s="55"/>
      <c r="C272" s="66"/>
      <c r="D272" s="67"/>
      <c r="E272" s="68"/>
      <c r="F272" s="33" t="str">
        <v/>
      </c>
      <c r="G272" s="36"/>
      <c r="H272" s="36" t="str">
        <v/>
      </c>
      <c r="I272" s="36" t="str">
        <v/>
      </c>
      <c r="J272" s="36" t="str">
        <v/>
      </c>
      <c r="K272" s="36" t="str">
        <v/>
      </c>
      <c r="L272" s="36"/>
      <c r="M272" s="36" t="str">
        <v/>
      </c>
      <c r="N272" s="27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</row>
    <row r="273" spans="1:29" ht="23.25">
      <c r="A273" s="15"/>
      <c r="B273" s="55"/>
      <c r="C273" s="66"/>
      <c r="D273" s="67"/>
      <c r="E273" s="68"/>
      <c r="F273" s="33" t="str">
        <v/>
      </c>
      <c r="G273" s="36"/>
      <c r="H273" s="36" t="str">
        <v/>
      </c>
      <c r="I273" s="36" t="str">
        <v/>
      </c>
      <c r="J273" s="36" t="str">
        <v/>
      </c>
      <c r="K273" s="36" t="str">
        <v/>
      </c>
      <c r="L273" s="36"/>
      <c r="M273" s="36" t="str">
        <v/>
      </c>
      <c r="N273" s="27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</row>
    <row r="274" spans="1:29" ht="23.25">
      <c r="A274" s="15"/>
      <c r="B274" s="55"/>
      <c r="C274" s="66"/>
      <c r="D274" s="67"/>
      <c r="E274" s="68"/>
      <c r="F274" s="33" t="str">
        <v/>
      </c>
      <c r="G274" s="36"/>
      <c r="H274" s="36" t="str">
        <v/>
      </c>
      <c r="I274" s="36" t="str">
        <v/>
      </c>
      <c r="J274" s="36" t="str">
        <v/>
      </c>
      <c r="K274" s="36" t="str">
        <v/>
      </c>
      <c r="L274" s="36"/>
      <c r="M274" s="36" t="str">
        <v/>
      </c>
      <c r="N274" s="27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</row>
    <row r="275" spans="1:29" ht="23.25">
      <c r="A275" s="15"/>
      <c r="B275" s="55"/>
      <c r="C275" s="66"/>
      <c r="D275" s="67"/>
      <c r="E275" s="68"/>
      <c r="F275" s="33" t="str">
        <v/>
      </c>
      <c r="G275" s="36"/>
      <c r="H275" s="36" t="str">
        <v/>
      </c>
      <c r="I275" s="36" t="str">
        <v/>
      </c>
      <c r="J275" s="36" t="str">
        <v/>
      </c>
      <c r="K275" s="36" t="str">
        <v/>
      </c>
      <c r="L275" s="36"/>
      <c r="M275" s="36" t="str">
        <v/>
      </c>
      <c r="N275" s="27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</row>
    <row r="276" spans="1:29" ht="23.25">
      <c r="A276" s="15"/>
      <c r="B276" s="55"/>
      <c r="C276" s="66"/>
      <c r="D276" s="67"/>
      <c r="E276" s="68"/>
      <c r="F276" s="33" t="str">
        <v/>
      </c>
      <c r="G276" s="36"/>
      <c r="H276" s="36" t="str">
        <v/>
      </c>
      <c r="I276" s="36" t="str">
        <v/>
      </c>
      <c r="J276" s="36" t="str">
        <v/>
      </c>
      <c r="K276" s="36" t="str">
        <v/>
      </c>
      <c r="L276" s="36"/>
      <c r="M276" s="36" t="str">
        <v/>
      </c>
      <c r="N276" s="27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</row>
    <row r="277" spans="1:29" ht="23.25">
      <c r="A277" s="15"/>
      <c r="B277" s="55"/>
      <c r="C277" s="66"/>
      <c r="D277" s="67"/>
      <c r="E277" s="68"/>
      <c r="F277" s="33" t="str">
        <v/>
      </c>
      <c r="G277" s="36"/>
      <c r="H277" s="36" t="str">
        <v/>
      </c>
      <c r="I277" s="36" t="str">
        <v/>
      </c>
      <c r="J277" s="36" t="str">
        <v/>
      </c>
      <c r="K277" s="36" t="str">
        <v/>
      </c>
      <c r="L277" s="36"/>
      <c r="M277" s="36" t="str">
        <v/>
      </c>
      <c r="N277" s="27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</row>
    <row r="278" spans="1:29" ht="23.25">
      <c r="A278" s="15"/>
      <c r="B278" s="55"/>
      <c r="C278" s="66"/>
      <c r="D278" s="67"/>
      <c r="E278" s="68"/>
      <c r="F278" s="33" t="str">
        <v/>
      </c>
      <c r="G278" s="36"/>
      <c r="H278" s="36" t="str">
        <v/>
      </c>
      <c r="I278" s="36" t="str">
        <v/>
      </c>
      <c r="J278" s="36" t="str">
        <v/>
      </c>
      <c r="K278" s="36" t="str">
        <v/>
      </c>
      <c r="L278" s="36"/>
      <c r="M278" s="36" t="str">
        <v/>
      </c>
      <c r="N278" s="27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</row>
    <row r="279" spans="1:29" ht="23.25">
      <c r="A279" s="15"/>
      <c r="B279" s="55"/>
      <c r="C279" s="66"/>
      <c r="D279" s="67"/>
      <c r="E279" s="68"/>
      <c r="F279" s="33" t="str">
        <v/>
      </c>
      <c r="G279" s="36"/>
      <c r="H279" s="36" t="str">
        <v/>
      </c>
      <c r="I279" s="36" t="str">
        <v/>
      </c>
      <c r="J279" s="36" t="str">
        <v/>
      </c>
      <c r="K279" s="36" t="str">
        <v/>
      </c>
      <c r="L279" s="36"/>
      <c r="M279" s="36" t="str">
        <v/>
      </c>
      <c r="N279" s="27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</row>
    <row r="280" spans="1:29" ht="23.25">
      <c r="A280" s="15"/>
      <c r="B280" s="55"/>
      <c r="C280" s="66"/>
      <c r="D280" s="67"/>
      <c r="E280" s="68"/>
      <c r="F280" s="33" t="str">
        <v/>
      </c>
      <c r="G280" s="36"/>
      <c r="H280" s="36" t="str">
        <v/>
      </c>
      <c r="I280" s="36" t="str">
        <v/>
      </c>
      <c r="J280" s="36" t="str">
        <v/>
      </c>
      <c r="K280" s="36" t="str">
        <v/>
      </c>
      <c r="L280" s="36"/>
      <c r="M280" s="36" t="str">
        <v/>
      </c>
      <c r="N280" s="27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</row>
    <row r="281" spans="1:29" ht="23.25">
      <c r="A281" s="15"/>
      <c r="B281" s="55"/>
      <c r="C281" s="66"/>
      <c r="D281" s="67"/>
      <c r="E281" s="68"/>
      <c r="F281" s="33" t="str">
        <v/>
      </c>
      <c r="G281" s="36"/>
      <c r="H281" s="36" t="str">
        <v/>
      </c>
      <c r="I281" s="36" t="str">
        <v/>
      </c>
      <c r="J281" s="36" t="str">
        <v/>
      </c>
      <c r="K281" s="36" t="str">
        <v/>
      </c>
      <c r="L281" s="36"/>
      <c r="M281" s="36" t="str">
        <v/>
      </c>
      <c r="N281" s="27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</row>
    <row r="282" spans="1:29" ht="23.25">
      <c r="A282" s="15"/>
      <c r="B282" s="55"/>
      <c r="C282" s="66"/>
      <c r="D282" s="67"/>
      <c r="E282" s="68"/>
      <c r="F282" s="33" t="str">
        <v/>
      </c>
      <c r="G282" s="36"/>
      <c r="H282" s="36" t="str">
        <v/>
      </c>
      <c r="I282" s="36" t="str">
        <v/>
      </c>
      <c r="J282" s="36" t="str">
        <v/>
      </c>
      <c r="K282" s="36" t="str">
        <v/>
      </c>
      <c r="L282" s="36"/>
      <c r="M282" s="36" t="str">
        <v/>
      </c>
      <c r="N282" s="27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</row>
    <row r="283" spans="1:29" ht="23.25">
      <c r="A283" s="15"/>
      <c r="B283" s="55"/>
      <c r="C283" s="66"/>
      <c r="D283" s="67"/>
      <c r="E283" s="68"/>
      <c r="F283" s="33" t="str">
        <v/>
      </c>
      <c r="G283" s="36"/>
      <c r="H283" s="36" t="str">
        <v/>
      </c>
      <c r="I283" s="36" t="str">
        <v/>
      </c>
      <c r="J283" s="36" t="str">
        <v/>
      </c>
      <c r="K283" s="36" t="str">
        <v/>
      </c>
      <c r="L283" s="36"/>
      <c r="M283" s="36" t="str">
        <v/>
      </c>
      <c r="N283" s="27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</row>
    <row r="284" spans="1:29" ht="23.25">
      <c r="A284" s="15"/>
      <c r="B284" s="55"/>
      <c r="C284" s="66"/>
      <c r="D284" s="67"/>
      <c r="E284" s="68"/>
      <c r="F284" s="33" t="str">
        <v/>
      </c>
      <c r="G284" s="36"/>
      <c r="H284" s="36" t="str">
        <v/>
      </c>
      <c r="I284" s="36" t="str">
        <v/>
      </c>
      <c r="J284" s="36" t="str">
        <v/>
      </c>
      <c r="K284" s="36" t="str">
        <v/>
      </c>
      <c r="L284" s="36"/>
      <c r="M284" s="36" t="str">
        <v/>
      </c>
      <c r="N284" s="27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</row>
    <row r="285" spans="1:29" ht="23.25">
      <c r="A285" s="15"/>
      <c r="B285" s="55"/>
      <c r="C285" s="66"/>
      <c r="D285" s="67"/>
      <c r="E285" s="68"/>
      <c r="F285" s="33" t="str">
        <v/>
      </c>
      <c r="G285" s="36"/>
      <c r="H285" s="36" t="str">
        <v/>
      </c>
      <c r="I285" s="36" t="str">
        <v/>
      </c>
      <c r="J285" s="36" t="str">
        <v/>
      </c>
      <c r="K285" s="36" t="str">
        <v/>
      </c>
      <c r="L285" s="36"/>
      <c r="M285" s="36" t="str">
        <v/>
      </c>
      <c r="N285" s="27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</row>
    <row r="286" spans="1:29" ht="23.25">
      <c r="A286" s="15"/>
      <c r="B286" s="55"/>
      <c r="C286" s="66"/>
      <c r="D286" s="67"/>
      <c r="E286" s="68"/>
      <c r="F286" s="33" t="str">
        <v/>
      </c>
      <c r="G286" s="36"/>
      <c r="H286" s="36" t="str">
        <v/>
      </c>
      <c r="I286" s="36" t="str">
        <v/>
      </c>
      <c r="J286" s="36" t="str">
        <v/>
      </c>
      <c r="K286" s="36" t="str">
        <v/>
      </c>
      <c r="L286" s="36"/>
      <c r="M286" s="36" t="str">
        <v/>
      </c>
      <c r="N286" s="27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</row>
    <row r="287" spans="1:29" ht="23.25">
      <c r="A287" s="15"/>
      <c r="B287" s="55"/>
      <c r="C287" s="66"/>
      <c r="D287" s="67"/>
      <c r="E287" s="68"/>
      <c r="F287" s="33" t="str">
        <v/>
      </c>
      <c r="G287" s="36"/>
      <c r="H287" s="36" t="str">
        <v/>
      </c>
      <c r="I287" s="36" t="str">
        <v/>
      </c>
      <c r="J287" s="36" t="str">
        <v/>
      </c>
      <c r="K287" s="36" t="str">
        <v/>
      </c>
      <c r="L287" s="36"/>
      <c r="M287" s="36" t="str">
        <v/>
      </c>
      <c r="N287" s="27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</row>
    <row r="288" spans="1:29" ht="23.25">
      <c r="A288" s="15"/>
      <c r="B288" s="55"/>
      <c r="C288" s="66"/>
      <c r="D288" s="67"/>
      <c r="E288" s="68"/>
      <c r="F288" s="33" t="str">
        <v/>
      </c>
      <c r="G288" s="36"/>
      <c r="H288" s="36" t="str">
        <v/>
      </c>
      <c r="I288" s="36" t="str">
        <v/>
      </c>
      <c r="J288" s="36" t="str">
        <v/>
      </c>
      <c r="K288" s="36" t="str">
        <v/>
      </c>
      <c r="L288" s="36"/>
      <c r="M288" s="36" t="str">
        <v/>
      </c>
      <c r="N288" s="27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</row>
    <row r="289" spans="1:29" ht="23.25">
      <c r="A289" s="15"/>
      <c r="B289" s="55"/>
      <c r="C289" s="66"/>
      <c r="D289" s="67"/>
      <c r="E289" s="68"/>
      <c r="F289" s="33" t="str">
        <v/>
      </c>
      <c r="G289" s="36"/>
      <c r="H289" s="36" t="str">
        <v/>
      </c>
      <c r="I289" s="36" t="str">
        <v/>
      </c>
      <c r="J289" s="36" t="str">
        <v/>
      </c>
      <c r="K289" s="36" t="str">
        <v/>
      </c>
      <c r="L289" s="36"/>
      <c r="M289" s="36" t="str">
        <v/>
      </c>
      <c r="N289" s="27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</row>
    <row r="290" spans="1:29" ht="23.25">
      <c r="A290" s="15"/>
      <c r="B290" s="55"/>
      <c r="C290" s="66"/>
      <c r="D290" s="67"/>
      <c r="E290" s="68"/>
      <c r="F290" s="33" t="str">
        <v/>
      </c>
      <c r="G290" s="36"/>
      <c r="H290" s="36" t="str">
        <v/>
      </c>
      <c r="I290" s="36" t="str">
        <v/>
      </c>
      <c r="J290" s="36" t="str">
        <v/>
      </c>
      <c r="K290" s="36" t="str">
        <v/>
      </c>
      <c r="L290" s="36"/>
      <c r="M290" s="36" t="str">
        <v/>
      </c>
      <c r="N290" s="27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</row>
    <row r="291" spans="1:29" ht="23.25">
      <c r="A291" s="15"/>
      <c r="B291" s="55"/>
      <c r="C291" s="66"/>
      <c r="D291" s="67"/>
      <c r="E291" s="68"/>
      <c r="F291" s="33" t="str">
        <v/>
      </c>
      <c r="G291" s="36"/>
      <c r="H291" s="36" t="str">
        <v/>
      </c>
      <c r="I291" s="36" t="str">
        <v/>
      </c>
      <c r="J291" s="36" t="str">
        <v/>
      </c>
      <c r="K291" s="36" t="str">
        <v/>
      </c>
      <c r="L291" s="36"/>
      <c r="M291" s="36" t="str">
        <v/>
      </c>
      <c r="N291" s="27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</row>
    <row r="292" spans="1:29" ht="23.25">
      <c r="A292" s="15"/>
      <c r="B292" s="55"/>
      <c r="C292" s="66"/>
      <c r="D292" s="67"/>
      <c r="E292" s="68"/>
      <c r="F292" s="33" t="str">
        <v/>
      </c>
      <c r="G292" s="36"/>
      <c r="H292" s="36" t="str">
        <v/>
      </c>
      <c r="I292" s="36" t="str">
        <v/>
      </c>
      <c r="J292" s="36" t="str">
        <v/>
      </c>
      <c r="K292" s="36" t="str">
        <v/>
      </c>
      <c r="L292" s="36"/>
      <c r="M292" s="36" t="str">
        <v/>
      </c>
      <c r="N292" s="27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</row>
    <row r="293" spans="1:29" ht="23.25">
      <c r="A293" s="15"/>
      <c r="B293" s="55"/>
      <c r="C293" s="66"/>
      <c r="D293" s="67"/>
      <c r="E293" s="68"/>
      <c r="F293" s="33" t="str">
        <v/>
      </c>
      <c r="G293" s="36"/>
      <c r="H293" s="36" t="str">
        <v/>
      </c>
      <c r="I293" s="36" t="str">
        <v/>
      </c>
      <c r="J293" s="36" t="str">
        <v/>
      </c>
      <c r="K293" s="36" t="str">
        <v/>
      </c>
      <c r="L293" s="36"/>
      <c r="M293" s="36" t="str">
        <v/>
      </c>
      <c r="N293" s="27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</row>
    <row r="294" spans="1:29" ht="23.25">
      <c r="A294" s="15"/>
      <c r="B294" s="55"/>
      <c r="C294" s="66"/>
      <c r="D294" s="67"/>
      <c r="E294" s="68"/>
      <c r="F294" s="33" t="str">
        <v/>
      </c>
      <c r="G294" s="36"/>
      <c r="H294" s="36" t="str">
        <v/>
      </c>
      <c r="I294" s="36" t="str">
        <v/>
      </c>
      <c r="J294" s="36" t="str">
        <v/>
      </c>
      <c r="K294" s="36" t="str">
        <v/>
      </c>
      <c r="L294" s="36"/>
      <c r="M294" s="36" t="str">
        <v/>
      </c>
      <c r="N294" s="27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</row>
    <row r="295" spans="1:29" ht="23.25">
      <c r="A295" s="15"/>
      <c r="B295" s="55"/>
      <c r="C295" s="66"/>
      <c r="D295" s="67"/>
      <c r="E295" s="68"/>
      <c r="F295" s="33" t="str">
        <v/>
      </c>
      <c r="G295" s="36"/>
      <c r="H295" s="36" t="str">
        <v/>
      </c>
      <c r="I295" s="36" t="str">
        <v/>
      </c>
      <c r="J295" s="36" t="str">
        <v/>
      </c>
      <c r="K295" s="36" t="str">
        <v/>
      </c>
      <c r="L295" s="36"/>
      <c r="M295" s="36" t="str">
        <v/>
      </c>
      <c r="N295" s="27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</row>
    <row r="296" spans="1:29" ht="23.25">
      <c r="A296" s="15"/>
      <c r="B296" s="55"/>
      <c r="C296" s="66"/>
      <c r="D296" s="67"/>
      <c r="E296" s="68"/>
      <c r="F296" s="33" t="str">
        <v/>
      </c>
      <c r="G296" s="36"/>
      <c r="H296" s="36" t="str">
        <v/>
      </c>
      <c r="I296" s="36" t="str">
        <v/>
      </c>
      <c r="J296" s="36" t="str">
        <v/>
      </c>
      <c r="K296" s="36" t="str">
        <v/>
      </c>
      <c r="L296" s="36"/>
      <c r="M296" s="36" t="str">
        <v/>
      </c>
      <c r="N296" s="27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</row>
    <row r="297" spans="1:29" ht="23.25">
      <c r="A297" s="15"/>
      <c r="B297" s="55"/>
      <c r="C297" s="66"/>
      <c r="D297" s="67"/>
      <c r="E297" s="68"/>
      <c r="F297" s="33" t="str">
        <v/>
      </c>
      <c r="G297" s="36"/>
      <c r="H297" s="36" t="str">
        <v/>
      </c>
      <c r="I297" s="36" t="str">
        <v/>
      </c>
      <c r="J297" s="36" t="str">
        <v/>
      </c>
      <c r="K297" s="36" t="str">
        <v/>
      </c>
      <c r="L297" s="36"/>
      <c r="M297" s="36" t="str">
        <v/>
      </c>
      <c r="N297" s="27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</row>
    <row r="298" spans="1:29" ht="23.25">
      <c r="A298" s="15"/>
      <c r="B298" s="55"/>
      <c r="C298" s="66"/>
      <c r="D298" s="67"/>
      <c r="E298" s="68"/>
      <c r="F298" s="33" t="str">
        <v/>
      </c>
      <c r="G298" s="36"/>
      <c r="H298" s="36" t="str">
        <v/>
      </c>
      <c r="I298" s="36" t="str">
        <v/>
      </c>
      <c r="J298" s="36" t="str">
        <v/>
      </c>
      <c r="K298" s="36" t="str">
        <v/>
      </c>
      <c r="L298" s="36"/>
      <c r="M298" s="36" t="str">
        <v/>
      </c>
      <c r="N298" s="27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</row>
    <row r="299" spans="1:29" ht="23.25">
      <c r="A299" s="15"/>
      <c r="B299" s="55"/>
      <c r="C299" s="66"/>
      <c r="D299" s="67"/>
      <c r="E299" s="68"/>
      <c r="F299" s="33" t="str">
        <v/>
      </c>
      <c r="G299" s="36"/>
      <c r="H299" s="36" t="str">
        <v/>
      </c>
      <c r="I299" s="36" t="str">
        <v/>
      </c>
      <c r="J299" s="36" t="str">
        <v/>
      </c>
      <c r="K299" s="36" t="str">
        <v/>
      </c>
      <c r="L299" s="36"/>
      <c r="M299" s="36" t="str">
        <v/>
      </c>
      <c r="N299" s="27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</row>
    <row r="300" spans="1:29" ht="23.25">
      <c r="A300" s="15"/>
      <c r="B300" s="55"/>
      <c r="C300" s="66"/>
      <c r="D300" s="67"/>
      <c r="E300" s="68"/>
      <c r="F300" s="33" t="str">
        <v/>
      </c>
      <c r="G300" s="36"/>
      <c r="H300" s="36" t="str">
        <v/>
      </c>
      <c r="I300" s="36" t="str">
        <v/>
      </c>
      <c r="J300" s="36" t="str">
        <v/>
      </c>
      <c r="K300" s="36" t="str">
        <v/>
      </c>
      <c r="L300" s="36"/>
      <c r="M300" s="36" t="str">
        <v/>
      </c>
      <c r="N300" s="27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</row>
    <row r="301" spans="1:29" ht="23.25">
      <c r="A301" s="15"/>
      <c r="B301" s="55"/>
      <c r="C301" s="66"/>
      <c r="D301" s="67"/>
      <c r="E301" s="68"/>
      <c r="F301" s="33" t="str">
        <v/>
      </c>
      <c r="G301" s="36"/>
      <c r="H301" s="36" t="str">
        <v/>
      </c>
      <c r="I301" s="36" t="str">
        <v/>
      </c>
      <c r="J301" s="36" t="str">
        <v/>
      </c>
      <c r="K301" s="36" t="str">
        <v/>
      </c>
      <c r="L301" s="36"/>
      <c r="M301" s="36" t="str">
        <v/>
      </c>
      <c r="N301" s="27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</row>
    <row r="302" spans="1:29" ht="23.25">
      <c r="A302" s="15"/>
      <c r="B302" s="55"/>
      <c r="C302" s="66"/>
      <c r="D302" s="67"/>
      <c r="E302" s="68"/>
      <c r="F302" s="33" t="str">
        <v/>
      </c>
      <c r="G302" s="36"/>
      <c r="H302" s="36" t="str">
        <v/>
      </c>
      <c r="I302" s="36" t="str">
        <v/>
      </c>
      <c r="J302" s="36" t="str">
        <v/>
      </c>
      <c r="K302" s="36" t="str">
        <v/>
      </c>
      <c r="L302" s="36"/>
      <c r="M302" s="36" t="str">
        <v/>
      </c>
      <c r="N302" s="27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</row>
    <row r="303" spans="1:29" ht="23.25">
      <c r="A303" s="15"/>
      <c r="B303" s="55"/>
      <c r="C303" s="66"/>
      <c r="D303" s="67"/>
      <c r="E303" s="68"/>
      <c r="F303" s="33" t="str">
        <v/>
      </c>
      <c r="G303" s="36"/>
      <c r="H303" s="36" t="str">
        <v/>
      </c>
      <c r="I303" s="36" t="str">
        <v/>
      </c>
      <c r="J303" s="36" t="str">
        <v/>
      </c>
      <c r="K303" s="36" t="str">
        <v/>
      </c>
      <c r="L303" s="36"/>
      <c r="M303" s="36" t="str">
        <v/>
      </c>
      <c r="N303" s="27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</row>
    <row r="304" spans="1:29" ht="23.25">
      <c r="A304" s="15"/>
      <c r="B304" s="55"/>
      <c r="C304" s="66"/>
      <c r="D304" s="67"/>
      <c r="E304" s="68"/>
      <c r="F304" s="33" t="str">
        <v/>
      </c>
      <c r="G304" s="36"/>
      <c r="H304" s="36" t="str">
        <v/>
      </c>
      <c r="I304" s="36" t="str">
        <v/>
      </c>
      <c r="J304" s="36" t="str">
        <v/>
      </c>
      <c r="K304" s="36" t="str">
        <v/>
      </c>
      <c r="L304" s="36"/>
      <c r="M304" s="36" t="str">
        <v/>
      </c>
      <c r="N304" s="27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</row>
    <row r="305" spans="1:29" ht="23.25">
      <c r="A305" s="15"/>
      <c r="B305" s="55"/>
      <c r="C305" s="66"/>
      <c r="D305" s="67"/>
      <c r="E305" s="68"/>
      <c r="F305" s="33" t="str">
        <v/>
      </c>
      <c r="G305" s="36"/>
      <c r="H305" s="36" t="str">
        <v/>
      </c>
      <c r="I305" s="36" t="str">
        <v/>
      </c>
      <c r="J305" s="36" t="str">
        <v/>
      </c>
      <c r="K305" s="36" t="str">
        <v/>
      </c>
      <c r="L305" s="36"/>
      <c r="M305" s="36" t="str">
        <v/>
      </c>
      <c r="N305" s="27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</row>
    <row r="306" spans="1:29" ht="23.25">
      <c r="A306" s="15"/>
      <c r="B306" s="55"/>
      <c r="C306" s="66"/>
      <c r="D306" s="67"/>
      <c r="E306" s="68"/>
      <c r="F306" s="33" t="str">
        <v/>
      </c>
      <c r="G306" s="36"/>
      <c r="H306" s="36" t="str">
        <v/>
      </c>
      <c r="I306" s="36" t="str">
        <v/>
      </c>
      <c r="J306" s="36" t="str">
        <v/>
      </c>
      <c r="K306" s="36" t="str">
        <v/>
      </c>
      <c r="L306" s="36"/>
      <c r="M306" s="36" t="str">
        <v/>
      </c>
      <c r="N306" s="27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</row>
    <row r="307" spans="1:29" ht="23.25">
      <c r="A307" s="15"/>
      <c r="B307" s="55"/>
      <c r="C307" s="66"/>
      <c r="D307" s="67"/>
      <c r="E307" s="68"/>
      <c r="F307" s="33" t="str">
        <v/>
      </c>
      <c r="G307" s="36"/>
      <c r="H307" s="36" t="str">
        <v/>
      </c>
      <c r="I307" s="36" t="str">
        <v/>
      </c>
      <c r="J307" s="36" t="str">
        <v/>
      </c>
      <c r="K307" s="36" t="str">
        <v/>
      </c>
      <c r="L307" s="36"/>
      <c r="M307" s="36" t="str">
        <v/>
      </c>
      <c r="N307" s="27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</row>
    <row r="308" spans="1:29" ht="23.25">
      <c r="A308" s="15"/>
      <c r="B308" s="55"/>
      <c r="C308" s="66"/>
      <c r="D308" s="67"/>
      <c r="E308" s="68"/>
      <c r="F308" s="33" t="str">
        <v/>
      </c>
      <c r="G308" s="36"/>
      <c r="H308" s="36" t="str">
        <v/>
      </c>
      <c r="I308" s="36" t="str">
        <v/>
      </c>
      <c r="J308" s="36" t="str">
        <v/>
      </c>
      <c r="K308" s="36" t="str">
        <v/>
      </c>
      <c r="L308" s="36"/>
      <c r="M308" s="36" t="str">
        <v/>
      </c>
      <c r="N308" s="27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</row>
    <row r="309" spans="1:29" ht="23.25">
      <c r="A309" s="15"/>
      <c r="B309" s="55"/>
      <c r="C309" s="66"/>
      <c r="D309" s="67"/>
      <c r="E309" s="68"/>
      <c r="F309" s="33" t="str">
        <v/>
      </c>
      <c r="G309" s="36"/>
      <c r="H309" s="36" t="str">
        <v/>
      </c>
      <c r="I309" s="36" t="str">
        <v/>
      </c>
      <c r="J309" s="36" t="str">
        <v/>
      </c>
      <c r="K309" s="36" t="str">
        <v/>
      </c>
      <c r="L309" s="36"/>
      <c r="M309" s="36" t="str">
        <v/>
      </c>
      <c r="N309" s="27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</row>
    <row r="310" spans="1:29" ht="23.25">
      <c r="A310" s="15"/>
      <c r="B310" s="55"/>
      <c r="C310" s="66"/>
      <c r="D310" s="67"/>
      <c r="E310" s="68"/>
      <c r="F310" s="33" t="str">
        <v/>
      </c>
      <c r="G310" s="36"/>
      <c r="H310" s="36" t="str">
        <v/>
      </c>
      <c r="I310" s="36" t="str">
        <v/>
      </c>
      <c r="J310" s="36" t="str">
        <v/>
      </c>
      <c r="K310" s="36" t="str">
        <v/>
      </c>
      <c r="L310" s="36"/>
      <c r="M310" s="36" t="str">
        <v/>
      </c>
      <c r="N310" s="27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</row>
    <row r="311" spans="1:29" ht="23.25">
      <c r="A311" s="15"/>
      <c r="B311" s="55"/>
      <c r="C311" s="66"/>
      <c r="D311" s="67"/>
      <c r="E311" s="68"/>
      <c r="F311" s="33" t="str">
        <v/>
      </c>
      <c r="G311" s="36"/>
      <c r="H311" s="36" t="str">
        <v/>
      </c>
      <c r="I311" s="36" t="str">
        <v/>
      </c>
      <c r="J311" s="36" t="str">
        <v/>
      </c>
      <c r="K311" s="36" t="str">
        <v/>
      </c>
      <c r="L311" s="36"/>
      <c r="M311" s="36" t="str">
        <v/>
      </c>
      <c r="N311" s="27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</row>
    <row r="312" spans="1:29" ht="23.25">
      <c r="A312" s="15"/>
      <c r="B312" s="55"/>
      <c r="C312" s="66"/>
      <c r="D312" s="67"/>
      <c r="E312" s="68"/>
      <c r="F312" s="33" t="str">
        <v/>
      </c>
      <c r="G312" s="36"/>
      <c r="H312" s="36" t="str">
        <v/>
      </c>
      <c r="I312" s="36" t="str">
        <v/>
      </c>
      <c r="J312" s="36" t="str">
        <v/>
      </c>
      <c r="K312" s="36" t="str">
        <v/>
      </c>
      <c r="L312" s="36"/>
      <c r="M312" s="36" t="str">
        <v/>
      </c>
      <c r="N312" s="27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</row>
    <row r="313" spans="1:29" ht="23.25">
      <c r="A313" s="15"/>
      <c r="B313" s="55"/>
      <c r="C313" s="66"/>
      <c r="D313" s="67"/>
      <c r="E313" s="68"/>
      <c r="F313" s="33" t="str">
        <v/>
      </c>
      <c r="G313" s="36"/>
      <c r="H313" s="36" t="str">
        <v/>
      </c>
      <c r="I313" s="36" t="str">
        <v/>
      </c>
      <c r="J313" s="36" t="str">
        <v/>
      </c>
      <c r="K313" s="36" t="str">
        <v/>
      </c>
      <c r="L313" s="36"/>
      <c r="M313" s="36" t="str">
        <v/>
      </c>
      <c r="N313" s="27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</row>
    <row r="314" spans="1:29" ht="23.25">
      <c r="A314" s="15"/>
      <c r="B314" s="55"/>
      <c r="C314" s="66"/>
      <c r="D314" s="67"/>
      <c r="E314" s="68"/>
      <c r="F314" s="33" t="str">
        <v/>
      </c>
      <c r="G314" s="36"/>
      <c r="H314" s="36" t="str">
        <v/>
      </c>
      <c r="I314" s="36" t="str">
        <v/>
      </c>
      <c r="J314" s="36" t="str">
        <v/>
      </c>
      <c r="K314" s="36" t="str">
        <v/>
      </c>
      <c r="L314" s="36"/>
      <c r="M314" s="36" t="str">
        <v/>
      </c>
      <c r="N314" s="27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</row>
    <row r="315" spans="1:29" ht="23.25">
      <c r="A315" s="15"/>
      <c r="B315" s="55"/>
      <c r="C315" s="66"/>
      <c r="D315" s="67"/>
      <c r="E315" s="68"/>
      <c r="F315" s="33" t="str">
        <v/>
      </c>
      <c r="G315" s="36"/>
      <c r="H315" s="36" t="str">
        <v/>
      </c>
      <c r="I315" s="36" t="str">
        <v/>
      </c>
      <c r="J315" s="36" t="str">
        <v/>
      </c>
      <c r="K315" s="36" t="str">
        <v/>
      </c>
      <c r="L315" s="36"/>
      <c r="M315" s="36" t="str">
        <v/>
      </c>
      <c r="N315" s="27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</row>
    <row r="316" spans="1:29" ht="23.25">
      <c r="A316" s="15"/>
      <c r="B316" s="55"/>
      <c r="C316" s="66"/>
      <c r="D316" s="67"/>
      <c r="E316" s="68"/>
      <c r="F316" s="33" t="str">
        <v/>
      </c>
      <c r="G316" s="36"/>
      <c r="H316" s="36" t="str">
        <v/>
      </c>
      <c r="I316" s="36" t="str">
        <v/>
      </c>
      <c r="J316" s="36" t="str">
        <v/>
      </c>
      <c r="K316" s="36" t="str">
        <v/>
      </c>
      <c r="L316" s="36"/>
      <c r="M316" s="36" t="str">
        <v/>
      </c>
      <c r="N316" s="27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</row>
    <row r="317" spans="1:29" ht="23.25">
      <c r="A317" s="15"/>
      <c r="B317" s="55"/>
      <c r="C317" s="66"/>
      <c r="D317" s="67"/>
      <c r="E317" s="68"/>
      <c r="F317" s="33" t="str">
        <v/>
      </c>
      <c r="G317" s="36"/>
      <c r="H317" s="36" t="str">
        <v/>
      </c>
      <c r="I317" s="36" t="str">
        <v/>
      </c>
      <c r="J317" s="36" t="str">
        <v/>
      </c>
      <c r="K317" s="36" t="str">
        <v/>
      </c>
      <c r="L317" s="36"/>
      <c r="M317" s="36" t="str">
        <v/>
      </c>
      <c r="N317" s="27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</row>
    <row r="318" spans="1:29" ht="23.25">
      <c r="A318" s="15"/>
      <c r="B318" s="55"/>
      <c r="C318" s="66"/>
      <c r="D318" s="67"/>
      <c r="E318" s="68"/>
      <c r="F318" s="33" t="str">
        <v/>
      </c>
      <c r="G318" s="36"/>
      <c r="H318" s="36" t="str">
        <v/>
      </c>
      <c r="I318" s="36" t="str">
        <v/>
      </c>
      <c r="J318" s="36" t="str">
        <v/>
      </c>
      <c r="K318" s="36" t="str">
        <v/>
      </c>
      <c r="L318" s="36"/>
      <c r="M318" s="36" t="str">
        <v/>
      </c>
      <c r="N318" s="27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</row>
    <row r="319" spans="1:29" ht="23.25">
      <c r="A319" s="15"/>
      <c r="B319" s="55"/>
      <c r="C319" s="66"/>
      <c r="D319" s="67"/>
      <c r="E319" s="68"/>
      <c r="F319" s="33" t="str">
        <v/>
      </c>
      <c r="G319" s="36"/>
      <c r="H319" s="36" t="str">
        <v/>
      </c>
      <c r="I319" s="36" t="str">
        <v/>
      </c>
      <c r="J319" s="36" t="str">
        <v/>
      </c>
      <c r="K319" s="36" t="str">
        <v/>
      </c>
      <c r="L319" s="36"/>
      <c r="M319" s="36" t="str">
        <v/>
      </c>
      <c r="N319" s="27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</row>
    <row r="320" spans="1:29" ht="23.25">
      <c r="A320" s="15"/>
      <c r="B320" s="55"/>
      <c r="C320" s="66"/>
      <c r="D320" s="67"/>
      <c r="E320" s="68"/>
      <c r="F320" s="33" t="str">
        <v/>
      </c>
      <c r="G320" s="36"/>
      <c r="H320" s="36" t="str">
        <v/>
      </c>
      <c r="I320" s="36" t="str">
        <v/>
      </c>
      <c r="J320" s="36" t="str">
        <v/>
      </c>
      <c r="K320" s="36" t="str">
        <v/>
      </c>
      <c r="L320" s="36"/>
      <c r="M320" s="36" t="str">
        <v/>
      </c>
      <c r="N320" s="27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</row>
    <row r="321" spans="1:29" ht="23.25">
      <c r="A321" s="15"/>
      <c r="B321" s="55"/>
      <c r="C321" s="66"/>
      <c r="D321" s="67"/>
      <c r="E321" s="68"/>
      <c r="F321" s="33" t="str">
        <v/>
      </c>
      <c r="G321" s="36"/>
      <c r="H321" s="36" t="str">
        <v/>
      </c>
      <c r="I321" s="36" t="str">
        <v/>
      </c>
      <c r="J321" s="36" t="str">
        <v/>
      </c>
      <c r="K321" s="36" t="str">
        <v/>
      </c>
      <c r="L321" s="36"/>
      <c r="M321" s="36" t="str">
        <v/>
      </c>
      <c r="N321" s="27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</row>
    <row r="322" spans="1:29" ht="23.25">
      <c r="A322" s="15"/>
      <c r="B322" s="55"/>
      <c r="C322" s="66"/>
      <c r="D322" s="67"/>
      <c r="E322" s="68"/>
      <c r="F322" s="33" t="str">
        <v/>
      </c>
      <c r="G322" s="36"/>
      <c r="H322" s="36" t="str">
        <v/>
      </c>
      <c r="I322" s="36" t="str">
        <v/>
      </c>
      <c r="J322" s="36" t="str">
        <v/>
      </c>
      <c r="K322" s="36" t="str">
        <v/>
      </c>
      <c r="L322" s="36"/>
      <c r="M322" s="36" t="str">
        <v/>
      </c>
      <c r="N322" s="27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</row>
    <row r="323" spans="1:29" ht="23.25">
      <c r="A323" s="15"/>
      <c r="B323" s="55"/>
      <c r="C323" s="66"/>
      <c r="D323" s="67"/>
      <c r="E323" s="68"/>
      <c r="F323" s="33" t="str">
        <v/>
      </c>
      <c r="G323" s="36"/>
      <c r="H323" s="36" t="str">
        <v/>
      </c>
      <c r="I323" s="36" t="str">
        <v/>
      </c>
      <c r="J323" s="36" t="str">
        <v/>
      </c>
      <c r="K323" s="36" t="str">
        <v/>
      </c>
      <c r="L323" s="36"/>
      <c r="M323" s="36" t="str">
        <v/>
      </c>
      <c r="N323" s="27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</row>
    <row r="324" spans="1:29" ht="23.25">
      <c r="A324" s="15"/>
      <c r="B324" s="55"/>
      <c r="C324" s="66"/>
      <c r="D324" s="67"/>
      <c r="E324" s="68"/>
      <c r="F324" s="33" t="str">
        <v/>
      </c>
      <c r="G324" s="36"/>
      <c r="H324" s="36" t="str">
        <v/>
      </c>
      <c r="I324" s="36" t="str">
        <v/>
      </c>
      <c r="J324" s="36" t="str">
        <v/>
      </c>
      <c r="K324" s="36" t="str">
        <v/>
      </c>
      <c r="L324" s="36"/>
      <c r="M324" s="36" t="str">
        <v/>
      </c>
      <c r="N324" s="27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</row>
    <row r="325" spans="1:29" ht="23.25">
      <c r="A325" s="15"/>
      <c r="B325" s="55"/>
      <c r="C325" s="66"/>
      <c r="D325" s="67"/>
      <c r="E325" s="68"/>
      <c r="F325" s="33" t="str">
        <v/>
      </c>
      <c r="G325" s="36"/>
      <c r="H325" s="36" t="str">
        <v/>
      </c>
      <c r="I325" s="36" t="str">
        <v/>
      </c>
      <c r="J325" s="36" t="str">
        <v/>
      </c>
      <c r="K325" s="36" t="str">
        <v/>
      </c>
      <c r="L325" s="36"/>
      <c r="M325" s="36" t="str">
        <v/>
      </c>
      <c r="N325" s="27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</row>
    <row r="326" spans="1:29" ht="23.25">
      <c r="A326" s="15"/>
      <c r="B326" s="55"/>
      <c r="C326" s="66"/>
      <c r="D326" s="67"/>
      <c r="E326" s="68"/>
      <c r="F326" s="33" t="str">
        <v/>
      </c>
      <c r="G326" s="36"/>
      <c r="H326" s="36" t="str">
        <v/>
      </c>
      <c r="I326" s="36" t="str">
        <v/>
      </c>
      <c r="J326" s="36" t="str">
        <v/>
      </c>
      <c r="K326" s="36" t="str">
        <v/>
      </c>
      <c r="L326" s="36"/>
      <c r="M326" s="36" t="str">
        <v/>
      </c>
      <c r="N326" s="27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</row>
    <row r="327" spans="1:29" ht="23.25">
      <c r="A327" s="15"/>
      <c r="B327" s="55"/>
      <c r="C327" s="66"/>
      <c r="D327" s="67"/>
      <c r="E327" s="68"/>
      <c r="F327" s="33" t="str">
        <v/>
      </c>
      <c r="G327" s="36"/>
      <c r="H327" s="36" t="str">
        <v/>
      </c>
      <c r="I327" s="36" t="str">
        <v/>
      </c>
      <c r="J327" s="36" t="str">
        <v/>
      </c>
      <c r="K327" s="36" t="str">
        <v/>
      </c>
      <c r="L327" s="36"/>
      <c r="M327" s="36" t="str">
        <v/>
      </c>
      <c r="N327" s="27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</row>
    <row r="328" spans="1:29" ht="23.25">
      <c r="A328" s="15"/>
      <c r="B328" s="55"/>
      <c r="C328" s="66"/>
      <c r="D328" s="67"/>
      <c r="E328" s="68"/>
      <c r="F328" s="33" t="str">
        <v/>
      </c>
      <c r="G328" s="36"/>
      <c r="H328" s="36" t="str">
        <v/>
      </c>
      <c r="I328" s="36" t="str">
        <v/>
      </c>
      <c r="J328" s="36" t="str">
        <v/>
      </c>
      <c r="K328" s="36" t="str">
        <v/>
      </c>
      <c r="L328" s="36"/>
      <c r="M328" s="36" t="str">
        <v/>
      </c>
      <c r="N328" s="27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</row>
    <row r="329" spans="1:29" ht="23.25">
      <c r="A329" s="15"/>
      <c r="B329" s="55"/>
      <c r="C329" s="66"/>
      <c r="D329" s="67"/>
      <c r="E329" s="68"/>
      <c r="F329" s="33" t="str">
        <v/>
      </c>
      <c r="G329" s="36"/>
      <c r="H329" s="36" t="str">
        <v/>
      </c>
      <c r="I329" s="36" t="str">
        <v/>
      </c>
      <c r="J329" s="36" t="str">
        <v/>
      </c>
      <c r="K329" s="36" t="str">
        <v/>
      </c>
      <c r="L329" s="36"/>
      <c r="M329" s="36" t="str">
        <v/>
      </c>
      <c r="N329" s="27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</row>
    <row r="330" spans="1:29" ht="23.25">
      <c r="A330" s="15"/>
      <c r="B330" s="55"/>
      <c r="C330" s="66"/>
      <c r="D330" s="67"/>
      <c r="E330" s="68"/>
      <c r="F330" s="33" t="str">
        <v/>
      </c>
      <c r="G330" s="36"/>
      <c r="H330" s="36" t="str">
        <v/>
      </c>
      <c r="I330" s="36" t="str">
        <v/>
      </c>
      <c r="J330" s="36" t="str">
        <v/>
      </c>
      <c r="K330" s="36" t="str">
        <v/>
      </c>
      <c r="L330" s="36"/>
      <c r="M330" s="36" t="str">
        <v/>
      </c>
      <c r="N330" s="27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</row>
    <row r="331" spans="1:29" ht="23.25">
      <c r="A331" s="15"/>
      <c r="B331" s="55"/>
      <c r="C331" s="66"/>
      <c r="D331" s="67"/>
      <c r="E331" s="68"/>
      <c r="F331" s="33" t="str">
        <v/>
      </c>
      <c r="G331" s="36"/>
      <c r="H331" s="36" t="str">
        <v/>
      </c>
      <c r="I331" s="36" t="str">
        <v/>
      </c>
      <c r="J331" s="36" t="str">
        <v/>
      </c>
      <c r="K331" s="36" t="str">
        <v/>
      </c>
      <c r="L331" s="36"/>
      <c r="M331" s="36" t="str">
        <v/>
      </c>
      <c r="N331" s="27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</row>
    <row r="332" spans="1:29" ht="23.25">
      <c r="A332" s="15"/>
      <c r="B332" s="55"/>
      <c r="C332" s="66"/>
      <c r="D332" s="67"/>
      <c r="E332" s="68"/>
      <c r="F332" s="33" t="str">
        <v/>
      </c>
      <c r="G332" s="36"/>
      <c r="H332" s="36" t="str">
        <v/>
      </c>
      <c r="I332" s="36" t="str">
        <v/>
      </c>
      <c r="J332" s="36" t="str">
        <v/>
      </c>
      <c r="K332" s="36" t="str">
        <v/>
      </c>
      <c r="L332" s="36"/>
      <c r="M332" s="36" t="str">
        <v/>
      </c>
      <c r="N332" s="27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</row>
    <row r="333" spans="1:29" ht="23.25">
      <c r="A333" s="15"/>
      <c r="B333" s="55"/>
      <c r="C333" s="66"/>
      <c r="D333" s="67"/>
      <c r="E333" s="68"/>
      <c r="F333" s="33" t="str">
        <v/>
      </c>
      <c r="G333" s="36"/>
      <c r="H333" s="36" t="str">
        <v/>
      </c>
      <c r="I333" s="36" t="str">
        <v/>
      </c>
      <c r="J333" s="36" t="str">
        <v/>
      </c>
      <c r="K333" s="36" t="str">
        <v/>
      </c>
      <c r="L333" s="36"/>
      <c r="M333" s="36" t="str">
        <v/>
      </c>
      <c r="N333" s="27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</row>
    <row r="334" spans="1:29" ht="23.25">
      <c r="A334" s="15"/>
      <c r="B334" s="55"/>
      <c r="C334" s="66"/>
      <c r="D334" s="67"/>
      <c r="E334" s="68"/>
      <c r="F334" s="33" t="str">
        <v/>
      </c>
      <c r="G334" s="36"/>
      <c r="H334" s="36" t="str">
        <v/>
      </c>
      <c r="I334" s="36" t="str">
        <v/>
      </c>
      <c r="J334" s="36" t="str">
        <v/>
      </c>
      <c r="K334" s="36" t="str">
        <v/>
      </c>
      <c r="L334" s="36"/>
      <c r="M334" s="36" t="str">
        <v/>
      </c>
      <c r="N334" s="27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</row>
    <row r="335" spans="1:29" ht="23.25">
      <c r="A335" s="15"/>
      <c r="B335" s="55"/>
      <c r="C335" s="66"/>
      <c r="D335" s="67"/>
      <c r="E335" s="68"/>
      <c r="F335" s="33" t="str">
        <v/>
      </c>
      <c r="G335" s="36"/>
      <c r="H335" s="36" t="str">
        <v/>
      </c>
      <c r="I335" s="36" t="str">
        <v/>
      </c>
      <c r="J335" s="36" t="str">
        <v/>
      </c>
      <c r="K335" s="36" t="str">
        <v/>
      </c>
      <c r="L335" s="36"/>
      <c r="M335" s="36" t="str">
        <v/>
      </c>
      <c r="N335" s="27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</row>
    <row r="336" spans="1:29" ht="23.25">
      <c r="A336" s="15"/>
      <c r="B336" s="55"/>
      <c r="C336" s="66"/>
      <c r="D336" s="67"/>
      <c r="E336" s="68"/>
      <c r="F336" s="33" t="str">
        <v/>
      </c>
      <c r="G336" s="36"/>
      <c r="H336" s="36" t="str">
        <v/>
      </c>
      <c r="I336" s="36" t="str">
        <v/>
      </c>
      <c r="J336" s="36" t="str">
        <v/>
      </c>
      <c r="K336" s="36" t="str">
        <v/>
      </c>
      <c r="L336" s="36"/>
      <c r="M336" s="36" t="str">
        <v/>
      </c>
      <c r="N336" s="27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</row>
    <row r="337" spans="1:29" ht="23.25">
      <c r="A337" s="15"/>
      <c r="B337" s="55"/>
      <c r="C337" s="66"/>
      <c r="D337" s="67"/>
      <c r="E337" s="68"/>
      <c r="F337" s="33" t="str">
        <v/>
      </c>
      <c r="G337" s="36"/>
      <c r="H337" s="36" t="str">
        <v/>
      </c>
      <c r="I337" s="36" t="str">
        <v/>
      </c>
      <c r="J337" s="36" t="str">
        <v/>
      </c>
      <c r="K337" s="36" t="str">
        <v/>
      </c>
      <c r="L337" s="36"/>
      <c r="M337" s="36" t="str">
        <v/>
      </c>
      <c r="N337" s="27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</row>
    <row r="338" spans="1:29" ht="23.25">
      <c r="A338" s="15"/>
      <c r="B338" s="55"/>
      <c r="C338" s="66"/>
      <c r="D338" s="67"/>
      <c r="E338" s="68"/>
      <c r="F338" s="33" t="str">
        <v/>
      </c>
      <c r="G338" s="36"/>
      <c r="H338" s="36" t="str">
        <v/>
      </c>
      <c r="I338" s="36" t="str">
        <v/>
      </c>
      <c r="J338" s="36" t="str">
        <v/>
      </c>
      <c r="K338" s="36" t="str">
        <v/>
      </c>
      <c r="L338" s="36"/>
      <c r="M338" s="36" t="str">
        <v/>
      </c>
      <c r="N338" s="27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</row>
    <row r="339" spans="1:29" ht="23.25">
      <c r="A339" s="15"/>
      <c r="B339" s="55"/>
      <c r="C339" s="66"/>
      <c r="D339" s="67"/>
      <c r="E339" s="68"/>
      <c r="F339" s="33" t="str">
        <v/>
      </c>
      <c r="G339" s="36"/>
      <c r="H339" s="36" t="str">
        <v/>
      </c>
      <c r="I339" s="36" t="str">
        <v/>
      </c>
      <c r="J339" s="36" t="str">
        <v/>
      </c>
      <c r="K339" s="36" t="str">
        <v/>
      </c>
      <c r="L339" s="36"/>
      <c r="M339" s="36" t="str">
        <v/>
      </c>
      <c r="N339" s="27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</row>
    <row r="340" spans="1:29" ht="23.25">
      <c r="A340" s="15"/>
      <c r="B340" s="55"/>
      <c r="C340" s="66"/>
      <c r="D340" s="67"/>
      <c r="E340" s="68"/>
      <c r="F340" s="33" t="str">
        <v/>
      </c>
      <c r="G340" s="36"/>
      <c r="H340" s="36" t="str">
        <v/>
      </c>
      <c r="I340" s="36" t="str">
        <v/>
      </c>
      <c r="J340" s="36" t="str">
        <v/>
      </c>
      <c r="K340" s="36" t="str">
        <v/>
      </c>
      <c r="L340" s="36"/>
      <c r="M340" s="36" t="str">
        <v/>
      </c>
      <c r="N340" s="27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</row>
    <row r="341" spans="1:29" ht="23.25">
      <c r="A341" s="15"/>
      <c r="B341" s="55"/>
      <c r="C341" s="66"/>
      <c r="D341" s="67"/>
      <c r="E341" s="68"/>
      <c r="F341" s="33" t="str">
        <v/>
      </c>
      <c r="G341" s="36"/>
      <c r="H341" s="36" t="str">
        <v/>
      </c>
      <c r="I341" s="36" t="str">
        <v/>
      </c>
      <c r="J341" s="36" t="str">
        <v/>
      </c>
      <c r="K341" s="36" t="str">
        <v/>
      </c>
      <c r="L341" s="36"/>
      <c r="M341" s="36" t="str">
        <v/>
      </c>
      <c r="N341" s="27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</row>
    <row r="342" spans="1:29" ht="23.25">
      <c r="A342" s="15"/>
      <c r="B342" s="55"/>
      <c r="C342" s="66"/>
      <c r="D342" s="67"/>
      <c r="E342" s="68"/>
      <c r="F342" s="33" t="str">
        <v/>
      </c>
      <c r="G342" s="36"/>
      <c r="H342" s="36" t="str">
        <v/>
      </c>
      <c r="I342" s="36" t="str">
        <v/>
      </c>
      <c r="J342" s="36" t="str">
        <v/>
      </c>
      <c r="K342" s="36" t="str">
        <v/>
      </c>
      <c r="L342" s="36"/>
      <c r="M342" s="36" t="str">
        <v/>
      </c>
      <c r="N342" s="27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</row>
    <row r="343" spans="1:29" ht="23.25">
      <c r="A343" s="15"/>
      <c r="B343" s="55"/>
      <c r="C343" s="66"/>
      <c r="D343" s="67"/>
      <c r="E343" s="68"/>
      <c r="F343" s="33" t="str">
        <v/>
      </c>
      <c r="G343" s="36"/>
      <c r="H343" s="36" t="str">
        <v/>
      </c>
      <c r="I343" s="36" t="str">
        <v/>
      </c>
      <c r="J343" s="36" t="str">
        <v/>
      </c>
      <c r="K343" s="36" t="str">
        <v/>
      </c>
      <c r="L343" s="36"/>
      <c r="M343" s="36" t="str">
        <v/>
      </c>
      <c r="N343" s="27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</row>
    <row r="344" spans="1:29" ht="23.25">
      <c r="A344" s="15"/>
      <c r="B344" s="55"/>
      <c r="C344" s="66"/>
      <c r="D344" s="67"/>
      <c r="E344" s="68"/>
      <c r="F344" s="33" t="str">
        <v/>
      </c>
      <c r="G344" s="36"/>
      <c r="H344" s="36" t="str">
        <v/>
      </c>
      <c r="I344" s="36" t="str">
        <v/>
      </c>
      <c r="J344" s="36" t="str">
        <v/>
      </c>
      <c r="K344" s="36" t="str">
        <v/>
      </c>
      <c r="L344" s="36"/>
      <c r="M344" s="36" t="str">
        <v/>
      </c>
      <c r="N344" s="27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</row>
    <row r="345" spans="1:29" ht="23.25">
      <c r="A345" s="15"/>
      <c r="B345" s="55"/>
      <c r="C345" s="66"/>
      <c r="D345" s="67"/>
      <c r="E345" s="68"/>
      <c r="F345" s="33" t="str">
        <v/>
      </c>
      <c r="G345" s="36"/>
      <c r="H345" s="36" t="str">
        <v/>
      </c>
      <c r="I345" s="36" t="str">
        <v/>
      </c>
      <c r="J345" s="36" t="str">
        <v/>
      </c>
      <c r="K345" s="36" t="str">
        <v/>
      </c>
      <c r="L345" s="36"/>
      <c r="M345" s="36" t="str">
        <v/>
      </c>
      <c r="N345" s="27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</row>
    <row r="346" spans="1:29" ht="23.25">
      <c r="A346" s="15"/>
      <c r="B346" s="55"/>
      <c r="C346" s="66"/>
      <c r="D346" s="67"/>
      <c r="E346" s="68"/>
      <c r="F346" s="33" t="str">
        <v/>
      </c>
      <c r="G346" s="36"/>
      <c r="H346" s="36" t="str">
        <v/>
      </c>
      <c r="I346" s="36" t="str">
        <v/>
      </c>
      <c r="J346" s="36" t="str">
        <v/>
      </c>
      <c r="K346" s="36" t="str">
        <v/>
      </c>
      <c r="L346" s="36"/>
      <c r="M346" s="36" t="str">
        <v/>
      </c>
      <c r="N346" s="27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</row>
    <row r="347" spans="1:29" ht="23.25">
      <c r="A347" s="15"/>
      <c r="B347" s="55"/>
      <c r="C347" s="66"/>
      <c r="D347" s="67"/>
      <c r="E347" s="68"/>
      <c r="F347" s="33" t="str">
        <v/>
      </c>
      <c r="G347" s="36"/>
      <c r="H347" s="36" t="str">
        <v/>
      </c>
      <c r="I347" s="36" t="str">
        <v/>
      </c>
      <c r="J347" s="36" t="str">
        <v/>
      </c>
      <c r="K347" s="36" t="str">
        <v/>
      </c>
      <c r="L347" s="36"/>
      <c r="M347" s="36" t="str">
        <v/>
      </c>
      <c r="N347" s="27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</row>
    <row r="348" spans="1:29" ht="23.25">
      <c r="A348" s="15"/>
      <c r="B348" s="55"/>
      <c r="C348" s="66"/>
      <c r="D348" s="67"/>
      <c r="E348" s="68"/>
      <c r="F348" s="33" t="str">
        <v/>
      </c>
      <c r="G348" s="36"/>
      <c r="H348" s="36" t="str">
        <v/>
      </c>
      <c r="I348" s="36" t="str">
        <v/>
      </c>
      <c r="J348" s="36" t="str">
        <v/>
      </c>
      <c r="K348" s="36" t="str">
        <v/>
      </c>
      <c r="L348" s="36"/>
      <c r="M348" s="36" t="str">
        <v/>
      </c>
      <c r="N348" s="27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</row>
    <row r="349" spans="1:29" ht="23.25">
      <c r="A349" s="15"/>
      <c r="B349" s="55"/>
      <c r="C349" s="66"/>
      <c r="D349" s="67"/>
      <c r="E349" s="68"/>
      <c r="F349" s="33" t="str">
        <v/>
      </c>
      <c r="G349" s="36"/>
      <c r="H349" s="36" t="str">
        <v/>
      </c>
      <c r="I349" s="36" t="str">
        <v/>
      </c>
      <c r="J349" s="36" t="str">
        <v/>
      </c>
      <c r="K349" s="36" t="str">
        <v/>
      </c>
      <c r="L349" s="36"/>
      <c r="M349" s="36" t="str">
        <v/>
      </c>
      <c r="N349" s="27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</row>
    <row r="350" spans="1:29" ht="23.25">
      <c r="A350" s="15"/>
      <c r="B350" s="55"/>
      <c r="C350" s="66"/>
      <c r="D350" s="67"/>
      <c r="E350" s="68"/>
      <c r="F350" s="33" t="str">
        <v/>
      </c>
      <c r="G350" s="36"/>
      <c r="H350" s="36" t="str">
        <v/>
      </c>
      <c r="I350" s="36" t="str">
        <v/>
      </c>
      <c r="J350" s="36" t="str">
        <v/>
      </c>
      <c r="K350" s="36" t="str">
        <v/>
      </c>
      <c r="L350" s="36"/>
      <c r="M350" s="36" t="str">
        <v/>
      </c>
      <c r="N350" s="27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</row>
    <row r="351" spans="1:29" ht="23.25">
      <c r="A351" s="15"/>
      <c r="B351" s="55"/>
      <c r="C351" s="66"/>
      <c r="D351" s="67"/>
      <c r="E351" s="68"/>
      <c r="F351" s="33" t="str">
        <v/>
      </c>
      <c r="G351" s="36"/>
      <c r="H351" s="36" t="str">
        <v/>
      </c>
      <c r="I351" s="36" t="str">
        <v/>
      </c>
      <c r="J351" s="36" t="str">
        <v/>
      </c>
      <c r="K351" s="36" t="str">
        <v/>
      </c>
      <c r="L351" s="36"/>
      <c r="M351" s="36" t="str">
        <v/>
      </c>
      <c r="N351" s="27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</row>
    <row r="352" spans="1:29" ht="23.25">
      <c r="A352" s="15"/>
      <c r="B352" s="55"/>
      <c r="C352" s="66"/>
      <c r="D352" s="67"/>
      <c r="E352" s="68"/>
      <c r="F352" s="33" t="str">
        <v/>
      </c>
      <c r="G352" s="36"/>
      <c r="H352" s="36" t="str">
        <v/>
      </c>
      <c r="I352" s="36" t="str">
        <v/>
      </c>
      <c r="J352" s="36" t="str">
        <v/>
      </c>
      <c r="K352" s="36" t="str">
        <v/>
      </c>
      <c r="L352" s="36"/>
      <c r="M352" s="36" t="str">
        <v/>
      </c>
      <c r="N352" s="27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</row>
    <row r="353" spans="1:29" ht="23.25">
      <c r="A353" s="15"/>
      <c r="B353" s="55"/>
      <c r="C353" s="66"/>
      <c r="D353" s="67"/>
      <c r="E353" s="68"/>
      <c r="F353" s="33" t="str">
        <v/>
      </c>
      <c r="G353" s="36"/>
      <c r="H353" s="36" t="str">
        <v/>
      </c>
      <c r="I353" s="36" t="str">
        <v/>
      </c>
      <c r="J353" s="36" t="str">
        <v/>
      </c>
      <c r="K353" s="36" t="str">
        <v/>
      </c>
      <c r="L353" s="36"/>
      <c r="M353" s="36" t="str">
        <v/>
      </c>
      <c r="N353" s="27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</row>
    <row r="354" spans="1:29" ht="23.25">
      <c r="A354" s="15"/>
      <c r="B354" s="55"/>
      <c r="C354" s="66"/>
      <c r="D354" s="67"/>
      <c r="E354" s="68"/>
      <c r="F354" s="33" t="str">
        <v/>
      </c>
      <c r="G354" s="36"/>
      <c r="H354" s="36" t="str">
        <v/>
      </c>
      <c r="I354" s="36" t="str">
        <v/>
      </c>
      <c r="J354" s="36" t="str">
        <v/>
      </c>
      <c r="K354" s="36" t="str">
        <v/>
      </c>
      <c r="L354" s="36"/>
      <c r="M354" s="36" t="str">
        <v/>
      </c>
      <c r="N354" s="27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</row>
    <row r="355" spans="1:29" ht="23.25">
      <c r="A355" s="15"/>
      <c r="B355" s="55"/>
      <c r="C355" s="66"/>
      <c r="D355" s="67"/>
      <c r="E355" s="68"/>
      <c r="F355" s="33" t="str">
        <v/>
      </c>
      <c r="G355" s="36"/>
      <c r="H355" s="36" t="str">
        <v/>
      </c>
      <c r="I355" s="36" t="str">
        <v/>
      </c>
      <c r="J355" s="36" t="str">
        <v/>
      </c>
      <c r="K355" s="36" t="str">
        <v/>
      </c>
      <c r="L355" s="36"/>
      <c r="M355" s="36" t="str">
        <v/>
      </c>
      <c r="N355" s="27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</row>
    <row r="356" spans="1:29" ht="23.25">
      <c r="A356" s="15"/>
      <c r="B356" s="55"/>
      <c r="C356" s="66"/>
      <c r="D356" s="67"/>
      <c r="E356" s="68"/>
      <c r="F356" s="33" t="str">
        <v/>
      </c>
      <c r="G356" s="36"/>
      <c r="H356" s="36" t="str">
        <v/>
      </c>
      <c r="I356" s="36" t="str">
        <v/>
      </c>
      <c r="J356" s="36" t="str">
        <v/>
      </c>
      <c r="K356" s="36" t="str">
        <v/>
      </c>
      <c r="L356" s="36"/>
      <c r="M356" s="36" t="str">
        <v/>
      </c>
      <c r="N356" s="27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</row>
    <row r="357" spans="1:29" ht="23.25">
      <c r="A357" s="15"/>
      <c r="B357" s="55"/>
      <c r="C357" s="66"/>
      <c r="D357" s="67"/>
      <c r="E357" s="68"/>
      <c r="F357" s="33" t="str">
        <v/>
      </c>
      <c r="G357" s="36"/>
      <c r="H357" s="36" t="str">
        <v/>
      </c>
      <c r="I357" s="36" t="str">
        <v/>
      </c>
      <c r="J357" s="36" t="str">
        <v/>
      </c>
      <c r="K357" s="36" t="str">
        <v/>
      </c>
      <c r="L357" s="36"/>
      <c r="M357" s="36" t="str">
        <v/>
      </c>
      <c r="N357" s="27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</row>
    <row r="358" spans="1:29" ht="23.25">
      <c r="A358" s="15"/>
      <c r="B358" s="55"/>
      <c r="C358" s="66"/>
      <c r="D358" s="67"/>
      <c r="E358" s="68"/>
      <c r="F358" s="33" t="str">
        <v/>
      </c>
      <c r="G358" s="36"/>
      <c r="H358" s="36" t="str">
        <v/>
      </c>
      <c r="I358" s="36" t="str">
        <v/>
      </c>
      <c r="J358" s="36" t="str">
        <v/>
      </c>
      <c r="K358" s="36" t="str">
        <v/>
      </c>
      <c r="L358" s="36"/>
      <c r="M358" s="36" t="str">
        <v/>
      </c>
      <c r="N358" s="27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</row>
    <row r="359" spans="1:29" ht="23.25">
      <c r="A359" s="15"/>
      <c r="B359" s="55"/>
      <c r="C359" s="66"/>
      <c r="D359" s="67"/>
      <c r="E359" s="68"/>
      <c r="F359" s="33" t="str">
        <v/>
      </c>
      <c r="G359" s="36"/>
      <c r="H359" s="36" t="str">
        <v/>
      </c>
      <c r="I359" s="36" t="str">
        <v/>
      </c>
      <c r="J359" s="36" t="str">
        <v/>
      </c>
      <c r="K359" s="36" t="str">
        <v/>
      </c>
      <c r="L359" s="36"/>
      <c r="M359" s="36" t="str">
        <v/>
      </c>
      <c r="N359" s="27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</row>
    <row r="360" spans="1:29" ht="23.25">
      <c r="A360" s="15"/>
      <c r="B360" s="55"/>
      <c r="C360" s="66"/>
      <c r="D360" s="67"/>
      <c r="E360" s="68"/>
      <c r="F360" s="33" t="str">
        <v/>
      </c>
      <c r="G360" s="36"/>
      <c r="H360" s="36" t="str">
        <v/>
      </c>
      <c r="I360" s="36" t="str">
        <v/>
      </c>
      <c r="J360" s="36" t="str">
        <v/>
      </c>
      <c r="K360" s="36" t="str">
        <v/>
      </c>
      <c r="L360" s="36"/>
      <c r="M360" s="36" t="str">
        <v/>
      </c>
      <c r="N360" s="27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</row>
    <row r="361" spans="1:29" ht="23.25">
      <c r="A361" s="15"/>
      <c r="B361" s="55"/>
      <c r="C361" s="66"/>
      <c r="D361" s="67"/>
      <c r="E361" s="68"/>
      <c r="F361" s="33" t="str">
        <v/>
      </c>
      <c r="G361" s="36"/>
      <c r="H361" s="36" t="str">
        <v/>
      </c>
      <c r="I361" s="36" t="str">
        <v/>
      </c>
      <c r="J361" s="36" t="str">
        <v/>
      </c>
      <c r="K361" s="36" t="str">
        <v/>
      </c>
      <c r="L361" s="36"/>
      <c r="M361" s="36" t="str">
        <v/>
      </c>
      <c r="N361" s="27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</row>
    <row r="362" spans="1:29" ht="23.25">
      <c r="A362" s="15"/>
      <c r="B362" s="55"/>
      <c r="C362" s="66"/>
      <c r="D362" s="67"/>
      <c r="E362" s="68"/>
      <c r="F362" s="33" t="str">
        <v/>
      </c>
      <c r="G362" s="36"/>
      <c r="H362" s="36" t="str">
        <v/>
      </c>
      <c r="I362" s="36" t="str">
        <v/>
      </c>
      <c r="J362" s="36" t="str">
        <v/>
      </c>
      <c r="K362" s="36" t="str">
        <v/>
      </c>
      <c r="L362" s="36"/>
      <c r="M362" s="36" t="str">
        <v/>
      </c>
      <c r="N362" s="27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</row>
    <row r="363" spans="1:29" ht="23.25">
      <c r="A363" s="15"/>
      <c r="B363" s="55"/>
      <c r="C363" s="66"/>
      <c r="D363" s="67"/>
      <c r="E363" s="68"/>
      <c r="F363" s="33" t="str">
        <v/>
      </c>
      <c r="G363" s="36"/>
      <c r="H363" s="36" t="str">
        <v/>
      </c>
      <c r="I363" s="36" t="str">
        <v/>
      </c>
      <c r="J363" s="36" t="str">
        <v/>
      </c>
      <c r="K363" s="36" t="str">
        <v/>
      </c>
      <c r="L363" s="36"/>
      <c r="M363" s="36" t="str">
        <v/>
      </c>
      <c r="N363" s="27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</row>
    <row r="364" spans="1:29" ht="23.25">
      <c r="A364" s="15"/>
      <c r="B364" s="55"/>
      <c r="C364" s="66"/>
      <c r="D364" s="67"/>
      <c r="E364" s="68"/>
      <c r="F364" s="33" t="str">
        <v/>
      </c>
      <c r="G364" s="36"/>
      <c r="H364" s="36" t="str">
        <v/>
      </c>
      <c r="I364" s="36" t="str">
        <v/>
      </c>
      <c r="J364" s="36" t="str">
        <v/>
      </c>
      <c r="K364" s="36" t="str">
        <v/>
      </c>
      <c r="L364" s="36"/>
      <c r="M364" s="36" t="str">
        <v/>
      </c>
      <c r="N364" s="27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</row>
    <row r="365" spans="1:29" ht="23.25">
      <c r="A365" s="15"/>
      <c r="B365" s="55"/>
      <c r="C365" s="66"/>
      <c r="D365" s="67"/>
      <c r="E365" s="68"/>
      <c r="F365" s="33" t="str">
        <v/>
      </c>
      <c r="G365" s="36"/>
      <c r="H365" s="36" t="str">
        <v/>
      </c>
      <c r="I365" s="36" t="str">
        <v/>
      </c>
      <c r="J365" s="36" t="str">
        <v/>
      </c>
      <c r="K365" s="36" t="str">
        <v/>
      </c>
      <c r="L365" s="36"/>
      <c r="M365" s="36" t="str">
        <v/>
      </c>
      <c r="N365" s="27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</row>
    <row r="366" spans="1:29" ht="23.25">
      <c r="A366" s="15"/>
      <c r="B366" s="55"/>
      <c r="C366" s="66"/>
      <c r="D366" s="67"/>
      <c r="E366" s="68"/>
      <c r="F366" s="33" t="str">
        <v/>
      </c>
      <c r="G366" s="36"/>
      <c r="H366" s="36" t="str">
        <v/>
      </c>
      <c r="I366" s="36" t="str">
        <v/>
      </c>
      <c r="J366" s="36" t="str">
        <v/>
      </c>
      <c r="K366" s="36" t="str">
        <v/>
      </c>
      <c r="L366" s="36"/>
      <c r="M366" s="36" t="str">
        <v/>
      </c>
      <c r="N366" s="27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</row>
    <row r="367" spans="1:29" ht="23.25">
      <c r="A367" s="15"/>
      <c r="B367" s="55"/>
      <c r="C367" s="66"/>
      <c r="D367" s="67"/>
      <c r="E367" s="68"/>
      <c r="F367" s="33" t="str">
        <v/>
      </c>
      <c r="G367" s="36"/>
      <c r="H367" s="36" t="str">
        <v/>
      </c>
      <c r="I367" s="36" t="str">
        <v/>
      </c>
      <c r="J367" s="36" t="str">
        <v/>
      </c>
      <c r="K367" s="36" t="str">
        <v/>
      </c>
      <c r="L367" s="36"/>
      <c r="M367" s="36" t="str">
        <v/>
      </c>
      <c r="N367" s="27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</row>
    <row r="368" spans="1:29" ht="23.25">
      <c r="A368" s="15"/>
      <c r="B368" s="55"/>
      <c r="C368" s="66"/>
      <c r="D368" s="67"/>
      <c r="E368" s="68"/>
      <c r="F368" s="33" t="str">
        <v/>
      </c>
      <c r="G368" s="36"/>
      <c r="H368" s="36" t="str">
        <v/>
      </c>
      <c r="I368" s="36" t="str">
        <v/>
      </c>
      <c r="J368" s="36" t="str">
        <v/>
      </c>
      <c r="K368" s="36" t="str">
        <v/>
      </c>
      <c r="L368" s="36"/>
      <c r="M368" s="36" t="str">
        <v/>
      </c>
      <c r="N368" s="27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</row>
    <row r="369" spans="1:29" ht="23.25">
      <c r="A369" s="15"/>
      <c r="B369" s="55"/>
      <c r="C369" s="66"/>
      <c r="D369" s="67"/>
      <c r="E369" s="68"/>
      <c r="F369" s="33" t="str">
        <v/>
      </c>
      <c r="G369" s="36"/>
      <c r="H369" s="36" t="str">
        <v/>
      </c>
      <c r="I369" s="36" t="str">
        <v/>
      </c>
      <c r="J369" s="36" t="str">
        <v/>
      </c>
      <c r="K369" s="36" t="str">
        <v/>
      </c>
      <c r="L369" s="36"/>
      <c r="M369" s="36" t="str">
        <v/>
      </c>
      <c r="N369" s="27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</row>
    <row r="370" spans="1:29" ht="23.25">
      <c r="A370" s="15"/>
      <c r="B370" s="55"/>
      <c r="C370" s="66"/>
      <c r="D370" s="67"/>
      <c r="E370" s="68"/>
      <c r="F370" s="33" t="str">
        <v/>
      </c>
      <c r="G370" s="36"/>
      <c r="H370" s="36" t="str">
        <v/>
      </c>
      <c r="I370" s="36" t="str">
        <v/>
      </c>
      <c r="J370" s="36" t="str">
        <v/>
      </c>
      <c r="K370" s="36" t="str">
        <v/>
      </c>
      <c r="L370" s="36"/>
      <c r="M370" s="36" t="str">
        <v/>
      </c>
      <c r="N370" s="27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</row>
    <row r="371" spans="1:29" ht="23.25">
      <c r="A371" s="15"/>
      <c r="B371" s="55"/>
      <c r="C371" s="66"/>
      <c r="D371" s="67"/>
      <c r="E371" s="68"/>
      <c r="F371" s="33" t="str">
        <v/>
      </c>
      <c r="G371" s="36"/>
      <c r="H371" s="36" t="str">
        <v/>
      </c>
      <c r="I371" s="36" t="str">
        <v/>
      </c>
      <c r="J371" s="36" t="str">
        <v/>
      </c>
      <c r="K371" s="36" t="str">
        <v/>
      </c>
      <c r="L371" s="36"/>
      <c r="M371" s="36" t="str">
        <v/>
      </c>
      <c r="N371" s="27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</row>
    <row r="372" spans="1:29" ht="23.25">
      <c r="A372" s="15"/>
      <c r="B372" s="55"/>
      <c r="C372" s="66"/>
      <c r="D372" s="67"/>
      <c r="E372" s="68"/>
      <c r="F372" s="33" t="str">
        <v/>
      </c>
      <c r="G372" s="36"/>
      <c r="H372" s="36" t="str">
        <v/>
      </c>
      <c r="I372" s="36" t="str">
        <v/>
      </c>
      <c r="J372" s="36" t="str">
        <v/>
      </c>
      <c r="K372" s="36" t="str">
        <v/>
      </c>
      <c r="L372" s="36"/>
      <c r="M372" s="36" t="str">
        <v/>
      </c>
      <c r="N372" s="27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</row>
    <row r="373" spans="1:29" ht="23.25">
      <c r="A373" s="15"/>
      <c r="B373" s="55"/>
      <c r="C373" s="66"/>
      <c r="D373" s="67"/>
      <c r="E373" s="68"/>
      <c r="F373" s="33" t="str">
        <v/>
      </c>
      <c r="G373" s="36"/>
      <c r="H373" s="36" t="str">
        <v/>
      </c>
      <c r="I373" s="36" t="str">
        <v/>
      </c>
      <c r="J373" s="36" t="str">
        <v/>
      </c>
      <c r="K373" s="36" t="str">
        <v/>
      </c>
      <c r="L373" s="36"/>
      <c r="M373" s="36" t="str">
        <v/>
      </c>
      <c r="N373" s="27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</row>
    <row r="374" spans="1:29" ht="23.25">
      <c r="A374" s="15"/>
      <c r="B374" s="55"/>
      <c r="C374" s="66"/>
      <c r="D374" s="67"/>
      <c r="E374" s="68"/>
      <c r="F374" s="33" t="str">
        <v/>
      </c>
      <c r="G374" s="36"/>
      <c r="H374" s="36" t="str">
        <v/>
      </c>
      <c r="I374" s="36" t="str">
        <v/>
      </c>
      <c r="J374" s="36" t="str">
        <v/>
      </c>
      <c r="K374" s="36" t="str">
        <v/>
      </c>
      <c r="L374" s="36"/>
      <c r="M374" s="36" t="str">
        <v/>
      </c>
      <c r="N374" s="27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</row>
    <row r="375" spans="1:29" ht="23.25">
      <c r="A375" s="15"/>
      <c r="B375" s="55"/>
      <c r="C375" s="66"/>
      <c r="D375" s="67"/>
      <c r="E375" s="68"/>
      <c r="F375" s="33" t="str">
        <v/>
      </c>
      <c r="G375" s="36"/>
      <c r="H375" s="36" t="str">
        <v/>
      </c>
      <c r="I375" s="36" t="str">
        <v/>
      </c>
      <c r="J375" s="36" t="str">
        <v/>
      </c>
      <c r="K375" s="36" t="str">
        <v/>
      </c>
      <c r="L375" s="36"/>
      <c r="M375" s="36" t="str">
        <v/>
      </c>
      <c r="N375" s="27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</row>
    <row r="376" spans="1:29" ht="23.25">
      <c r="A376" s="15"/>
      <c r="B376" s="55"/>
      <c r="C376" s="66"/>
      <c r="D376" s="67"/>
      <c r="E376" s="68"/>
      <c r="F376" s="33" t="str">
        <v/>
      </c>
      <c r="G376" s="36"/>
      <c r="H376" s="36" t="str">
        <v/>
      </c>
      <c r="I376" s="36" t="str">
        <v/>
      </c>
      <c r="J376" s="36" t="str">
        <v/>
      </c>
      <c r="K376" s="36" t="str">
        <v/>
      </c>
      <c r="L376" s="36"/>
      <c r="M376" s="36" t="str">
        <v/>
      </c>
      <c r="N376" s="27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</row>
    <row r="377" spans="1:29" ht="23.25">
      <c r="A377" s="15"/>
      <c r="B377" s="55"/>
      <c r="C377" s="66"/>
      <c r="D377" s="67"/>
      <c r="E377" s="68"/>
      <c r="F377" s="33" t="str">
        <v/>
      </c>
      <c r="G377" s="36"/>
      <c r="H377" s="36" t="str">
        <v/>
      </c>
      <c r="I377" s="36" t="str">
        <v/>
      </c>
      <c r="J377" s="36" t="str">
        <v/>
      </c>
      <c r="K377" s="36" t="str">
        <v/>
      </c>
      <c r="L377" s="36"/>
      <c r="M377" s="36" t="str">
        <v/>
      </c>
      <c r="N377" s="27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</row>
    <row r="378" spans="1:29" ht="23.25">
      <c r="A378" s="15"/>
      <c r="B378" s="55"/>
      <c r="C378" s="66"/>
      <c r="D378" s="67"/>
      <c r="E378" s="68"/>
      <c r="F378" s="33" t="str">
        <v/>
      </c>
      <c r="G378" s="36"/>
      <c r="H378" s="36" t="str">
        <v/>
      </c>
      <c r="I378" s="36" t="str">
        <v/>
      </c>
      <c r="J378" s="36" t="str">
        <v/>
      </c>
      <c r="K378" s="36" t="str">
        <v/>
      </c>
      <c r="L378" s="36"/>
      <c r="M378" s="36" t="str">
        <v/>
      </c>
      <c r="N378" s="27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</row>
    <row r="379" spans="1:29" ht="23.25">
      <c r="A379" s="15"/>
      <c r="B379" s="55"/>
      <c r="C379" s="66"/>
      <c r="D379" s="67"/>
      <c r="E379" s="68"/>
      <c r="F379" s="33" t="str">
        <v/>
      </c>
      <c r="G379" s="36"/>
      <c r="H379" s="36" t="str">
        <v/>
      </c>
      <c r="I379" s="36" t="str">
        <v/>
      </c>
      <c r="J379" s="36" t="str">
        <v/>
      </c>
      <c r="K379" s="36" t="str">
        <v/>
      </c>
      <c r="L379" s="36"/>
      <c r="M379" s="36" t="str">
        <v/>
      </c>
      <c r="N379" s="27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</row>
    <row r="380" spans="1:29" ht="23.25">
      <c r="A380" s="15"/>
      <c r="B380" s="55"/>
      <c r="C380" s="66"/>
      <c r="D380" s="67"/>
      <c r="E380" s="68"/>
      <c r="F380" s="33" t="str">
        <v/>
      </c>
      <c r="G380" s="36"/>
      <c r="H380" s="36" t="str">
        <v/>
      </c>
      <c r="I380" s="36" t="str">
        <v/>
      </c>
      <c r="J380" s="36" t="str">
        <v/>
      </c>
      <c r="K380" s="36" t="str">
        <v/>
      </c>
      <c r="L380" s="36"/>
      <c r="M380" s="36" t="str">
        <v/>
      </c>
      <c r="N380" s="27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</row>
    <row r="381" spans="1:29" ht="23.25">
      <c r="A381" s="15"/>
      <c r="B381" s="55"/>
      <c r="C381" s="66"/>
      <c r="D381" s="67"/>
      <c r="E381" s="68"/>
      <c r="F381" s="33" t="str">
        <v/>
      </c>
      <c r="G381" s="36"/>
      <c r="H381" s="36" t="str">
        <v/>
      </c>
      <c r="I381" s="36" t="str">
        <v/>
      </c>
      <c r="J381" s="36" t="str">
        <v/>
      </c>
      <c r="K381" s="36" t="str">
        <v/>
      </c>
      <c r="L381" s="36"/>
      <c r="M381" s="36" t="str">
        <v/>
      </c>
      <c r="N381" s="27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</row>
    <row r="382" spans="1:29" ht="23.25">
      <c r="A382" s="15"/>
      <c r="B382" s="55"/>
      <c r="C382" s="66"/>
      <c r="D382" s="67"/>
      <c r="E382" s="68"/>
      <c r="F382" s="33" t="str">
        <v/>
      </c>
      <c r="G382" s="36"/>
      <c r="H382" s="36" t="str">
        <v/>
      </c>
      <c r="I382" s="36" t="str">
        <v/>
      </c>
      <c r="J382" s="36" t="str">
        <v/>
      </c>
      <c r="K382" s="36" t="str">
        <v/>
      </c>
      <c r="L382" s="36"/>
      <c r="M382" s="36" t="str">
        <v/>
      </c>
      <c r="N382" s="27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</row>
    <row r="383" spans="1:29" ht="23.25">
      <c r="A383" s="15"/>
      <c r="B383" s="55"/>
      <c r="C383" s="66"/>
      <c r="D383" s="67"/>
      <c r="E383" s="68"/>
      <c r="F383" s="33" t="str">
        <v/>
      </c>
      <c r="G383" s="36"/>
      <c r="H383" s="36" t="str">
        <v/>
      </c>
      <c r="I383" s="36" t="str">
        <v/>
      </c>
      <c r="J383" s="36" t="str">
        <v/>
      </c>
      <c r="K383" s="36" t="str">
        <v/>
      </c>
      <c r="L383" s="36"/>
      <c r="M383" s="36" t="str">
        <v/>
      </c>
      <c r="N383" s="27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</row>
    <row r="384" spans="1:29" ht="23.25">
      <c r="A384" s="15"/>
      <c r="B384" s="55"/>
      <c r="C384" s="66"/>
      <c r="D384" s="67"/>
      <c r="E384" s="68"/>
      <c r="F384" s="33" t="str">
        <v/>
      </c>
      <c r="G384" s="36"/>
      <c r="H384" s="36" t="str">
        <v/>
      </c>
      <c r="I384" s="36" t="str">
        <v/>
      </c>
      <c r="J384" s="36" t="str">
        <v/>
      </c>
      <c r="K384" s="36" t="str">
        <v/>
      </c>
      <c r="L384" s="36"/>
      <c r="M384" s="36" t="str">
        <v/>
      </c>
      <c r="N384" s="27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</row>
    <row r="385" spans="1:29" ht="23.25">
      <c r="A385" s="15"/>
      <c r="B385" s="55"/>
      <c r="C385" s="66"/>
      <c r="D385" s="67"/>
      <c r="E385" s="68"/>
      <c r="F385" s="33" t="str">
        <v/>
      </c>
      <c r="G385" s="36"/>
      <c r="H385" s="36" t="str">
        <v/>
      </c>
      <c r="I385" s="36" t="str">
        <v/>
      </c>
      <c r="J385" s="36" t="str">
        <v/>
      </c>
      <c r="K385" s="36" t="str">
        <v/>
      </c>
      <c r="L385" s="36"/>
      <c r="M385" s="36" t="str">
        <v/>
      </c>
      <c r="N385" s="27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</row>
    <row r="386" spans="1:29" ht="23.25">
      <c r="A386" s="15"/>
      <c r="B386" s="55"/>
      <c r="C386" s="66"/>
      <c r="D386" s="67"/>
      <c r="E386" s="68"/>
      <c r="F386" s="33" t="str">
        <v/>
      </c>
      <c r="G386" s="36"/>
      <c r="H386" s="36" t="str">
        <v/>
      </c>
      <c r="I386" s="36" t="str">
        <v/>
      </c>
      <c r="J386" s="36" t="str">
        <v/>
      </c>
      <c r="K386" s="36" t="str">
        <v/>
      </c>
      <c r="L386" s="36"/>
      <c r="M386" s="36" t="str">
        <v/>
      </c>
      <c r="N386" s="27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</row>
    <row r="387" spans="1:29" ht="23.25">
      <c r="A387" s="15"/>
      <c r="B387" s="55"/>
      <c r="C387" s="66"/>
      <c r="D387" s="67"/>
      <c r="E387" s="68"/>
      <c r="F387" s="33" t="str">
        <v/>
      </c>
      <c r="G387" s="36"/>
      <c r="H387" s="36" t="str">
        <v/>
      </c>
      <c r="I387" s="36" t="str">
        <v/>
      </c>
      <c r="J387" s="36" t="str">
        <v/>
      </c>
      <c r="K387" s="36" t="str">
        <v/>
      </c>
      <c r="L387" s="36"/>
      <c r="M387" s="36" t="str">
        <v/>
      </c>
      <c r="N387" s="27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</row>
    <row r="388" spans="1:29" ht="23.25">
      <c r="A388" s="15"/>
      <c r="B388" s="55"/>
      <c r="C388" s="66"/>
      <c r="D388" s="67"/>
      <c r="E388" s="68"/>
      <c r="F388" s="33" t="str">
        <v/>
      </c>
      <c r="G388" s="36"/>
      <c r="H388" s="36" t="str">
        <v/>
      </c>
      <c r="I388" s="36" t="str">
        <v/>
      </c>
      <c r="J388" s="36" t="str">
        <v/>
      </c>
      <c r="K388" s="36" t="str">
        <v/>
      </c>
      <c r="L388" s="36"/>
      <c r="M388" s="36" t="str">
        <v/>
      </c>
      <c r="N388" s="27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</row>
    <row r="389" spans="1:29" ht="23.25">
      <c r="A389" s="15"/>
      <c r="B389" s="55"/>
      <c r="C389" s="66"/>
      <c r="D389" s="67"/>
      <c r="E389" s="68"/>
      <c r="F389" s="33" t="str">
        <v/>
      </c>
      <c r="G389" s="36"/>
      <c r="H389" s="36" t="str">
        <v/>
      </c>
      <c r="I389" s="36" t="str">
        <v/>
      </c>
      <c r="J389" s="36" t="str">
        <v/>
      </c>
      <c r="K389" s="36" t="str">
        <v/>
      </c>
      <c r="L389" s="36"/>
      <c r="M389" s="36" t="str">
        <v/>
      </c>
      <c r="N389" s="27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</row>
    <row r="390" spans="1:29" ht="23.25">
      <c r="A390" s="15"/>
      <c r="B390" s="55"/>
      <c r="C390" s="66"/>
      <c r="D390" s="67"/>
      <c r="E390" s="68"/>
      <c r="F390" s="33" t="str">
        <v/>
      </c>
      <c r="G390" s="36"/>
      <c r="H390" s="36" t="str">
        <v/>
      </c>
      <c r="I390" s="36" t="str">
        <v/>
      </c>
      <c r="J390" s="36" t="str">
        <v/>
      </c>
      <c r="K390" s="36" t="str">
        <v/>
      </c>
      <c r="L390" s="36"/>
      <c r="M390" s="36" t="str">
        <v/>
      </c>
      <c r="N390" s="27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</row>
    <row r="391" spans="1:29" ht="23.25">
      <c r="A391" s="15"/>
      <c r="B391" s="55"/>
      <c r="C391" s="66"/>
      <c r="D391" s="67"/>
      <c r="E391" s="68"/>
      <c r="F391" s="33" t="str">
        <v/>
      </c>
      <c r="G391" s="36"/>
      <c r="H391" s="36" t="str">
        <v/>
      </c>
      <c r="I391" s="36" t="str">
        <v/>
      </c>
      <c r="J391" s="36" t="str">
        <v/>
      </c>
      <c r="K391" s="36" t="str">
        <v/>
      </c>
      <c r="L391" s="36"/>
      <c r="M391" s="36" t="str">
        <v/>
      </c>
      <c r="N391" s="27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</row>
    <row r="392" spans="1:29" ht="23.25">
      <c r="A392" s="15"/>
      <c r="B392" s="55"/>
      <c r="C392" s="66"/>
      <c r="D392" s="67"/>
      <c r="E392" s="68"/>
      <c r="F392" s="33" t="str">
        <v/>
      </c>
      <c r="G392" s="36"/>
      <c r="H392" s="36" t="str">
        <v/>
      </c>
      <c r="I392" s="36" t="str">
        <v/>
      </c>
      <c r="J392" s="36" t="str">
        <v/>
      </c>
      <c r="K392" s="36" t="str">
        <v/>
      </c>
      <c r="L392" s="36"/>
      <c r="M392" s="36" t="str">
        <v/>
      </c>
      <c r="N392" s="27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</row>
    <row r="393" spans="1:29" ht="23.25">
      <c r="A393" s="15"/>
      <c r="B393" s="55"/>
      <c r="C393" s="66"/>
      <c r="D393" s="67"/>
      <c r="E393" s="68"/>
      <c r="F393" s="33" t="str">
        <v/>
      </c>
      <c r="G393" s="36"/>
      <c r="H393" s="36" t="str">
        <v/>
      </c>
      <c r="I393" s="36" t="str">
        <v/>
      </c>
      <c r="J393" s="36" t="str">
        <v/>
      </c>
      <c r="K393" s="36" t="str">
        <v/>
      </c>
      <c r="L393" s="36"/>
      <c r="M393" s="36" t="str">
        <v/>
      </c>
      <c r="N393" s="27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</row>
    <row r="394" spans="1:29" ht="23.25">
      <c r="A394" s="15"/>
      <c r="B394" s="55"/>
      <c r="C394" s="66"/>
      <c r="D394" s="67"/>
      <c r="E394" s="68"/>
      <c r="F394" s="33" t="str">
        <v/>
      </c>
      <c r="G394" s="36"/>
      <c r="H394" s="36" t="str">
        <v/>
      </c>
      <c r="I394" s="36" t="str">
        <v/>
      </c>
      <c r="J394" s="36" t="str">
        <v/>
      </c>
      <c r="K394" s="36" t="str">
        <v/>
      </c>
      <c r="L394" s="36"/>
      <c r="M394" s="36" t="str">
        <v/>
      </c>
      <c r="N394" s="27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</row>
    <row r="395" spans="1:29" ht="23.25">
      <c r="A395" s="15"/>
      <c r="B395" s="55"/>
      <c r="C395" s="66"/>
      <c r="D395" s="67"/>
      <c r="E395" s="68"/>
      <c r="F395" s="33" t="str">
        <v/>
      </c>
      <c r="G395" s="36"/>
      <c r="H395" s="36" t="str">
        <v/>
      </c>
      <c r="I395" s="36" t="str">
        <v/>
      </c>
      <c r="J395" s="36" t="str">
        <v/>
      </c>
      <c r="K395" s="36" t="str">
        <v/>
      </c>
      <c r="L395" s="36"/>
      <c r="M395" s="36" t="str">
        <v/>
      </c>
      <c r="N395" s="27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</row>
    <row r="396" spans="1:29" ht="23.25">
      <c r="A396" s="15"/>
      <c r="B396" s="55"/>
      <c r="C396" s="66"/>
      <c r="D396" s="67"/>
      <c r="E396" s="68"/>
      <c r="F396" s="33" t="str">
        <v/>
      </c>
      <c r="G396" s="36"/>
      <c r="H396" s="36" t="str">
        <v/>
      </c>
      <c r="I396" s="36" t="str">
        <v/>
      </c>
      <c r="J396" s="36" t="str">
        <v/>
      </c>
      <c r="K396" s="36" t="str">
        <v/>
      </c>
      <c r="L396" s="36"/>
      <c r="M396" s="36" t="str">
        <v/>
      </c>
      <c r="N396" s="27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</row>
    <row r="397" spans="1:29" ht="23.25">
      <c r="A397" s="15"/>
      <c r="B397" s="55"/>
      <c r="C397" s="66"/>
      <c r="D397" s="67"/>
      <c r="E397" s="68"/>
      <c r="F397" s="33" t="str">
        <v/>
      </c>
      <c r="G397" s="36"/>
      <c r="H397" s="36" t="str">
        <v/>
      </c>
      <c r="I397" s="36" t="str">
        <v/>
      </c>
      <c r="J397" s="36" t="str">
        <v/>
      </c>
      <c r="K397" s="36" t="str">
        <v/>
      </c>
      <c r="L397" s="36"/>
      <c r="M397" s="36" t="str">
        <v/>
      </c>
      <c r="N397" s="27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</row>
    <row r="398" spans="1:29" ht="23.25">
      <c r="A398" s="15"/>
      <c r="B398" s="55"/>
      <c r="C398" s="66"/>
      <c r="D398" s="67"/>
      <c r="E398" s="68"/>
      <c r="F398" s="33" t="str">
        <v/>
      </c>
      <c r="G398" s="36"/>
      <c r="H398" s="36" t="str">
        <v/>
      </c>
      <c r="I398" s="36" t="str">
        <v/>
      </c>
      <c r="J398" s="36" t="str">
        <v/>
      </c>
      <c r="K398" s="36" t="str">
        <v/>
      </c>
      <c r="L398" s="36"/>
      <c r="M398" s="36" t="str">
        <v/>
      </c>
      <c r="N398" s="27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</row>
    <row r="399" spans="1:29" ht="23.25">
      <c r="A399" s="15"/>
      <c r="B399" s="55"/>
      <c r="C399" s="66"/>
      <c r="D399" s="67"/>
      <c r="E399" s="68"/>
      <c r="F399" s="33" t="str">
        <v/>
      </c>
      <c r="G399" s="36"/>
      <c r="H399" s="36" t="str">
        <v/>
      </c>
      <c r="I399" s="36" t="str">
        <v/>
      </c>
      <c r="J399" s="36" t="str">
        <v/>
      </c>
      <c r="K399" s="36" t="str">
        <v/>
      </c>
      <c r="L399" s="36"/>
      <c r="M399" s="36" t="str">
        <v/>
      </c>
      <c r="N399" s="27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</row>
    <row r="400" spans="1:29" ht="23.25">
      <c r="A400" s="15"/>
      <c r="B400" s="55"/>
      <c r="C400" s="66"/>
      <c r="D400" s="67"/>
      <c r="E400" s="68"/>
      <c r="F400" s="33" t="str">
        <v/>
      </c>
      <c r="G400" s="36"/>
      <c r="H400" s="36" t="str">
        <v/>
      </c>
      <c r="I400" s="36" t="str">
        <v/>
      </c>
      <c r="J400" s="36" t="str">
        <v/>
      </c>
      <c r="K400" s="36" t="str">
        <v/>
      </c>
      <c r="L400" s="36"/>
      <c r="M400" s="36" t="str">
        <v/>
      </c>
      <c r="N400" s="27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</row>
    <row r="401" spans="1:29" ht="23.25">
      <c r="A401" s="15"/>
      <c r="B401" s="55"/>
      <c r="C401" s="66"/>
      <c r="D401" s="67"/>
      <c r="E401" s="68"/>
      <c r="F401" s="33" t="str">
        <v/>
      </c>
      <c r="G401" s="36"/>
      <c r="H401" s="36" t="str">
        <v/>
      </c>
      <c r="I401" s="36" t="str">
        <v/>
      </c>
      <c r="J401" s="36" t="str">
        <v/>
      </c>
      <c r="K401" s="36" t="str">
        <v/>
      </c>
      <c r="L401" s="36"/>
      <c r="M401" s="36" t="str">
        <v/>
      </c>
      <c r="N401" s="27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</row>
    <row r="402" spans="1:29" ht="23.25">
      <c r="A402" s="15"/>
      <c r="B402" s="55"/>
      <c r="C402" s="66"/>
      <c r="D402" s="67"/>
      <c r="E402" s="68"/>
      <c r="F402" s="33" t="str">
        <v/>
      </c>
      <c r="G402" s="36"/>
      <c r="H402" s="36" t="str">
        <v/>
      </c>
      <c r="I402" s="36" t="str">
        <v/>
      </c>
      <c r="J402" s="36" t="str">
        <v/>
      </c>
      <c r="K402" s="36" t="str">
        <v/>
      </c>
      <c r="L402" s="36"/>
      <c r="M402" s="36" t="str">
        <v/>
      </c>
      <c r="N402" s="27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</row>
    <row r="403" spans="1:29" ht="23.25">
      <c r="A403" s="15"/>
      <c r="B403" s="55"/>
      <c r="C403" s="66"/>
      <c r="D403" s="67"/>
      <c r="E403" s="68"/>
      <c r="F403" s="33" t="str">
        <v/>
      </c>
      <c r="G403" s="36"/>
      <c r="H403" s="36" t="str">
        <v/>
      </c>
      <c r="I403" s="36" t="str">
        <v/>
      </c>
      <c r="J403" s="36" t="str">
        <v/>
      </c>
      <c r="K403" s="36" t="str">
        <v/>
      </c>
      <c r="L403" s="36"/>
      <c r="M403" s="36" t="str">
        <v/>
      </c>
      <c r="N403" s="27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</row>
    <row r="404" spans="1:29" ht="23.25">
      <c r="A404" s="15"/>
      <c r="B404" s="55"/>
      <c r="C404" s="66"/>
      <c r="D404" s="67"/>
      <c r="E404" s="68"/>
      <c r="F404" s="33" t="str">
        <v/>
      </c>
      <c r="G404" s="36"/>
      <c r="H404" s="36" t="str">
        <v/>
      </c>
      <c r="I404" s="36" t="str">
        <v/>
      </c>
      <c r="J404" s="36" t="str">
        <v/>
      </c>
      <c r="K404" s="36" t="str">
        <v/>
      </c>
      <c r="L404" s="36"/>
      <c r="M404" s="36" t="str">
        <v/>
      </c>
      <c r="N404" s="27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</row>
    <row r="405" spans="1:29" ht="23.25">
      <c r="A405" s="15"/>
      <c r="B405" s="55"/>
      <c r="C405" s="66"/>
      <c r="D405" s="67"/>
      <c r="E405" s="68"/>
      <c r="F405" s="33" t="str">
        <v/>
      </c>
      <c r="G405" s="36"/>
      <c r="H405" s="36" t="str">
        <v/>
      </c>
      <c r="I405" s="36" t="str">
        <v/>
      </c>
      <c r="J405" s="36" t="str">
        <v/>
      </c>
      <c r="K405" s="36" t="str">
        <v/>
      </c>
      <c r="L405" s="36"/>
      <c r="M405" s="36" t="str">
        <v/>
      </c>
      <c r="N405" s="27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</row>
    <row r="406" spans="1:29" ht="23.25">
      <c r="A406" s="15"/>
      <c r="B406" s="55"/>
      <c r="C406" s="66"/>
      <c r="D406" s="67"/>
      <c r="E406" s="68"/>
      <c r="F406" s="33" t="str">
        <v/>
      </c>
      <c r="G406" s="36"/>
      <c r="H406" s="36" t="str">
        <v/>
      </c>
      <c r="I406" s="36" t="str">
        <v/>
      </c>
      <c r="J406" s="36" t="str">
        <v/>
      </c>
      <c r="K406" s="36" t="str">
        <v/>
      </c>
      <c r="L406" s="36"/>
      <c r="M406" s="36" t="str">
        <v/>
      </c>
      <c r="N406" s="27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</row>
    <row r="407" spans="1:29" ht="23.25">
      <c r="A407" s="15"/>
      <c r="B407" s="55"/>
      <c r="C407" s="66"/>
      <c r="D407" s="67"/>
      <c r="E407" s="68"/>
      <c r="F407" s="33" t="str">
        <v/>
      </c>
      <c r="G407" s="36"/>
      <c r="H407" s="36" t="str">
        <v/>
      </c>
      <c r="I407" s="36" t="str">
        <v/>
      </c>
      <c r="J407" s="36" t="str">
        <v/>
      </c>
      <c r="K407" s="36" t="str">
        <v/>
      </c>
      <c r="L407" s="36"/>
      <c r="M407" s="36" t="str">
        <v/>
      </c>
      <c r="N407" s="27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</row>
    <row r="408" spans="1:29" ht="23.25">
      <c r="A408" s="15"/>
      <c r="B408" s="55"/>
      <c r="C408" s="66"/>
      <c r="D408" s="67"/>
      <c r="E408" s="68"/>
      <c r="F408" s="33" t="str">
        <v/>
      </c>
      <c r="G408" s="36"/>
      <c r="H408" s="36" t="str">
        <v/>
      </c>
      <c r="I408" s="36" t="str">
        <v/>
      </c>
      <c r="J408" s="36" t="str">
        <v/>
      </c>
      <c r="K408" s="36" t="str">
        <v/>
      </c>
      <c r="L408" s="36"/>
      <c r="M408" s="36" t="str">
        <v/>
      </c>
      <c r="N408" s="27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</row>
    <row r="409" spans="1:29" ht="23.25">
      <c r="A409" s="15"/>
      <c r="B409" s="55"/>
      <c r="C409" s="66"/>
      <c r="D409" s="67"/>
      <c r="E409" s="68"/>
      <c r="F409" s="33" t="str">
        <v/>
      </c>
      <c r="G409" s="36"/>
      <c r="H409" s="36" t="str">
        <v/>
      </c>
      <c r="I409" s="36" t="str">
        <v/>
      </c>
      <c r="J409" s="36" t="str">
        <v/>
      </c>
      <c r="K409" s="36" t="str">
        <v/>
      </c>
      <c r="L409" s="36"/>
      <c r="M409" s="36" t="str">
        <v/>
      </c>
      <c r="N409" s="27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</row>
    <row r="410" spans="1:29" ht="23.25">
      <c r="A410" s="15"/>
      <c r="B410" s="55"/>
      <c r="C410" s="66"/>
      <c r="D410" s="67"/>
      <c r="E410" s="68"/>
      <c r="F410" s="33" t="str">
        <v/>
      </c>
      <c r="G410" s="36"/>
      <c r="H410" s="36" t="str">
        <v/>
      </c>
      <c r="I410" s="36" t="str">
        <v/>
      </c>
      <c r="J410" s="36" t="str">
        <v/>
      </c>
      <c r="K410" s="36" t="str">
        <v/>
      </c>
      <c r="L410" s="36"/>
      <c r="M410" s="36" t="str">
        <v/>
      </c>
      <c r="N410" s="27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</row>
    <row r="411" spans="1:29" ht="23.25">
      <c r="A411" s="15"/>
      <c r="B411" s="55"/>
      <c r="C411" s="66"/>
      <c r="D411" s="67"/>
      <c r="E411" s="68"/>
      <c r="F411" s="33" t="str">
        <v/>
      </c>
      <c r="G411" s="36"/>
      <c r="H411" s="36" t="str">
        <v/>
      </c>
      <c r="I411" s="36" t="str">
        <v/>
      </c>
      <c r="J411" s="36" t="str">
        <v/>
      </c>
      <c r="K411" s="36" t="str">
        <v/>
      </c>
      <c r="L411" s="36"/>
      <c r="M411" s="36" t="str">
        <v/>
      </c>
      <c r="N411" s="27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</row>
    <row r="412" spans="1:29" ht="23.25">
      <c r="A412" s="15"/>
      <c r="B412" s="55"/>
      <c r="C412" s="66"/>
      <c r="D412" s="67"/>
      <c r="E412" s="68"/>
      <c r="F412" s="33" t="str">
        <v/>
      </c>
      <c r="G412" s="36"/>
      <c r="H412" s="36" t="str">
        <v/>
      </c>
      <c r="I412" s="36" t="str">
        <v/>
      </c>
      <c r="J412" s="36" t="str">
        <v/>
      </c>
      <c r="K412" s="36" t="str">
        <v/>
      </c>
      <c r="L412" s="36"/>
      <c r="M412" s="36" t="str">
        <v/>
      </c>
      <c r="N412" s="27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</row>
    <row r="413" spans="1:29" ht="23.25">
      <c r="A413" s="15"/>
      <c r="B413" s="55"/>
      <c r="C413" s="66"/>
      <c r="D413" s="67"/>
      <c r="E413" s="68"/>
      <c r="F413" s="33" t="str">
        <v/>
      </c>
      <c r="G413" s="36"/>
      <c r="H413" s="36" t="str">
        <v/>
      </c>
      <c r="I413" s="36" t="str">
        <v/>
      </c>
      <c r="J413" s="36" t="str">
        <v/>
      </c>
      <c r="K413" s="36" t="str">
        <v/>
      </c>
      <c r="L413" s="36"/>
      <c r="M413" s="36" t="str">
        <v/>
      </c>
      <c r="N413" s="27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</row>
    <row r="414" spans="1:29" ht="23.25">
      <c r="A414" s="15"/>
      <c r="B414" s="55"/>
      <c r="C414" s="66"/>
      <c r="D414" s="67"/>
      <c r="E414" s="68"/>
      <c r="F414" s="33" t="str">
        <v/>
      </c>
      <c r="G414" s="36"/>
      <c r="H414" s="36" t="str">
        <v/>
      </c>
      <c r="I414" s="36" t="str">
        <v/>
      </c>
      <c r="J414" s="36" t="str">
        <v/>
      </c>
      <c r="K414" s="36" t="str">
        <v/>
      </c>
      <c r="L414" s="36"/>
      <c r="M414" s="36" t="str">
        <v/>
      </c>
      <c r="N414" s="27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</row>
    <row r="415" spans="1:29" ht="23.25">
      <c r="A415" s="15"/>
      <c r="B415" s="55"/>
      <c r="C415" s="66"/>
      <c r="D415" s="67"/>
      <c r="E415" s="68"/>
      <c r="F415" s="33" t="str">
        <v/>
      </c>
      <c r="G415" s="36"/>
      <c r="H415" s="36" t="str">
        <v/>
      </c>
      <c r="I415" s="36" t="str">
        <v/>
      </c>
      <c r="J415" s="36" t="str">
        <v/>
      </c>
      <c r="K415" s="36" t="str">
        <v/>
      </c>
      <c r="L415" s="36"/>
      <c r="M415" s="36" t="str">
        <v/>
      </c>
      <c r="N415" s="27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</row>
    <row r="416" spans="1:29" ht="23.25">
      <c r="A416" s="15"/>
      <c r="B416" s="55"/>
      <c r="C416" s="66"/>
      <c r="D416" s="67"/>
      <c r="E416" s="68"/>
      <c r="F416" s="33" t="str">
        <v/>
      </c>
      <c r="G416" s="36"/>
      <c r="H416" s="36" t="str">
        <v/>
      </c>
      <c r="I416" s="36" t="str">
        <v/>
      </c>
      <c r="J416" s="36" t="str">
        <v/>
      </c>
      <c r="K416" s="36" t="str">
        <v/>
      </c>
      <c r="L416" s="36"/>
      <c r="M416" s="36" t="str">
        <v/>
      </c>
      <c r="N416" s="27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</row>
    <row r="417" spans="1:29" ht="23.25">
      <c r="A417" s="15"/>
      <c r="B417" s="55"/>
      <c r="C417" s="66"/>
      <c r="D417" s="67"/>
      <c r="E417" s="68"/>
      <c r="F417" s="33" t="str">
        <v/>
      </c>
      <c r="G417" s="36"/>
      <c r="H417" s="36" t="str">
        <v/>
      </c>
      <c r="I417" s="36" t="str">
        <v/>
      </c>
      <c r="J417" s="36" t="str">
        <v/>
      </c>
      <c r="K417" s="36" t="str">
        <v/>
      </c>
      <c r="L417" s="36"/>
      <c r="M417" s="36" t="str">
        <v/>
      </c>
      <c r="N417" s="27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</row>
    <row r="418" spans="1:29" ht="23.25">
      <c r="A418" s="15"/>
      <c r="B418" s="55"/>
      <c r="C418" s="66"/>
      <c r="D418" s="67"/>
      <c r="E418" s="68"/>
      <c r="F418" s="33" t="str">
        <v/>
      </c>
      <c r="G418" s="36"/>
      <c r="H418" s="36" t="str">
        <v/>
      </c>
      <c r="I418" s="36" t="str">
        <v/>
      </c>
      <c r="J418" s="36" t="str">
        <v/>
      </c>
      <c r="K418" s="36" t="str">
        <v/>
      </c>
      <c r="L418" s="36"/>
      <c r="M418" s="36" t="str">
        <v/>
      </c>
      <c r="N418" s="27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</row>
    <row r="419" spans="1:29" ht="23.25">
      <c r="A419" s="15"/>
      <c r="B419" s="55"/>
      <c r="C419" s="66"/>
      <c r="D419" s="67"/>
      <c r="E419" s="68"/>
      <c r="F419" s="33" t="str">
        <v/>
      </c>
      <c r="G419" s="36"/>
      <c r="H419" s="36" t="str">
        <v/>
      </c>
      <c r="I419" s="36" t="str">
        <v/>
      </c>
      <c r="J419" s="36" t="str">
        <v/>
      </c>
      <c r="K419" s="36" t="str">
        <v/>
      </c>
      <c r="L419" s="36"/>
      <c r="M419" s="36" t="str">
        <v/>
      </c>
      <c r="N419" s="27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</row>
    <row r="420" spans="1:29" ht="23.25">
      <c r="A420" s="15"/>
      <c r="B420" s="55"/>
      <c r="C420" s="66"/>
      <c r="D420" s="67"/>
      <c r="E420" s="68"/>
      <c r="F420" s="33" t="str">
        <v/>
      </c>
      <c r="G420" s="36"/>
      <c r="H420" s="36" t="str">
        <v/>
      </c>
      <c r="I420" s="36" t="str">
        <v/>
      </c>
      <c r="J420" s="36" t="str">
        <v/>
      </c>
      <c r="K420" s="36" t="str">
        <v/>
      </c>
      <c r="L420" s="36"/>
      <c r="M420" s="36" t="str">
        <v/>
      </c>
      <c r="N420" s="27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</row>
    <row r="421" spans="1:29" ht="23.25">
      <c r="A421" s="15"/>
      <c r="B421" s="55"/>
      <c r="C421" s="66"/>
      <c r="D421" s="67"/>
      <c r="E421" s="68"/>
      <c r="F421" s="33" t="str">
        <v/>
      </c>
      <c r="G421" s="36"/>
      <c r="H421" s="36" t="str">
        <v/>
      </c>
      <c r="I421" s="36" t="str">
        <v/>
      </c>
      <c r="J421" s="36" t="str">
        <v/>
      </c>
      <c r="K421" s="36" t="str">
        <v/>
      </c>
      <c r="L421" s="36"/>
      <c r="M421" s="36" t="str">
        <v/>
      </c>
      <c r="N421" s="27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</row>
    <row r="422" spans="1:29" ht="23.25">
      <c r="A422" s="15"/>
      <c r="B422" s="55"/>
      <c r="C422" s="66"/>
      <c r="D422" s="67"/>
      <c r="E422" s="68"/>
      <c r="F422" s="33" t="str">
        <v/>
      </c>
      <c r="G422" s="36"/>
      <c r="H422" s="36" t="str">
        <v/>
      </c>
      <c r="I422" s="36" t="str">
        <v/>
      </c>
      <c r="J422" s="36" t="str">
        <v/>
      </c>
      <c r="K422" s="36" t="str">
        <v/>
      </c>
      <c r="L422" s="36"/>
      <c r="M422" s="36" t="str">
        <v/>
      </c>
      <c r="N422" s="27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</row>
    <row r="423" spans="1:29" ht="23.25">
      <c r="A423" s="15"/>
      <c r="B423" s="55"/>
      <c r="C423" s="66"/>
      <c r="D423" s="67"/>
      <c r="E423" s="68"/>
      <c r="F423" s="33" t="str">
        <v/>
      </c>
      <c r="G423" s="36"/>
      <c r="H423" s="36" t="str">
        <v/>
      </c>
      <c r="I423" s="36" t="str">
        <v/>
      </c>
      <c r="J423" s="36" t="str">
        <v/>
      </c>
      <c r="K423" s="36" t="str">
        <v/>
      </c>
      <c r="L423" s="36"/>
      <c r="M423" s="36" t="str">
        <v/>
      </c>
      <c r="N423" s="27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</row>
    <row r="424" spans="1:29" ht="23.25">
      <c r="A424" s="15"/>
      <c r="B424" s="55"/>
      <c r="C424" s="66"/>
      <c r="D424" s="67"/>
      <c r="E424" s="68"/>
      <c r="F424" s="33" t="str">
        <v/>
      </c>
      <c r="G424" s="36"/>
      <c r="H424" s="36" t="str">
        <v/>
      </c>
      <c r="I424" s="36" t="str">
        <v/>
      </c>
      <c r="J424" s="36" t="str">
        <v/>
      </c>
      <c r="K424" s="36" t="str">
        <v/>
      </c>
      <c r="L424" s="36"/>
      <c r="M424" s="36" t="str">
        <v/>
      </c>
      <c r="N424" s="27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</row>
    <row r="425" spans="1:29" ht="23.25">
      <c r="A425" s="15"/>
      <c r="B425" s="55"/>
      <c r="C425" s="66"/>
      <c r="D425" s="67"/>
      <c r="E425" s="68"/>
      <c r="F425" s="33" t="str">
        <v/>
      </c>
      <c r="G425" s="36"/>
      <c r="H425" s="36" t="str">
        <v/>
      </c>
      <c r="I425" s="36" t="str">
        <v/>
      </c>
      <c r="J425" s="36" t="str">
        <v/>
      </c>
      <c r="K425" s="36" t="str">
        <v/>
      </c>
      <c r="L425" s="36"/>
      <c r="M425" s="36" t="str">
        <v/>
      </c>
      <c r="N425" s="27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</row>
    <row r="426" spans="1:29" ht="23.25">
      <c r="A426" s="15"/>
      <c r="B426" s="55"/>
      <c r="C426" s="66"/>
      <c r="D426" s="67"/>
      <c r="E426" s="68"/>
      <c r="F426" s="33" t="str">
        <v/>
      </c>
      <c r="G426" s="36"/>
      <c r="H426" s="36" t="str">
        <v/>
      </c>
      <c r="I426" s="36" t="str">
        <v/>
      </c>
      <c r="J426" s="36" t="str">
        <v/>
      </c>
      <c r="K426" s="36" t="str">
        <v/>
      </c>
      <c r="L426" s="36"/>
      <c r="M426" s="36" t="str">
        <v/>
      </c>
      <c r="N426" s="27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</row>
    <row r="427" spans="1:29" ht="23.25">
      <c r="A427" s="15"/>
      <c r="B427" s="55"/>
      <c r="C427" s="66"/>
      <c r="D427" s="67"/>
      <c r="E427" s="68"/>
      <c r="F427" s="33" t="str">
        <v/>
      </c>
      <c r="G427" s="36"/>
      <c r="H427" s="36" t="str">
        <v/>
      </c>
      <c r="I427" s="36" t="str">
        <v/>
      </c>
      <c r="J427" s="36" t="str">
        <v/>
      </c>
      <c r="K427" s="36" t="str">
        <v/>
      </c>
      <c r="L427" s="36"/>
      <c r="M427" s="36" t="str">
        <v/>
      </c>
      <c r="N427" s="27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</row>
    <row r="428" spans="1:29" ht="23.25">
      <c r="A428" s="15"/>
      <c r="B428" s="55"/>
      <c r="C428" s="66"/>
      <c r="D428" s="67"/>
      <c r="E428" s="68"/>
      <c r="F428" s="33" t="str">
        <v/>
      </c>
      <c r="G428" s="36"/>
      <c r="H428" s="36" t="str">
        <v/>
      </c>
      <c r="I428" s="36" t="str">
        <v/>
      </c>
      <c r="J428" s="36" t="str">
        <v/>
      </c>
      <c r="K428" s="36" t="str">
        <v/>
      </c>
      <c r="L428" s="36"/>
      <c r="M428" s="36" t="str">
        <v/>
      </c>
      <c r="N428" s="27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</row>
    <row r="429" spans="1:29" ht="23.25">
      <c r="A429" s="15"/>
      <c r="B429" s="55"/>
      <c r="C429" s="66"/>
      <c r="D429" s="67"/>
      <c r="E429" s="68"/>
      <c r="F429" s="33" t="str">
        <v/>
      </c>
      <c r="G429" s="36"/>
      <c r="H429" s="36" t="str">
        <v/>
      </c>
      <c r="I429" s="36" t="str">
        <v/>
      </c>
      <c r="J429" s="36" t="str">
        <v/>
      </c>
      <c r="K429" s="36" t="str">
        <v/>
      </c>
      <c r="L429" s="36"/>
      <c r="M429" s="36" t="str">
        <v/>
      </c>
      <c r="N429" s="27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</row>
    <row r="430" spans="1:29" ht="23.25">
      <c r="A430" s="15"/>
      <c r="B430" s="55"/>
      <c r="C430" s="66"/>
      <c r="D430" s="67"/>
      <c r="E430" s="68"/>
      <c r="F430" s="33" t="str">
        <v/>
      </c>
      <c r="G430" s="36"/>
      <c r="H430" s="36" t="str">
        <v/>
      </c>
      <c r="I430" s="36" t="str">
        <v/>
      </c>
      <c r="J430" s="36" t="str">
        <v/>
      </c>
      <c r="K430" s="36" t="str">
        <v/>
      </c>
      <c r="L430" s="36"/>
      <c r="M430" s="36" t="str">
        <v/>
      </c>
      <c r="N430" s="27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</row>
    <row r="431" spans="1:29" ht="23.25">
      <c r="A431" s="15"/>
      <c r="B431" s="55"/>
      <c r="C431" s="66"/>
      <c r="D431" s="67"/>
      <c r="E431" s="68"/>
      <c r="F431" s="33" t="str">
        <v/>
      </c>
      <c r="G431" s="36"/>
      <c r="H431" s="36" t="str">
        <v/>
      </c>
      <c r="I431" s="36" t="str">
        <v/>
      </c>
      <c r="J431" s="36" t="str">
        <v/>
      </c>
      <c r="K431" s="36" t="str">
        <v/>
      </c>
      <c r="L431" s="36"/>
      <c r="M431" s="36" t="str">
        <v/>
      </c>
      <c r="N431" s="27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</row>
    <row r="432" spans="1:29" ht="23.25">
      <c r="A432" s="15"/>
      <c r="B432" s="55"/>
      <c r="C432" s="66"/>
      <c r="D432" s="67"/>
      <c r="E432" s="68"/>
      <c r="F432" s="33" t="str">
        <v/>
      </c>
      <c r="G432" s="36"/>
      <c r="H432" s="36" t="str">
        <v/>
      </c>
      <c r="I432" s="36" t="str">
        <v/>
      </c>
      <c r="J432" s="36" t="str">
        <v/>
      </c>
      <c r="K432" s="36" t="str">
        <v/>
      </c>
      <c r="L432" s="36"/>
      <c r="M432" s="36" t="str">
        <v/>
      </c>
      <c r="N432" s="27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</row>
    <row r="433" spans="1:29" ht="23.25">
      <c r="A433" s="15"/>
      <c r="B433" s="55"/>
      <c r="C433" s="66"/>
      <c r="D433" s="67"/>
      <c r="E433" s="68"/>
      <c r="F433" s="33" t="str">
        <v/>
      </c>
      <c r="G433" s="36"/>
      <c r="H433" s="36" t="str">
        <v/>
      </c>
      <c r="I433" s="36" t="str">
        <v/>
      </c>
      <c r="J433" s="36" t="str">
        <v/>
      </c>
      <c r="K433" s="36" t="str">
        <v/>
      </c>
      <c r="L433" s="36"/>
      <c r="M433" s="36" t="str">
        <v/>
      </c>
      <c r="N433" s="27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</row>
    <row r="434" spans="1:29" ht="23.25">
      <c r="A434" s="15"/>
      <c r="B434" s="55"/>
      <c r="C434" s="66"/>
      <c r="D434" s="67"/>
      <c r="E434" s="68"/>
      <c r="F434" s="33" t="str">
        <v/>
      </c>
      <c r="G434" s="36"/>
      <c r="H434" s="36" t="str">
        <v/>
      </c>
      <c r="I434" s="36" t="str">
        <v/>
      </c>
      <c r="J434" s="36" t="str">
        <v/>
      </c>
      <c r="K434" s="36" t="str">
        <v/>
      </c>
      <c r="L434" s="36"/>
      <c r="M434" s="36" t="str">
        <v/>
      </c>
      <c r="N434" s="27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</row>
    <row r="435" spans="1:29" ht="23.25">
      <c r="A435" s="15"/>
      <c r="B435" s="55"/>
      <c r="C435" s="66"/>
      <c r="D435" s="67"/>
      <c r="E435" s="68"/>
      <c r="F435" s="33" t="str">
        <v/>
      </c>
      <c r="G435" s="36"/>
      <c r="H435" s="36" t="str">
        <v/>
      </c>
      <c r="I435" s="36" t="str">
        <v/>
      </c>
      <c r="J435" s="36" t="str">
        <v/>
      </c>
      <c r="K435" s="36" t="str">
        <v/>
      </c>
      <c r="L435" s="36"/>
      <c r="M435" s="36" t="str">
        <v/>
      </c>
      <c r="N435" s="27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</row>
    <row r="436" spans="1:29" ht="23.25">
      <c r="A436" s="15"/>
      <c r="B436" s="55"/>
      <c r="C436" s="66"/>
      <c r="D436" s="67"/>
      <c r="E436" s="68"/>
      <c r="F436" s="33" t="str">
        <v/>
      </c>
      <c r="G436" s="36"/>
      <c r="H436" s="36" t="str">
        <v/>
      </c>
      <c r="I436" s="36" t="str">
        <v/>
      </c>
      <c r="J436" s="36" t="str">
        <v/>
      </c>
      <c r="K436" s="36" t="str">
        <v/>
      </c>
      <c r="L436" s="36"/>
      <c r="M436" s="36" t="str">
        <v/>
      </c>
      <c r="N436" s="27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</row>
    <row r="437" spans="1:29" ht="23.25">
      <c r="A437" s="15"/>
      <c r="B437" s="55"/>
      <c r="C437" s="66"/>
      <c r="D437" s="67"/>
      <c r="E437" s="68"/>
      <c r="F437" s="33" t="str">
        <v/>
      </c>
      <c r="G437" s="36"/>
      <c r="H437" s="36" t="str">
        <v/>
      </c>
      <c r="I437" s="36" t="str">
        <v/>
      </c>
      <c r="J437" s="36" t="str">
        <v/>
      </c>
      <c r="K437" s="36" t="str">
        <v/>
      </c>
      <c r="L437" s="36"/>
      <c r="M437" s="36" t="str">
        <v/>
      </c>
      <c r="N437" s="27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</row>
    <row r="438" spans="1:29" ht="23.25">
      <c r="A438" s="15"/>
      <c r="B438" s="55"/>
      <c r="C438" s="66"/>
      <c r="D438" s="67"/>
      <c r="E438" s="68"/>
      <c r="F438" s="33" t="str">
        <v/>
      </c>
      <c r="G438" s="36"/>
      <c r="H438" s="36" t="str">
        <v/>
      </c>
      <c r="I438" s="36" t="str">
        <v/>
      </c>
      <c r="J438" s="36" t="str">
        <v/>
      </c>
      <c r="K438" s="36" t="str">
        <v/>
      </c>
      <c r="L438" s="36"/>
      <c r="M438" s="36" t="str">
        <v/>
      </c>
      <c r="N438" s="27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</row>
    <row r="439" spans="1:29" ht="23.25">
      <c r="A439" s="15"/>
      <c r="B439" s="55"/>
      <c r="C439" s="66"/>
      <c r="D439" s="67"/>
      <c r="E439" s="68"/>
      <c r="F439" s="33" t="str">
        <v/>
      </c>
      <c r="G439" s="36"/>
      <c r="H439" s="36" t="str">
        <v/>
      </c>
      <c r="I439" s="36" t="str">
        <v/>
      </c>
      <c r="J439" s="36" t="str">
        <v/>
      </c>
      <c r="K439" s="36" t="str">
        <v/>
      </c>
      <c r="L439" s="36"/>
      <c r="M439" s="36" t="str">
        <v/>
      </c>
      <c r="N439" s="27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</row>
    <row r="440" spans="1:29" ht="23.25">
      <c r="A440" s="15"/>
      <c r="B440" s="55"/>
      <c r="C440" s="66"/>
      <c r="D440" s="67"/>
      <c r="E440" s="68"/>
      <c r="F440" s="33" t="str">
        <v/>
      </c>
      <c r="G440" s="36"/>
      <c r="H440" s="36" t="str">
        <v/>
      </c>
      <c r="I440" s="36" t="str">
        <v/>
      </c>
      <c r="J440" s="36" t="str">
        <v/>
      </c>
      <c r="K440" s="36" t="str">
        <v/>
      </c>
      <c r="L440" s="36"/>
      <c r="M440" s="36" t="str">
        <v/>
      </c>
      <c r="N440" s="27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</row>
    <row r="441" spans="1:29" ht="23.25">
      <c r="A441" s="15"/>
      <c r="B441" s="55"/>
      <c r="C441" s="66"/>
      <c r="D441" s="67"/>
      <c r="E441" s="68"/>
      <c r="F441" s="33" t="str">
        <v/>
      </c>
      <c r="G441" s="36"/>
      <c r="H441" s="36" t="str">
        <v/>
      </c>
      <c r="I441" s="36" t="str">
        <v/>
      </c>
      <c r="J441" s="36" t="str">
        <v/>
      </c>
      <c r="K441" s="36" t="str">
        <v/>
      </c>
      <c r="L441" s="36"/>
      <c r="M441" s="36" t="str">
        <v/>
      </c>
      <c r="N441" s="27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</row>
    <row r="442" spans="1:29" ht="23.25">
      <c r="A442" s="15"/>
      <c r="B442" s="55"/>
      <c r="C442" s="66"/>
      <c r="D442" s="67"/>
      <c r="E442" s="68"/>
      <c r="F442" s="33" t="str">
        <v/>
      </c>
      <c r="G442" s="36"/>
      <c r="H442" s="36" t="str">
        <v/>
      </c>
      <c r="I442" s="36" t="str">
        <v/>
      </c>
      <c r="J442" s="36" t="str">
        <v/>
      </c>
      <c r="K442" s="36" t="str">
        <v/>
      </c>
      <c r="L442" s="36"/>
      <c r="M442" s="36" t="str">
        <v/>
      </c>
      <c r="N442" s="27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</row>
    <row r="443" spans="1:29" ht="23.25">
      <c r="A443" s="15"/>
      <c r="B443" s="55"/>
      <c r="C443" s="66"/>
      <c r="D443" s="67"/>
      <c r="E443" s="68"/>
      <c r="F443" s="33" t="str">
        <v/>
      </c>
      <c r="G443" s="36"/>
      <c r="H443" s="36" t="str">
        <v/>
      </c>
      <c r="I443" s="36" t="str">
        <v/>
      </c>
      <c r="J443" s="36" t="str">
        <v/>
      </c>
      <c r="K443" s="36" t="str">
        <v/>
      </c>
      <c r="L443" s="36"/>
      <c r="M443" s="36" t="str">
        <v/>
      </c>
      <c r="N443" s="27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</row>
    <row r="444" spans="1:29" ht="23.25">
      <c r="A444" s="15"/>
      <c r="B444" s="55"/>
      <c r="C444" s="66"/>
      <c r="D444" s="67"/>
      <c r="E444" s="68"/>
      <c r="F444" s="33" t="str">
        <v/>
      </c>
      <c r="G444" s="36"/>
      <c r="H444" s="36" t="str">
        <v/>
      </c>
      <c r="I444" s="36" t="str">
        <v/>
      </c>
      <c r="J444" s="36" t="str">
        <v/>
      </c>
      <c r="K444" s="36" t="str">
        <v/>
      </c>
      <c r="L444" s="36"/>
      <c r="M444" s="36" t="str">
        <v/>
      </c>
      <c r="N444" s="27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</row>
    <row r="445" spans="1:29" ht="23.25">
      <c r="A445" s="15"/>
      <c r="B445" s="55"/>
      <c r="C445" s="66"/>
      <c r="D445" s="67"/>
      <c r="E445" s="68"/>
      <c r="F445" s="33" t="str">
        <v/>
      </c>
      <c r="G445" s="36"/>
      <c r="H445" s="36" t="str">
        <v/>
      </c>
      <c r="I445" s="36" t="str">
        <v/>
      </c>
      <c r="J445" s="36" t="str">
        <v/>
      </c>
      <c r="K445" s="36" t="str">
        <v/>
      </c>
      <c r="L445" s="36"/>
      <c r="M445" s="36" t="str">
        <v/>
      </c>
      <c r="N445" s="27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</row>
    <row r="446" spans="1:29" ht="23.25">
      <c r="A446" s="15"/>
      <c r="B446" s="55"/>
      <c r="C446" s="66"/>
      <c r="D446" s="67"/>
      <c r="E446" s="68"/>
      <c r="F446" s="33" t="str">
        <v/>
      </c>
      <c r="G446" s="36"/>
      <c r="H446" s="36" t="str">
        <v/>
      </c>
      <c r="I446" s="36" t="str">
        <v/>
      </c>
      <c r="J446" s="36" t="str">
        <v/>
      </c>
      <c r="K446" s="36" t="str">
        <v/>
      </c>
      <c r="L446" s="36"/>
      <c r="M446" s="36" t="str">
        <v/>
      </c>
      <c r="N446" s="27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</row>
    <row r="447" spans="1:29" ht="23.25">
      <c r="A447" s="15"/>
      <c r="B447" s="55"/>
      <c r="C447" s="66"/>
      <c r="D447" s="67"/>
      <c r="E447" s="68"/>
      <c r="F447" s="33" t="str">
        <v/>
      </c>
      <c r="G447" s="36"/>
      <c r="H447" s="36" t="str">
        <v/>
      </c>
      <c r="I447" s="36" t="str">
        <v/>
      </c>
      <c r="J447" s="36" t="str">
        <v/>
      </c>
      <c r="K447" s="36" t="str">
        <v/>
      </c>
      <c r="L447" s="36"/>
      <c r="M447" s="36" t="str">
        <v/>
      </c>
      <c r="N447" s="27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</row>
    <row r="448" spans="1:29" ht="23.25">
      <c r="A448" s="15"/>
      <c r="B448" s="55"/>
      <c r="C448" s="66"/>
      <c r="D448" s="67"/>
      <c r="E448" s="68"/>
      <c r="F448" s="33" t="str">
        <v/>
      </c>
      <c r="G448" s="36"/>
      <c r="H448" s="36" t="str">
        <v/>
      </c>
      <c r="I448" s="36" t="str">
        <v/>
      </c>
      <c r="J448" s="36" t="str">
        <v/>
      </c>
      <c r="K448" s="36" t="str">
        <v/>
      </c>
      <c r="L448" s="36"/>
      <c r="M448" s="36" t="str">
        <v/>
      </c>
      <c r="N448" s="27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</row>
    <row r="449" spans="1:29" ht="23.25">
      <c r="A449" s="15"/>
      <c r="B449" s="55"/>
      <c r="C449" s="66"/>
      <c r="D449" s="67"/>
      <c r="E449" s="68"/>
      <c r="F449" s="33" t="str">
        <v/>
      </c>
      <c r="G449" s="36"/>
      <c r="H449" s="36" t="str">
        <v/>
      </c>
      <c r="I449" s="36" t="str">
        <v/>
      </c>
      <c r="J449" s="36" t="str">
        <v/>
      </c>
      <c r="K449" s="36" t="str">
        <v/>
      </c>
      <c r="L449" s="36"/>
      <c r="M449" s="36" t="str">
        <v/>
      </c>
      <c r="N449" s="27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</row>
    <row r="450" spans="1:29" ht="23.25">
      <c r="A450" s="15"/>
      <c r="B450" s="55"/>
      <c r="C450" s="66"/>
      <c r="D450" s="67"/>
      <c r="E450" s="68"/>
      <c r="F450" s="33" t="str">
        <v/>
      </c>
      <c r="G450" s="36"/>
      <c r="H450" s="36" t="str">
        <v/>
      </c>
      <c r="I450" s="36" t="str">
        <v/>
      </c>
      <c r="J450" s="36" t="str">
        <v/>
      </c>
      <c r="K450" s="36" t="str">
        <v/>
      </c>
      <c r="L450" s="36"/>
      <c r="M450" s="36" t="str">
        <v/>
      </c>
      <c r="N450" s="27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</row>
    <row r="451" spans="1:29" ht="23.25">
      <c r="A451" s="15"/>
      <c r="B451" s="55"/>
      <c r="C451" s="66"/>
      <c r="D451" s="67"/>
      <c r="E451" s="68"/>
      <c r="F451" s="33" t="str">
        <v/>
      </c>
      <c r="G451" s="36"/>
      <c r="H451" s="36" t="str">
        <v/>
      </c>
      <c r="I451" s="36" t="str">
        <v/>
      </c>
      <c r="J451" s="36" t="str">
        <v/>
      </c>
      <c r="K451" s="36" t="str">
        <v/>
      </c>
      <c r="L451" s="36"/>
      <c r="M451" s="36" t="str">
        <v/>
      </c>
      <c r="N451" s="27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</row>
    <row r="452" spans="1:29" ht="23.25">
      <c r="A452" s="15"/>
      <c r="B452" s="55"/>
      <c r="C452" s="66"/>
      <c r="D452" s="67"/>
      <c r="E452" s="68"/>
      <c r="F452" s="33" t="str">
        <v/>
      </c>
      <c r="G452" s="36"/>
      <c r="H452" s="36" t="str">
        <v/>
      </c>
      <c r="I452" s="36" t="str">
        <v/>
      </c>
      <c r="J452" s="36" t="str">
        <v/>
      </c>
      <c r="K452" s="36" t="str">
        <v/>
      </c>
      <c r="L452" s="36"/>
      <c r="M452" s="36" t="str">
        <v/>
      </c>
      <c r="N452" s="27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</row>
    <row r="453" spans="1:29" ht="23.25">
      <c r="A453" s="15"/>
      <c r="B453" s="55"/>
      <c r="C453" s="66"/>
      <c r="D453" s="67"/>
      <c r="E453" s="68"/>
      <c r="F453" s="33" t="str">
        <v/>
      </c>
      <c r="G453" s="36"/>
      <c r="H453" s="36" t="str">
        <v/>
      </c>
      <c r="I453" s="36" t="str">
        <v/>
      </c>
      <c r="J453" s="36" t="str">
        <v/>
      </c>
      <c r="K453" s="36" t="str">
        <v/>
      </c>
      <c r="L453" s="36"/>
      <c r="M453" s="36" t="str">
        <v/>
      </c>
      <c r="N453" s="27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</row>
    <row r="454" spans="1:29" ht="23.25">
      <c r="A454" s="15"/>
      <c r="B454" s="55"/>
      <c r="C454" s="66"/>
      <c r="D454" s="67"/>
      <c r="E454" s="68"/>
      <c r="F454" s="33" t="str">
        <v/>
      </c>
      <c r="G454" s="36"/>
      <c r="H454" s="36" t="str">
        <v/>
      </c>
      <c r="I454" s="36" t="str">
        <v/>
      </c>
      <c r="J454" s="36" t="str">
        <v/>
      </c>
      <c r="K454" s="36" t="str">
        <v/>
      </c>
      <c r="L454" s="36"/>
      <c r="M454" s="36" t="str">
        <v/>
      </c>
      <c r="N454" s="27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</row>
    <row r="455" spans="1:29" ht="23.25">
      <c r="A455" s="15"/>
      <c r="B455" s="55"/>
      <c r="C455" s="66"/>
      <c r="D455" s="67"/>
      <c r="E455" s="68"/>
      <c r="F455" s="33" t="str">
        <v/>
      </c>
      <c r="G455" s="36"/>
      <c r="H455" s="36" t="str">
        <v/>
      </c>
      <c r="I455" s="36" t="str">
        <v/>
      </c>
      <c r="J455" s="36" t="str">
        <v/>
      </c>
      <c r="K455" s="36" t="str">
        <v/>
      </c>
      <c r="L455" s="36"/>
      <c r="M455" s="36" t="str">
        <v/>
      </c>
      <c r="N455" s="27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</row>
    <row r="456" spans="1:29" ht="23.25">
      <c r="A456" s="15"/>
      <c r="B456" s="55"/>
      <c r="C456" s="66"/>
      <c r="D456" s="67"/>
      <c r="E456" s="68"/>
      <c r="F456" s="33" t="str">
        <v/>
      </c>
      <c r="G456" s="36"/>
      <c r="H456" s="36" t="str">
        <v/>
      </c>
      <c r="I456" s="36" t="str">
        <v/>
      </c>
      <c r="J456" s="36" t="str">
        <v/>
      </c>
      <c r="K456" s="36" t="str">
        <v/>
      </c>
      <c r="L456" s="36"/>
      <c r="M456" s="36" t="str">
        <v/>
      </c>
      <c r="N456" s="27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</row>
    <row r="457" spans="1:29" ht="23.25">
      <c r="A457" s="15"/>
      <c r="B457" s="55"/>
      <c r="C457" s="66"/>
      <c r="D457" s="67"/>
      <c r="E457" s="68"/>
      <c r="F457" s="33" t="str">
        <v/>
      </c>
      <c r="G457" s="36"/>
      <c r="H457" s="36" t="str">
        <v/>
      </c>
      <c r="I457" s="36" t="str">
        <v/>
      </c>
      <c r="J457" s="36" t="str">
        <v/>
      </c>
      <c r="K457" s="36" t="str">
        <v/>
      </c>
      <c r="L457" s="36"/>
      <c r="M457" s="36" t="str">
        <v/>
      </c>
      <c r="N457" s="27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</row>
    <row r="458" spans="1:29" ht="23.25">
      <c r="A458" s="15"/>
      <c r="B458" s="55"/>
      <c r="C458" s="66"/>
      <c r="D458" s="67"/>
      <c r="E458" s="68"/>
      <c r="F458" s="33" t="str">
        <v/>
      </c>
      <c r="G458" s="36"/>
      <c r="H458" s="36" t="str">
        <v/>
      </c>
      <c r="I458" s="36" t="str">
        <v/>
      </c>
      <c r="J458" s="36" t="str">
        <v/>
      </c>
      <c r="K458" s="36" t="str">
        <v/>
      </c>
      <c r="L458" s="36"/>
      <c r="M458" s="36" t="str">
        <v/>
      </c>
      <c r="N458" s="27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</row>
    <row r="459" spans="1:29" ht="23.25">
      <c r="A459" s="15"/>
      <c r="B459" s="55"/>
      <c r="C459" s="66"/>
      <c r="D459" s="67"/>
      <c r="E459" s="68"/>
      <c r="F459" s="33" t="str">
        <v/>
      </c>
      <c r="G459" s="36"/>
      <c r="H459" s="36" t="str">
        <v/>
      </c>
      <c r="I459" s="36" t="str">
        <v/>
      </c>
      <c r="J459" s="36" t="str">
        <v/>
      </c>
      <c r="K459" s="36" t="str">
        <v/>
      </c>
      <c r="L459" s="36"/>
      <c r="M459" s="36" t="str">
        <v/>
      </c>
      <c r="N459" s="27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</row>
    <row r="460" spans="1:29" ht="23.25">
      <c r="A460" s="15"/>
      <c r="B460" s="55"/>
      <c r="C460" s="66"/>
      <c r="D460" s="67"/>
      <c r="E460" s="68"/>
      <c r="F460" s="33" t="str">
        <v/>
      </c>
      <c r="G460" s="36"/>
      <c r="H460" s="36" t="str">
        <v/>
      </c>
      <c r="I460" s="36" t="str">
        <v/>
      </c>
      <c r="J460" s="36" t="str">
        <v/>
      </c>
      <c r="K460" s="36" t="str">
        <v/>
      </c>
      <c r="L460" s="36"/>
      <c r="M460" s="36" t="str">
        <v/>
      </c>
      <c r="N460" s="27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</row>
    <row r="461" spans="1:29" ht="23.25">
      <c r="A461" s="15"/>
      <c r="B461" s="55"/>
      <c r="C461" s="66"/>
      <c r="D461" s="67"/>
      <c r="E461" s="68"/>
      <c r="F461" s="33" t="str">
        <v/>
      </c>
      <c r="G461" s="36"/>
      <c r="H461" s="36" t="str">
        <v/>
      </c>
      <c r="I461" s="36" t="str">
        <v/>
      </c>
      <c r="J461" s="36" t="str">
        <v/>
      </c>
      <c r="K461" s="36" t="str">
        <v/>
      </c>
      <c r="L461" s="36"/>
      <c r="M461" s="36" t="str">
        <v/>
      </c>
      <c r="N461" s="27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</row>
    <row r="462" spans="1:29" ht="23.25">
      <c r="A462" s="15"/>
      <c r="B462" s="55"/>
      <c r="C462" s="66"/>
      <c r="D462" s="67"/>
      <c r="E462" s="68"/>
      <c r="F462" s="33" t="str">
        <v/>
      </c>
      <c r="G462" s="36"/>
      <c r="H462" s="36" t="str">
        <v/>
      </c>
      <c r="I462" s="36" t="str">
        <v/>
      </c>
      <c r="J462" s="36" t="str">
        <v/>
      </c>
      <c r="K462" s="36" t="str">
        <v/>
      </c>
      <c r="L462" s="36"/>
      <c r="M462" s="36" t="str">
        <v/>
      </c>
      <c r="N462" s="27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</row>
    <row r="463" spans="1:29" ht="23.25">
      <c r="A463" s="15"/>
      <c r="B463" s="55"/>
      <c r="C463" s="66"/>
      <c r="D463" s="67"/>
      <c r="E463" s="68"/>
      <c r="F463" s="33" t="str">
        <v/>
      </c>
      <c r="G463" s="36"/>
      <c r="H463" s="36" t="str">
        <v/>
      </c>
      <c r="I463" s="36" t="str">
        <v/>
      </c>
      <c r="J463" s="36" t="str">
        <v/>
      </c>
      <c r="K463" s="36" t="str">
        <v/>
      </c>
      <c r="L463" s="36"/>
      <c r="M463" s="36" t="str">
        <v/>
      </c>
      <c r="N463" s="27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</row>
    <row r="464" spans="1:29" ht="23.25">
      <c r="A464" s="15"/>
      <c r="B464" s="55"/>
      <c r="C464" s="66"/>
      <c r="D464" s="67"/>
      <c r="E464" s="68"/>
      <c r="F464" s="33" t="str">
        <v/>
      </c>
      <c r="G464" s="36"/>
      <c r="H464" s="36" t="str">
        <v/>
      </c>
      <c r="I464" s="36" t="str">
        <v/>
      </c>
      <c r="J464" s="36" t="str">
        <v/>
      </c>
      <c r="K464" s="36" t="str">
        <v/>
      </c>
      <c r="L464" s="36"/>
      <c r="M464" s="36" t="str">
        <v/>
      </c>
      <c r="N464" s="27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</row>
    <row r="465" spans="1:29" ht="23.25">
      <c r="A465" s="15"/>
      <c r="B465" s="55"/>
      <c r="C465" s="66"/>
      <c r="D465" s="67"/>
      <c r="E465" s="68"/>
      <c r="F465" s="33" t="str">
        <v/>
      </c>
      <c r="G465" s="36"/>
      <c r="H465" s="36" t="str">
        <v/>
      </c>
      <c r="I465" s="36" t="str">
        <v/>
      </c>
      <c r="J465" s="36" t="str">
        <v/>
      </c>
      <c r="K465" s="36" t="str">
        <v/>
      </c>
      <c r="L465" s="36"/>
      <c r="M465" s="36" t="str">
        <v/>
      </c>
      <c r="N465" s="27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</row>
    <row r="466" spans="1:29" ht="23.25">
      <c r="A466" s="15"/>
      <c r="B466" s="55"/>
      <c r="C466" s="66"/>
      <c r="D466" s="67"/>
      <c r="E466" s="68"/>
      <c r="F466" s="33" t="str">
        <v/>
      </c>
      <c r="G466" s="36"/>
      <c r="H466" s="36" t="str">
        <v/>
      </c>
      <c r="I466" s="36" t="str">
        <v/>
      </c>
      <c r="J466" s="36" t="str">
        <v/>
      </c>
      <c r="K466" s="36" t="str">
        <v/>
      </c>
      <c r="L466" s="36"/>
      <c r="M466" s="36" t="str">
        <v/>
      </c>
      <c r="N466" s="27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</row>
    <row r="467" spans="1:29" ht="23.25">
      <c r="A467" s="15"/>
      <c r="B467" s="55"/>
      <c r="C467" s="66"/>
      <c r="D467" s="67"/>
      <c r="E467" s="68"/>
      <c r="F467" s="33" t="str">
        <v/>
      </c>
      <c r="G467" s="36"/>
      <c r="H467" s="36" t="str">
        <v/>
      </c>
      <c r="I467" s="36" t="str">
        <v/>
      </c>
      <c r="J467" s="36" t="str">
        <v/>
      </c>
      <c r="K467" s="36" t="str">
        <v/>
      </c>
      <c r="L467" s="36"/>
      <c r="M467" s="36" t="str">
        <v/>
      </c>
      <c r="N467" s="27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</row>
    <row r="468" spans="1:29" ht="23.25">
      <c r="A468" s="15"/>
      <c r="B468" s="55"/>
      <c r="C468" s="66"/>
      <c r="D468" s="67"/>
      <c r="E468" s="68"/>
      <c r="F468" s="33" t="str">
        <v/>
      </c>
      <c r="G468" s="36"/>
      <c r="H468" s="36" t="str">
        <v/>
      </c>
      <c r="I468" s="36" t="str">
        <v/>
      </c>
      <c r="J468" s="36" t="str">
        <v/>
      </c>
      <c r="K468" s="36" t="str">
        <v/>
      </c>
      <c r="L468" s="36"/>
      <c r="M468" s="36" t="str">
        <v/>
      </c>
      <c r="N468" s="27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</row>
    <row r="469" spans="1:29" ht="23.25">
      <c r="A469" s="15"/>
      <c r="B469" s="55"/>
      <c r="C469" s="66"/>
      <c r="D469" s="67"/>
      <c r="E469" s="68"/>
      <c r="F469" s="33" t="str">
        <v/>
      </c>
      <c r="G469" s="36"/>
      <c r="H469" s="36" t="str">
        <v/>
      </c>
      <c r="I469" s="36" t="str">
        <v/>
      </c>
      <c r="J469" s="36" t="str">
        <v/>
      </c>
      <c r="K469" s="36" t="str">
        <v/>
      </c>
      <c r="L469" s="36"/>
      <c r="M469" s="36" t="str">
        <v/>
      </c>
      <c r="N469" s="27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</row>
    <row r="470" spans="1:29" ht="23.25">
      <c r="A470" s="15"/>
      <c r="B470" s="55"/>
      <c r="C470" s="66"/>
      <c r="D470" s="67"/>
      <c r="E470" s="68"/>
      <c r="F470" s="33" t="str">
        <v/>
      </c>
      <c r="G470" s="36"/>
      <c r="H470" s="36" t="str">
        <v/>
      </c>
      <c r="I470" s="36" t="str">
        <v/>
      </c>
      <c r="J470" s="36" t="str">
        <v/>
      </c>
      <c r="K470" s="36" t="str">
        <v/>
      </c>
      <c r="L470" s="36"/>
      <c r="M470" s="36" t="str">
        <v/>
      </c>
      <c r="N470" s="27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</row>
    <row r="471" spans="1:29" ht="23.25">
      <c r="A471" s="15"/>
      <c r="B471" s="55"/>
      <c r="C471" s="66"/>
      <c r="D471" s="67"/>
      <c r="E471" s="68"/>
      <c r="F471" s="33" t="str">
        <v/>
      </c>
      <c r="G471" s="36"/>
      <c r="H471" s="36" t="str">
        <v/>
      </c>
      <c r="I471" s="36" t="str">
        <v/>
      </c>
      <c r="J471" s="36" t="str">
        <v/>
      </c>
      <c r="K471" s="36" t="str">
        <v/>
      </c>
      <c r="L471" s="36"/>
      <c r="M471" s="36" t="str">
        <v/>
      </c>
      <c r="N471" s="27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</row>
    <row r="472" spans="1:29" ht="23.25">
      <c r="A472" s="15"/>
      <c r="B472" s="55"/>
      <c r="C472" s="66"/>
      <c r="D472" s="67"/>
      <c r="E472" s="68"/>
      <c r="F472" s="33" t="str">
        <v/>
      </c>
      <c r="G472" s="36"/>
      <c r="H472" s="36" t="str">
        <v/>
      </c>
      <c r="I472" s="36" t="str">
        <v/>
      </c>
      <c r="J472" s="36" t="str">
        <v/>
      </c>
      <c r="K472" s="36" t="str">
        <v/>
      </c>
      <c r="L472" s="36"/>
      <c r="M472" s="36" t="str">
        <v/>
      </c>
      <c r="N472" s="27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</row>
    <row r="473" spans="1:29" ht="23.25">
      <c r="A473" s="15"/>
      <c r="B473" s="55"/>
      <c r="C473" s="66"/>
      <c r="D473" s="67"/>
      <c r="E473" s="68"/>
      <c r="F473" s="33" t="str">
        <v/>
      </c>
      <c r="G473" s="36"/>
      <c r="H473" s="36" t="str">
        <v/>
      </c>
      <c r="I473" s="36" t="str">
        <v/>
      </c>
      <c r="J473" s="36" t="str">
        <v/>
      </c>
      <c r="K473" s="36" t="str">
        <v/>
      </c>
      <c r="L473" s="36"/>
      <c r="M473" s="36" t="str">
        <v/>
      </c>
      <c r="N473" s="27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</row>
    <row r="474" spans="1:29" ht="23.25">
      <c r="A474" s="15"/>
      <c r="B474" s="55"/>
      <c r="C474" s="66"/>
      <c r="D474" s="67"/>
      <c r="E474" s="68"/>
      <c r="F474" s="33" t="str">
        <v/>
      </c>
      <c r="G474" s="36"/>
      <c r="H474" s="36" t="str">
        <v/>
      </c>
      <c r="I474" s="36" t="str">
        <v/>
      </c>
      <c r="J474" s="36" t="str">
        <v/>
      </c>
      <c r="K474" s="36" t="str">
        <v/>
      </c>
      <c r="L474" s="36"/>
      <c r="M474" s="36" t="str">
        <v/>
      </c>
      <c r="N474" s="27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</row>
    <row r="475" spans="1:29" ht="23.25">
      <c r="A475" s="15"/>
      <c r="B475" s="55"/>
      <c r="C475" s="66"/>
      <c r="D475" s="67"/>
      <c r="E475" s="68"/>
      <c r="F475" s="33" t="str">
        <v/>
      </c>
      <c r="G475" s="36"/>
      <c r="H475" s="36" t="str">
        <v/>
      </c>
      <c r="I475" s="36" t="str">
        <v/>
      </c>
      <c r="J475" s="36" t="str">
        <v/>
      </c>
      <c r="K475" s="36" t="str">
        <v/>
      </c>
      <c r="L475" s="36"/>
      <c r="M475" s="36" t="str">
        <v/>
      </c>
      <c r="N475" s="27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</row>
    <row r="476" spans="1:29" ht="23.25">
      <c r="A476" s="15"/>
      <c r="B476" s="55"/>
      <c r="C476" s="66"/>
      <c r="D476" s="67"/>
      <c r="E476" s="68"/>
      <c r="F476" s="33" t="str">
        <v/>
      </c>
      <c r="G476" s="36"/>
      <c r="H476" s="36" t="str">
        <v/>
      </c>
      <c r="I476" s="36" t="str">
        <v/>
      </c>
      <c r="J476" s="36" t="str">
        <v/>
      </c>
      <c r="K476" s="36" t="str">
        <v/>
      </c>
      <c r="L476" s="36"/>
      <c r="M476" s="36" t="str">
        <v/>
      </c>
      <c r="N476" s="27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</row>
    <row r="477" spans="1:29" ht="23.25">
      <c r="A477" s="15"/>
      <c r="B477" s="55"/>
      <c r="C477" s="66"/>
      <c r="D477" s="67"/>
      <c r="E477" s="68"/>
      <c r="F477" s="33" t="str">
        <v/>
      </c>
      <c r="G477" s="36"/>
      <c r="H477" s="36" t="str">
        <v/>
      </c>
      <c r="I477" s="36" t="str">
        <v/>
      </c>
      <c r="J477" s="36" t="str">
        <v/>
      </c>
      <c r="K477" s="36" t="str">
        <v/>
      </c>
      <c r="L477" s="36"/>
      <c r="M477" s="36" t="str">
        <v/>
      </c>
      <c r="N477" s="27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</row>
    <row r="478" spans="1:29" ht="23.25">
      <c r="A478" s="15"/>
      <c r="B478" s="55"/>
      <c r="C478" s="66"/>
      <c r="D478" s="67"/>
      <c r="E478" s="68"/>
      <c r="F478" s="33" t="str">
        <v/>
      </c>
      <c r="G478" s="36"/>
      <c r="H478" s="36" t="str">
        <v/>
      </c>
      <c r="I478" s="36" t="str">
        <v/>
      </c>
      <c r="J478" s="36" t="str">
        <v/>
      </c>
      <c r="K478" s="36" t="str">
        <v/>
      </c>
      <c r="L478" s="36"/>
      <c r="M478" s="36" t="str">
        <v/>
      </c>
      <c r="N478" s="27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</row>
    <row r="479" spans="1:29" ht="23.25">
      <c r="A479" s="15"/>
      <c r="B479" s="55"/>
      <c r="C479" s="66"/>
      <c r="D479" s="67"/>
      <c r="E479" s="68"/>
      <c r="F479" s="33" t="str">
        <v/>
      </c>
      <c r="G479" s="36"/>
      <c r="H479" s="36" t="str">
        <v/>
      </c>
      <c r="I479" s="36" t="str">
        <v/>
      </c>
      <c r="J479" s="36" t="str">
        <v/>
      </c>
      <c r="K479" s="36" t="str">
        <v/>
      </c>
      <c r="L479" s="36"/>
      <c r="M479" s="36" t="str">
        <v/>
      </c>
      <c r="N479" s="27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</row>
    <row r="480" spans="1:29" ht="23.25">
      <c r="A480" s="15"/>
      <c r="B480" s="55"/>
      <c r="C480" s="66"/>
      <c r="D480" s="67"/>
      <c r="E480" s="68"/>
      <c r="F480" s="33" t="str">
        <v/>
      </c>
      <c r="G480" s="36"/>
      <c r="H480" s="36" t="str">
        <v/>
      </c>
      <c r="I480" s="36" t="str">
        <v/>
      </c>
      <c r="J480" s="36" t="str">
        <v/>
      </c>
      <c r="K480" s="36" t="str">
        <v/>
      </c>
      <c r="L480" s="36"/>
      <c r="M480" s="36" t="str">
        <v/>
      </c>
      <c r="N480" s="27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</row>
    <row r="481" spans="1:29" ht="23.25">
      <c r="A481" s="15"/>
      <c r="B481" s="55"/>
      <c r="C481" s="66"/>
      <c r="D481" s="67"/>
      <c r="E481" s="68"/>
      <c r="F481" s="33" t="str">
        <v/>
      </c>
      <c r="G481" s="36"/>
      <c r="H481" s="36" t="str">
        <v/>
      </c>
      <c r="I481" s="36" t="str">
        <v/>
      </c>
      <c r="J481" s="36" t="str">
        <v/>
      </c>
      <c r="K481" s="36" t="str">
        <v/>
      </c>
      <c r="L481" s="36"/>
      <c r="M481" s="36" t="str">
        <v/>
      </c>
      <c r="N481" s="27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</row>
    <row r="482" spans="1:29" ht="23.25">
      <c r="A482" s="15"/>
      <c r="B482" s="55"/>
      <c r="C482" s="66"/>
      <c r="D482" s="67"/>
      <c r="E482" s="68"/>
      <c r="F482" s="33" t="str">
        <v/>
      </c>
      <c r="G482" s="36"/>
      <c r="H482" s="36" t="str">
        <v/>
      </c>
      <c r="I482" s="36" t="str">
        <v/>
      </c>
      <c r="J482" s="36" t="str">
        <v/>
      </c>
      <c r="K482" s="36" t="str">
        <v/>
      </c>
      <c r="L482" s="36"/>
      <c r="M482" s="36" t="str">
        <v/>
      </c>
      <c r="N482" s="27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</row>
    <row r="483" spans="1:29" ht="23.25">
      <c r="A483" s="15"/>
      <c r="B483" s="55"/>
      <c r="C483" s="66"/>
      <c r="D483" s="67"/>
      <c r="E483" s="68"/>
      <c r="F483" s="33" t="str">
        <v/>
      </c>
      <c r="G483" s="36"/>
      <c r="H483" s="36" t="str">
        <v/>
      </c>
      <c r="I483" s="36" t="str">
        <v/>
      </c>
      <c r="J483" s="36" t="str">
        <v/>
      </c>
      <c r="K483" s="36" t="str">
        <v/>
      </c>
      <c r="L483" s="36"/>
      <c r="M483" s="36" t="str">
        <v/>
      </c>
      <c r="N483" s="27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</row>
    <row r="484" spans="1:29" ht="23.25">
      <c r="A484" s="15"/>
      <c r="B484" s="55"/>
      <c r="C484" s="66"/>
      <c r="D484" s="67"/>
      <c r="E484" s="68"/>
      <c r="F484" s="33" t="str">
        <v/>
      </c>
      <c r="G484" s="36"/>
      <c r="H484" s="36" t="str">
        <v/>
      </c>
      <c r="I484" s="36" t="str">
        <v/>
      </c>
      <c r="J484" s="36" t="str">
        <v/>
      </c>
      <c r="K484" s="36" t="str">
        <v/>
      </c>
      <c r="L484" s="36"/>
      <c r="M484" s="36" t="str">
        <v/>
      </c>
      <c r="N484" s="27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</row>
    <row r="485" spans="1:29" ht="23.25">
      <c r="A485" s="15"/>
      <c r="B485" s="55"/>
      <c r="C485" s="66"/>
      <c r="D485" s="67"/>
      <c r="E485" s="68"/>
      <c r="F485" s="33" t="str">
        <v/>
      </c>
      <c r="G485" s="36"/>
      <c r="H485" s="36" t="str">
        <v/>
      </c>
      <c r="I485" s="36" t="str">
        <v/>
      </c>
      <c r="J485" s="36" t="str">
        <v/>
      </c>
      <c r="K485" s="36" t="str">
        <v/>
      </c>
      <c r="L485" s="36"/>
      <c r="M485" s="36" t="str">
        <v/>
      </c>
      <c r="N485" s="27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</row>
    <row r="486" spans="1:29" ht="23.25">
      <c r="A486" s="15"/>
      <c r="B486" s="55"/>
      <c r="C486" s="66"/>
      <c r="D486" s="67"/>
      <c r="E486" s="36"/>
      <c r="F486" s="33" t="str">
        <v/>
      </c>
      <c r="G486" s="36"/>
      <c r="H486" s="36" t="str">
        <v/>
      </c>
      <c r="I486" s="36" t="str">
        <v/>
      </c>
      <c r="J486" s="36" t="str">
        <v/>
      </c>
      <c r="K486" s="36" t="str">
        <v/>
      </c>
      <c r="L486" s="36"/>
      <c r="M486" s="36" t="str">
        <v/>
      </c>
      <c r="N486" s="27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</row>
    <row r="487" spans="1:29" ht="23.25">
      <c r="A487" s="15"/>
      <c r="B487" s="55"/>
      <c r="C487" s="66"/>
      <c r="D487" s="67"/>
      <c r="E487" s="36"/>
      <c r="F487" s="33" t="str">
        <v/>
      </c>
      <c r="G487" s="36"/>
      <c r="H487" s="36" t="str">
        <v/>
      </c>
      <c r="I487" s="36" t="str">
        <v/>
      </c>
      <c r="J487" s="36" t="str">
        <v/>
      </c>
      <c r="K487" s="36" t="str">
        <v/>
      </c>
      <c r="L487" s="36"/>
      <c r="M487" s="36" t="str">
        <v/>
      </c>
      <c r="N487" s="27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</row>
    <row r="488" spans="1:29" ht="23.25">
      <c r="A488" s="15"/>
      <c r="B488" s="55"/>
      <c r="C488" s="66"/>
      <c r="D488" s="67"/>
      <c r="E488" s="36"/>
      <c r="F488" s="33" t="str">
        <v/>
      </c>
      <c r="G488" s="36"/>
      <c r="H488" s="36" t="str">
        <v/>
      </c>
      <c r="I488" s="36" t="str">
        <v/>
      </c>
      <c r="J488" s="36" t="str">
        <v/>
      </c>
      <c r="K488" s="36" t="str">
        <v/>
      </c>
      <c r="L488" s="36"/>
      <c r="M488" s="36" t="str">
        <v/>
      </c>
      <c r="N488" s="27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</row>
    <row r="489" spans="1:29" ht="23.25">
      <c r="A489" s="15"/>
      <c r="B489" s="55"/>
      <c r="C489" s="66"/>
      <c r="D489" s="67"/>
      <c r="E489" s="36"/>
      <c r="F489" s="33" t="str">
        <v/>
      </c>
      <c r="G489" s="36"/>
      <c r="H489" s="36" t="str">
        <v/>
      </c>
      <c r="I489" s="36" t="str">
        <v/>
      </c>
      <c r="J489" s="36" t="str">
        <v/>
      </c>
      <c r="K489" s="36" t="str">
        <v/>
      </c>
      <c r="L489" s="36"/>
      <c r="M489" s="36" t="str">
        <v/>
      </c>
      <c r="N489" s="27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</row>
    <row r="490" spans="1:29" ht="23.25">
      <c r="A490" s="15"/>
      <c r="B490" s="55"/>
      <c r="C490" s="66"/>
      <c r="D490" s="67"/>
      <c r="E490" s="36"/>
      <c r="F490" s="33" t="str">
        <v/>
      </c>
      <c r="G490" s="36"/>
      <c r="H490" s="36" t="str">
        <v/>
      </c>
      <c r="I490" s="36" t="str">
        <v/>
      </c>
      <c r="J490" s="36" t="str">
        <v/>
      </c>
      <c r="K490" s="36" t="str">
        <v/>
      </c>
      <c r="L490" s="36"/>
      <c r="M490" s="36" t="str">
        <v/>
      </c>
      <c r="N490" s="27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</row>
    <row r="491" spans="1:29" ht="23.25">
      <c r="A491" s="15"/>
      <c r="B491" s="55"/>
      <c r="C491" s="66"/>
      <c r="D491" s="67"/>
      <c r="E491" s="36"/>
      <c r="F491" s="33" t="str">
        <v/>
      </c>
      <c r="G491" s="36"/>
      <c r="H491" s="36" t="str">
        <v/>
      </c>
      <c r="I491" s="36" t="str">
        <v/>
      </c>
      <c r="J491" s="36" t="str">
        <v/>
      </c>
      <c r="K491" s="36" t="str">
        <v/>
      </c>
      <c r="L491" s="36"/>
      <c r="M491" s="36" t="str">
        <v/>
      </c>
      <c r="N491" s="27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</row>
    <row r="492" spans="1:29" ht="23.25">
      <c r="A492" s="15"/>
      <c r="B492" s="55"/>
      <c r="C492" s="66"/>
      <c r="D492" s="67"/>
      <c r="E492" s="36"/>
      <c r="F492" s="33" t="str">
        <v/>
      </c>
      <c r="G492" s="36"/>
      <c r="H492" s="36" t="str">
        <v/>
      </c>
      <c r="I492" s="36" t="str">
        <v/>
      </c>
      <c r="J492" s="36" t="str">
        <v/>
      </c>
      <c r="K492" s="36" t="str">
        <v/>
      </c>
      <c r="L492" s="36"/>
      <c r="M492" s="36" t="str">
        <v/>
      </c>
      <c r="N492" s="27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</row>
    <row r="493" spans="1:29" ht="23.25">
      <c r="A493" s="15"/>
      <c r="B493" s="55"/>
      <c r="C493" s="66"/>
      <c r="D493" s="67"/>
      <c r="E493" s="36"/>
      <c r="F493" s="33" t="str">
        <v/>
      </c>
      <c r="G493" s="36"/>
      <c r="H493" s="36" t="str">
        <v/>
      </c>
      <c r="I493" s="36" t="str">
        <v/>
      </c>
      <c r="J493" s="36" t="str">
        <v/>
      </c>
      <c r="K493" s="36" t="str">
        <v/>
      </c>
      <c r="L493" s="36"/>
      <c r="M493" s="36" t="str">
        <v/>
      </c>
      <c r="N493" s="27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</row>
    <row r="494" spans="1:29" ht="23.25">
      <c r="A494" s="15"/>
      <c r="B494" s="55"/>
      <c r="C494" s="66"/>
      <c r="D494" s="67"/>
      <c r="E494" s="36"/>
      <c r="F494" s="33" t="str">
        <v/>
      </c>
      <c r="G494" s="36"/>
      <c r="H494" s="36" t="str">
        <v/>
      </c>
      <c r="I494" s="36" t="str">
        <v/>
      </c>
      <c r="J494" s="36" t="str">
        <v/>
      </c>
      <c r="K494" s="36" t="str">
        <v/>
      </c>
      <c r="L494" s="36"/>
      <c r="M494" s="36" t="str">
        <v/>
      </c>
      <c r="N494" s="27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</row>
    <row r="495" spans="1:29" ht="23.25">
      <c r="A495" s="15"/>
      <c r="B495" s="55"/>
      <c r="C495" s="66"/>
      <c r="D495" s="67"/>
      <c r="E495" s="36"/>
      <c r="F495" s="33" t="str">
        <v/>
      </c>
      <c r="G495" s="36"/>
      <c r="H495" s="36" t="str">
        <v/>
      </c>
      <c r="I495" s="36" t="str">
        <v/>
      </c>
      <c r="J495" s="36" t="str">
        <v/>
      </c>
      <c r="K495" s="36" t="str">
        <v/>
      </c>
      <c r="L495" s="36"/>
      <c r="M495" s="36" t="str">
        <v/>
      </c>
      <c r="N495" s="27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</row>
    <row r="496" spans="1:29" ht="23.25">
      <c r="A496" s="15"/>
      <c r="B496" s="55"/>
      <c r="C496" s="66"/>
      <c r="D496" s="67"/>
      <c r="E496" s="36"/>
      <c r="F496" s="33" t="str">
        <v/>
      </c>
      <c r="G496" s="36"/>
      <c r="H496" s="36" t="str">
        <v/>
      </c>
      <c r="I496" s="36" t="str">
        <v/>
      </c>
      <c r="J496" s="36" t="str">
        <v/>
      </c>
      <c r="K496" s="36" t="str">
        <v/>
      </c>
      <c r="L496" s="36"/>
      <c r="M496" s="36" t="str">
        <v/>
      </c>
      <c r="N496" s="27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</row>
    <row r="497" spans="1:29" ht="23.25">
      <c r="A497" s="15"/>
      <c r="B497" s="55"/>
      <c r="C497" s="66"/>
      <c r="D497" s="67"/>
      <c r="E497" s="36"/>
      <c r="F497" s="33" t="str">
        <v/>
      </c>
      <c r="G497" s="36"/>
      <c r="H497" s="36" t="str">
        <v/>
      </c>
      <c r="I497" s="36" t="str">
        <v/>
      </c>
      <c r="J497" s="36" t="str">
        <v/>
      </c>
      <c r="K497" s="36" t="str">
        <v/>
      </c>
      <c r="L497" s="36"/>
      <c r="M497" s="36" t="str">
        <v/>
      </c>
      <c r="N497" s="27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</row>
    <row r="498" spans="1:29" ht="23.25">
      <c r="A498" s="15"/>
      <c r="B498" s="55"/>
      <c r="C498" s="66"/>
      <c r="D498" s="67"/>
      <c r="E498" s="36"/>
      <c r="F498" s="33" t="str">
        <v/>
      </c>
      <c r="G498" s="36"/>
      <c r="H498" s="36" t="str">
        <v/>
      </c>
      <c r="I498" s="36" t="str">
        <v/>
      </c>
      <c r="J498" s="36" t="str">
        <v/>
      </c>
      <c r="K498" s="36" t="str">
        <v/>
      </c>
      <c r="L498" s="36"/>
      <c r="M498" s="36" t="str">
        <v/>
      </c>
      <c r="N498" s="27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</row>
    <row r="499" spans="1:29" ht="23.25">
      <c r="A499" s="15"/>
      <c r="B499" s="55"/>
      <c r="C499" s="66"/>
      <c r="D499" s="67"/>
      <c r="E499" s="36"/>
      <c r="F499" s="33" t="str">
        <v/>
      </c>
      <c r="G499" s="36"/>
      <c r="H499" s="36" t="str">
        <v/>
      </c>
      <c r="I499" s="36" t="str">
        <v/>
      </c>
      <c r="J499" s="36" t="str">
        <v/>
      </c>
      <c r="K499" s="36" t="str">
        <v/>
      </c>
      <c r="L499" s="36"/>
      <c r="M499" s="36" t="str">
        <v/>
      </c>
      <c r="N499" s="27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</row>
    <row r="500" spans="1:29" ht="23.25">
      <c r="A500" s="15"/>
      <c r="B500" s="55"/>
      <c r="C500" s="66"/>
      <c r="D500" s="67"/>
      <c r="E500" s="36"/>
      <c r="F500" s="33" t="str">
        <v/>
      </c>
      <c r="G500" s="36"/>
      <c r="H500" s="36" t="str">
        <v/>
      </c>
      <c r="I500" s="36" t="str">
        <v/>
      </c>
      <c r="J500" s="36" t="str">
        <v/>
      </c>
      <c r="K500" s="36" t="str">
        <v/>
      </c>
      <c r="L500" s="36"/>
      <c r="M500" s="36" t="str">
        <v/>
      </c>
      <c r="N500" s="27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</row>
    <row r="501" spans="1:29" ht="23.25">
      <c r="A501" s="15"/>
      <c r="B501" s="55"/>
      <c r="C501" s="66"/>
      <c r="D501" s="67"/>
      <c r="E501" s="36"/>
      <c r="F501" s="33" t="str">
        <v/>
      </c>
      <c r="G501" s="36"/>
      <c r="H501" s="36" t="str">
        <v/>
      </c>
      <c r="I501" s="36" t="str">
        <v/>
      </c>
      <c r="J501" s="36" t="str">
        <v/>
      </c>
      <c r="K501" s="36" t="str">
        <v/>
      </c>
      <c r="L501" s="36"/>
      <c r="M501" s="36" t="str">
        <v/>
      </c>
      <c r="N501" s="27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</row>
    <row r="502" spans="1:29" ht="23.25">
      <c r="A502" s="15"/>
      <c r="B502" s="55"/>
      <c r="C502" s="66"/>
      <c r="D502" s="67"/>
      <c r="E502" s="36"/>
      <c r="F502" s="33" t="str">
        <v/>
      </c>
      <c r="G502" s="36"/>
      <c r="H502" s="36" t="str">
        <v/>
      </c>
      <c r="I502" s="36" t="str">
        <v/>
      </c>
      <c r="J502" s="36" t="str">
        <v/>
      </c>
      <c r="K502" s="36" t="str">
        <v/>
      </c>
      <c r="L502" s="36"/>
      <c r="M502" s="36" t="str">
        <v/>
      </c>
      <c r="N502" s="27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</row>
    <row r="503" spans="1:29" ht="23.25">
      <c r="A503" s="15"/>
      <c r="B503" s="55"/>
      <c r="C503" s="66"/>
      <c r="D503" s="67"/>
      <c r="E503" s="36"/>
      <c r="F503" s="33" t="str">
        <v/>
      </c>
      <c r="G503" s="36"/>
      <c r="H503" s="36" t="str">
        <v/>
      </c>
      <c r="I503" s="36" t="str">
        <v/>
      </c>
      <c r="J503" s="36" t="str">
        <v/>
      </c>
      <c r="K503" s="36" t="str">
        <v/>
      </c>
      <c r="L503" s="36"/>
      <c r="M503" s="36" t="str">
        <v/>
      </c>
      <c r="N503" s="27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</row>
    <row r="504" spans="1:29" ht="23.25">
      <c r="A504" s="15"/>
      <c r="B504" s="55"/>
      <c r="C504" s="66"/>
      <c r="D504" s="67"/>
      <c r="E504" s="36"/>
      <c r="F504" s="33" t="str">
        <v/>
      </c>
      <c r="G504" s="36"/>
      <c r="H504" s="36" t="str">
        <v/>
      </c>
      <c r="I504" s="36" t="str">
        <v/>
      </c>
      <c r="J504" s="36" t="str">
        <v/>
      </c>
      <c r="K504" s="36" t="str">
        <v/>
      </c>
      <c r="L504" s="36"/>
      <c r="M504" s="36" t="str">
        <v/>
      </c>
      <c r="N504" s="27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</row>
    <row r="505" spans="1:29" ht="23.25">
      <c r="A505" s="15"/>
      <c r="B505" s="55"/>
      <c r="C505" s="66"/>
      <c r="D505" s="67"/>
      <c r="E505" s="36"/>
      <c r="F505" s="33" t="str">
        <v/>
      </c>
      <c r="G505" s="36"/>
      <c r="H505" s="36" t="str">
        <v/>
      </c>
      <c r="I505" s="36" t="str">
        <v/>
      </c>
      <c r="J505" s="36" t="str">
        <v/>
      </c>
      <c r="K505" s="36" t="str">
        <v/>
      </c>
      <c r="L505" s="36"/>
      <c r="M505" s="36" t="str">
        <v/>
      </c>
      <c r="N505" s="27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</row>
    <row r="506" spans="1:29" ht="23.25">
      <c r="A506" s="15"/>
      <c r="B506" s="55"/>
      <c r="C506" s="66"/>
      <c r="D506" s="67"/>
      <c r="E506" s="36"/>
      <c r="F506" s="33" t="str">
        <v/>
      </c>
      <c r="G506" s="36"/>
      <c r="H506" s="36" t="str">
        <v/>
      </c>
      <c r="I506" s="36" t="str">
        <v/>
      </c>
      <c r="J506" s="36" t="str">
        <v/>
      </c>
      <c r="K506" s="36" t="str">
        <v/>
      </c>
      <c r="L506" s="36"/>
      <c r="M506" s="36" t="str">
        <v/>
      </c>
      <c r="N506" s="27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</row>
    <row r="507" spans="1:29" ht="23.25">
      <c r="A507" s="15"/>
      <c r="B507" s="55"/>
      <c r="C507" s="66"/>
      <c r="D507" s="67"/>
      <c r="E507" s="36"/>
      <c r="F507" s="33" t="str">
        <v/>
      </c>
      <c r="G507" s="36"/>
      <c r="H507" s="36" t="str">
        <v/>
      </c>
      <c r="I507" s="36" t="str">
        <v/>
      </c>
      <c r="J507" s="36" t="str">
        <v/>
      </c>
      <c r="K507" s="36" t="str">
        <v/>
      </c>
      <c r="L507" s="36"/>
      <c r="M507" s="36" t="str">
        <v/>
      </c>
      <c r="N507" s="27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</row>
    <row r="508" spans="1:29" ht="23.25">
      <c r="A508" s="15"/>
      <c r="B508" s="55"/>
      <c r="C508" s="66"/>
      <c r="D508" s="67"/>
      <c r="E508" s="36"/>
      <c r="F508" s="33" t="str">
        <v/>
      </c>
      <c r="G508" s="36"/>
      <c r="H508" s="36" t="str">
        <v/>
      </c>
      <c r="I508" s="36" t="str">
        <v/>
      </c>
      <c r="J508" s="36" t="str">
        <v/>
      </c>
      <c r="K508" s="36" t="str">
        <v/>
      </c>
      <c r="L508" s="36"/>
      <c r="M508" s="36" t="str">
        <v/>
      </c>
      <c r="N508" s="27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</row>
    <row r="509" spans="1:29" ht="23.25">
      <c r="A509" s="15"/>
      <c r="B509" s="55"/>
      <c r="C509" s="66"/>
      <c r="D509" s="67"/>
      <c r="E509" s="36"/>
      <c r="F509" s="33" t="str">
        <v/>
      </c>
      <c r="G509" s="36"/>
      <c r="H509" s="36" t="str">
        <v/>
      </c>
      <c r="I509" s="36" t="str">
        <v/>
      </c>
      <c r="J509" s="36" t="str">
        <v/>
      </c>
      <c r="K509" s="36" t="str">
        <v/>
      </c>
      <c r="L509" s="36"/>
      <c r="M509" s="36" t="str">
        <v/>
      </c>
      <c r="N509" s="27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</row>
    <row r="510" spans="1:29" ht="23.25">
      <c r="A510" s="15"/>
      <c r="B510" s="55"/>
      <c r="C510" s="66"/>
      <c r="D510" s="67"/>
      <c r="E510" s="36"/>
      <c r="F510" s="33" t="str">
        <v/>
      </c>
      <c r="G510" s="36"/>
      <c r="H510" s="36" t="str">
        <v/>
      </c>
      <c r="I510" s="36" t="str">
        <v/>
      </c>
      <c r="J510" s="36" t="str">
        <v/>
      </c>
      <c r="K510" s="36" t="str">
        <v/>
      </c>
      <c r="L510" s="36"/>
      <c r="M510" s="36" t="str">
        <v/>
      </c>
      <c r="N510" s="27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</row>
    <row r="511" spans="1:29" ht="23.25">
      <c r="A511" s="15"/>
      <c r="B511" s="55"/>
      <c r="C511" s="66"/>
      <c r="D511" s="67"/>
      <c r="E511" s="36"/>
      <c r="F511" s="33" t="str">
        <v/>
      </c>
      <c r="G511" s="36"/>
      <c r="H511" s="36" t="str">
        <v/>
      </c>
      <c r="I511" s="36" t="str">
        <v/>
      </c>
      <c r="J511" s="36" t="str">
        <v/>
      </c>
      <c r="K511" s="36" t="str">
        <v/>
      </c>
      <c r="L511" s="36"/>
      <c r="M511" s="36" t="str">
        <v/>
      </c>
      <c r="N511" s="27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</row>
    <row r="512" spans="1:29" ht="23.25">
      <c r="A512" s="15"/>
      <c r="B512" s="55"/>
      <c r="C512" s="66"/>
      <c r="D512" s="67"/>
      <c r="E512" s="36"/>
      <c r="F512" s="33" t="str">
        <v/>
      </c>
      <c r="G512" s="36"/>
      <c r="H512" s="36" t="str">
        <v/>
      </c>
      <c r="I512" s="36" t="str">
        <v/>
      </c>
      <c r="J512" s="36" t="str">
        <v/>
      </c>
      <c r="K512" s="36" t="str">
        <v/>
      </c>
      <c r="L512" s="36"/>
      <c r="M512" s="36" t="str">
        <v/>
      </c>
      <c r="N512" s="27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</row>
    <row r="513" spans="1:29" ht="23.25">
      <c r="A513" s="15"/>
      <c r="B513" s="55"/>
      <c r="C513" s="66"/>
      <c r="D513" s="67"/>
      <c r="E513" s="36"/>
      <c r="F513" s="33" t="str">
        <v/>
      </c>
      <c r="G513" s="36"/>
      <c r="H513" s="36" t="str">
        <v/>
      </c>
      <c r="I513" s="36" t="str">
        <v/>
      </c>
      <c r="J513" s="36" t="str">
        <v/>
      </c>
      <c r="K513" s="36" t="str">
        <v/>
      </c>
      <c r="L513" s="36"/>
      <c r="M513" s="36" t="str">
        <v/>
      </c>
      <c r="N513" s="27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</row>
    <row r="514" spans="1:29" ht="23.25">
      <c r="A514" s="15"/>
      <c r="B514" s="55"/>
      <c r="C514" s="66"/>
      <c r="D514" s="67"/>
      <c r="E514" s="36"/>
      <c r="F514" s="33" t="str">
        <v/>
      </c>
      <c r="G514" s="36"/>
      <c r="H514" s="36" t="str">
        <v/>
      </c>
      <c r="I514" s="36" t="str">
        <v/>
      </c>
      <c r="J514" s="36" t="str">
        <v/>
      </c>
      <c r="K514" s="36" t="str">
        <v/>
      </c>
      <c r="L514" s="36"/>
      <c r="M514" s="36" t="str">
        <v/>
      </c>
      <c r="N514" s="27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</row>
    <row r="515" spans="1:29" ht="23.25">
      <c r="A515" s="15"/>
      <c r="B515" s="55"/>
      <c r="C515" s="66"/>
      <c r="D515" s="67"/>
      <c r="E515" s="36"/>
      <c r="F515" s="33" t="str">
        <v/>
      </c>
      <c r="G515" s="36"/>
      <c r="H515" s="36" t="str">
        <v/>
      </c>
      <c r="I515" s="36" t="str">
        <v/>
      </c>
      <c r="J515" s="36" t="str">
        <v/>
      </c>
      <c r="K515" s="36" t="str">
        <v/>
      </c>
      <c r="L515" s="36"/>
      <c r="M515" s="36" t="str">
        <v/>
      </c>
      <c r="N515" s="27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</row>
    <row r="516" spans="1:29" ht="23.25">
      <c r="A516" s="15"/>
      <c r="B516" s="55"/>
      <c r="C516" s="66"/>
      <c r="D516" s="67"/>
      <c r="E516" s="36"/>
      <c r="F516" s="33" t="str">
        <v/>
      </c>
      <c r="G516" s="36"/>
      <c r="H516" s="36" t="str">
        <v/>
      </c>
      <c r="I516" s="36" t="str">
        <v/>
      </c>
      <c r="J516" s="36" t="str">
        <v/>
      </c>
      <c r="K516" s="36" t="str">
        <v/>
      </c>
      <c r="L516" s="36"/>
      <c r="M516" s="36" t="str">
        <v/>
      </c>
      <c r="N516" s="27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</row>
    <row r="517" spans="1:29" ht="23.25">
      <c r="A517" s="15"/>
      <c r="B517" s="55"/>
      <c r="C517" s="66"/>
      <c r="D517" s="67"/>
      <c r="E517" s="36"/>
      <c r="F517" s="33" t="str">
        <v/>
      </c>
      <c r="G517" s="36"/>
      <c r="H517" s="36" t="str">
        <v/>
      </c>
      <c r="I517" s="36" t="str">
        <v/>
      </c>
      <c r="J517" s="36" t="str">
        <v/>
      </c>
      <c r="K517" s="36" t="str">
        <v/>
      </c>
      <c r="L517" s="36"/>
      <c r="M517" s="36" t="str">
        <v/>
      </c>
      <c r="N517" s="27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</row>
    <row r="518" spans="1:29" ht="23.25">
      <c r="A518" s="15"/>
      <c r="B518" s="55"/>
      <c r="C518" s="66"/>
      <c r="D518" s="67"/>
      <c r="E518" s="36"/>
      <c r="F518" s="33" t="str">
        <v/>
      </c>
      <c r="G518" s="36"/>
      <c r="H518" s="36" t="str">
        <v/>
      </c>
      <c r="I518" s="36" t="str">
        <v/>
      </c>
      <c r="J518" s="36" t="str">
        <v/>
      </c>
      <c r="K518" s="36" t="str">
        <v/>
      </c>
      <c r="L518" s="36"/>
      <c r="M518" s="36" t="str">
        <v/>
      </c>
      <c r="N518" s="27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</row>
    <row r="519" spans="1:29" ht="23.25">
      <c r="A519" s="15"/>
      <c r="B519" s="55"/>
      <c r="C519" s="66"/>
      <c r="D519" s="67"/>
      <c r="E519" s="36"/>
      <c r="F519" s="33" t="str">
        <v/>
      </c>
      <c r="G519" s="36"/>
      <c r="H519" s="36" t="str">
        <v/>
      </c>
      <c r="I519" s="36" t="str">
        <v/>
      </c>
      <c r="J519" s="36" t="str">
        <v/>
      </c>
      <c r="K519" s="36" t="str">
        <v/>
      </c>
      <c r="L519" s="36"/>
      <c r="M519" s="36" t="str">
        <v/>
      </c>
      <c r="N519" s="27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</row>
    <row r="520" spans="1:29" ht="23.25">
      <c r="A520" s="15"/>
      <c r="B520" s="55"/>
      <c r="C520" s="66"/>
      <c r="D520" s="67"/>
      <c r="E520" s="36"/>
      <c r="F520" s="33" t="str">
        <v/>
      </c>
      <c r="G520" s="36"/>
      <c r="H520" s="36" t="str">
        <v/>
      </c>
      <c r="I520" s="36" t="str">
        <v/>
      </c>
      <c r="J520" s="36" t="str">
        <v/>
      </c>
      <c r="K520" s="36" t="str">
        <v/>
      </c>
      <c r="L520" s="36"/>
      <c r="M520" s="36" t="str">
        <v/>
      </c>
      <c r="N520" s="27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</row>
    <row r="521" spans="1:29" ht="23.25">
      <c r="A521" s="15"/>
      <c r="B521" s="55"/>
      <c r="C521" s="66"/>
      <c r="D521" s="67"/>
      <c r="E521" s="36"/>
      <c r="F521" s="33" t="str">
        <v/>
      </c>
      <c r="G521" s="36"/>
      <c r="H521" s="36" t="str">
        <v/>
      </c>
      <c r="I521" s="36" t="str">
        <v/>
      </c>
      <c r="J521" s="36" t="str">
        <v/>
      </c>
      <c r="K521" s="36" t="str">
        <v/>
      </c>
      <c r="L521" s="36"/>
      <c r="M521" s="36" t="str">
        <v/>
      </c>
      <c r="N521" s="27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</row>
    <row r="522" spans="1:29" ht="23.25">
      <c r="A522" s="15"/>
      <c r="B522" s="55"/>
      <c r="C522" s="66"/>
      <c r="D522" s="67"/>
      <c r="E522" s="36"/>
      <c r="F522" s="33" t="str">
        <v/>
      </c>
      <c r="G522" s="36"/>
      <c r="H522" s="36" t="str">
        <v/>
      </c>
      <c r="I522" s="36" t="str">
        <v/>
      </c>
      <c r="J522" s="36" t="str">
        <v/>
      </c>
      <c r="K522" s="36" t="str">
        <v/>
      </c>
      <c r="L522" s="36"/>
      <c r="M522" s="36" t="str">
        <v/>
      </c>
      <c r="N522" s="27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</row>
    <row r="523" spans="1:29" ht="23.25">
      <c r="A523" s="15"/>
      <c r="B523" s="55"/>
      <c r="C523" s="66"/>
      <c r="D523" s="67"/>
      <c r="E523" s="36"/>
      <c r="F523" s="33" t="str">
        <v/>
      </c>
      <c r="G523" s="36"/>
      <c r="H523" s="36" t="str">
        <v/>
      </c>
      <c r="I523" s="36" t="str">
        <v/>
      </c>
      <c r="J523" s="36" t="str">
        <v/>
      </c>
      <c r="K523" s="36" t="str">
        <v/>
      </c>
      <c r="L523" s="36"/>
      <c r="M523" s="36" t="str">
        <v/>
      </c>
      <c r="N523" s="27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</row>
    <row r="524" spans="1:29" ht="23.25">
      <c r="A524" s="15"/>
      <c r="B524" s="55"/>
      <c r="C524" s="66"/>
      <c r="D524" s="67"/>
      <c r="E524" s="36"/>
      <c r="F524" s="33" t="str">
        <v/>
      </c>
      <c r="G524" s="36"/>
      <c r="H524" s="36" t="str">
        <v/>
      </c>
      <c r="I524" s="36" t="str">
        <v/>
      </c>
      <c r="J524" s="36" t="str">
        <v/>
      </c>
      <c r="K524" s="36" t="str">
        <v/>
      </c>
      <c r="L524" s="36"/>
      <c r="M524" s="36" t="str">
        <v/>
      </c>
      <c r="N524" s="27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</row>
    <row r="525" spans="1:29" ht="23.25">
      <c r="A525" s="15"/>
      <c r="B525" s="55"/>
      <c r="C525" s="66"/>
      <c r="D525" s="67"/>
      <c r="E525" s="36"/>
      <c r="F525" s="33" t="str">
        <v/>
      </c>
      <c r="G525" s="36"/>
      <c r="H525" s="36" t="str">
        <v/>
      </c>
      <c r="I525" s="36" t="str">
        <v/>
      </c>
      <c r="J525" s="36" t="str">
        <v/>
      </c>
      <c r="K525" s="36" t="str">
        <v/>
      </c>
      <c r="L525" s="36"/>
      <c r="M525" s="36" t="str">
        <v/>
      </c>
      <c r="N525" s="27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</row>
    <row r="526" spans="1:29" ht="23.25">
      <c r="A526" s="15"/>
      <c r="B526" s="55"/>
      <c r="C526" s="66"/>
      <c r="D526" s="67"/>
      <c r="E526" s="36"/>
      <c r="F526" s="33" t="str">
        <v/>
      </c>
      <c r="G526" s="36"/>
      <c r="H526" s="36" t="str">
        <v/>
      </c>
      <c r="I526" s="36" t="str">
        <v/>
      </c>
      <c r="J526" s="36" t="str">
        <v/>
      </c>
      <c r="K526" s="36" t="str">
        <v/>
      </c>
      <c r="L526" s="36"/>
      <c r="M526" s="36" t="str">
        <v/>
      </c>
      <c r="N526" s="27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</row>
    <row r="527" spans="1:29" ht="23.25">
      <c r="A527" s="15"/>
      <c r="B527" s="55"/>
      <c r="C527" s="66"/>
      <c r="D527" s="67"/>
      <c r="E527" s="36"/>
      <c r="F527" s="33" t="str">
        <v/>
      </c>
      <c r="G527" s="36"/>
      <c r="H527" s="36" t="str">
        <v/>
      </c>
      <c r="I527" s="36" t="str">
        <v/>
      </c>
      <c r="J527" s="36" t="str">
        <v/>
      </c>
      <c r="K527" s="36" t="str">
        <v/>
      </c>
      <c r="L527" s="36"/>
      <c r="M527" s="36" t="str">
        <v/>
      </c>
      <c r="N527" s="27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</row>
    <row r="528" spans="1:29" ht="23.25">
      <c r="A528" s="15"/>
      <c r="B528" s="55"/>
      <c r="C528" s="66"/>
      <c r="D528" s="67"/>
      <c r="E528" s="36"/>
      <c r="F528" s="33" t="str">
        <v/>
      </c>
      <c r="G528" s="36"/>
      <c r="H528" s="36" t="str">
        <v/>
      </c>
      <c r="I528" s="36" t="str">
        <v/>
      </c>
      <c r="J528" s="36" t="str">
        <v/>
      </c>
      <c r="K528" s="36" t="str">
        <v/>
      </c>
      <c r="L528" s="36"/>
      <c r="M528" s="36" t="str">
        <v/>
      </c>
      <c r="N528" s="27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</row>
    <row r="529" spans="1:29" ht="23.25">
      <c r="A529" s="15"/>
      <c r="B529" s="55"/>
      <c r="C529" s="66"/>
      <c r="D529" s="67"/>
      <c r="E529" s="36"/>
      <c r="F529" s="33" t="str">
        <v/>
      </c>
      <c r="G529" s="36"/>
      <c r="H529" s="36" t="str">
        <v/>
      </c>
      <c r="I529" s="36" t="str">
        <v/>
      </c>
      <c r="J529" s="36" t="str">
        <v/>
      </c>
      <c r="K529" s="36" t="str">
        <v/>
      </c>
      <c r="L529" s="36"/>
      <c r="M529" s="36" t="str">
        <v/>
      </c>
      <c r="N529" s="27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</row>
    <row r="530" spans="1:29" ht="23.25">
      <c r="A530" s="15"/>
      <c r="B530" s="55"/>
      <c r="C530" s="66"/>
      <c r="D530" s="67"/>
      <c r="E530" s="36"/>
      <c r="F530" s="33" t="str">
        <v/>
      </c>
      <c r="G530" s="36"/>
      <c r="H530" s="36" t="str">
        <v/>
      </c>
      <c r="I530" s="36" t="str">
        <v/>
      </c>
      <c r="J530" s="36" t="str">
        <v/>
      </c>
      <c r="K530" s="36" t="str">
        <v/>
      </c>
      <c r="L530" s="36"/>
      <c r="M530" s="36" t="str">
        <v/>
      </c>
      <c r="N530" s="27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</row>
    <row r="531" spans="1:29" ht="23.25">
      <c r="A531" s="15"/>
      <c r="B531" s="55"/>
      <c r="C531" s="66"/>
      <c r="D531" s="67"/>
      <c r="E531" s="36"/>
      <c r="F531" s="33" t="str">
        <v/>
      </c>
      <c r="G531" s="36"/>
      <c r="H531" s="36" t="str">
        <v/>
      </c>
      <c r="I531" s="36" t="str">
        <v/>
      </c>
      <c r="J531" s="36" t="str">
        <v/>
      </c>
      <c r="K531" s="36" t="str">
        <v/>
      </c>
      <c r="L531" s="36"/>
      <c r="M531" s="36" t="str">
        <v/>
      </c>
      <c r="N531" s="27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</row>
    <row r="532" spans="1:29" ht="23.25">
      <c r="A532" s="15"/>
      <c r="B532" s="55"/>
      <c r="C532" s="66"/>
      <c r="D532" s="67"/>
      <c r="E532" s="36"/>
      <c r="F532" s="33" t="str">
        <v/>
      </c>
      <c r="G532" s="36"/>
      <c r="H532" s="36" t="str">
        <v/>
      </c>
      <c r="I532" s="36" t="str">
        <v/>
      </c>
      <c r="J532" s="36" t="str">
        <v/>
      </c>
      <c r="K532" s="36" t="str">
        <v/>
      </c>
      <c r="L532" s="36"/>
      <c r="M532" s="36" t="str">
        <v/>
      </c>
      <c r="N532" s="27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</row>
    <row r="533" spans="1:29" ht="23.25">
      <c r="A533" s="15"/>
      <c r="B533" s="55"/>
      <c r="C533" s="66"/>
      <c r="D533" s="67"/>
      <c r="E533" s="36"/>
      <c r="F533" s="33" t="str">
        <v/>
      </c>
      <c r="G533" s="36"/>
      <c r="H533" s="36" t="str">
        <v/>
      </c>
      <c r="I533" s="36" t="str">
        <v/>
      </c>
      <c r="J533" s="36" t="str">
        <v/>
      </c>
      <c r="K533" s="36" t="str">
        <v/>
      </c>
      <c r="L533" s="36"/>
      <c r="M533" s="36" t="str">
        <v/>
      </c>
      <c r="N533" s="27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</row>
    <row r="534" spans="1:29" ht="23.25">
      <c r="A534" s="15"/>
      <c r="B534" s="55"/>
      <c r="C534" s="66"/>
      <c r="D534" s="67"/>
      <c r="E534" s="36"/>
      <c r="F534" s="33" t="str">
        <v/>
      </c>
      <c r="G534" s="36"/>
      <c r="H534" s="36" t="str">
        <v/>
      </c>
      <c r="I534" s="36" t="str">
        <v/>
      </c>
      <c r="J534" s="36" t="str">
        <v/>
      </c>
      <c r="K534" s="36" t="str">
        <v/>
      </c>
      <c r="L534" s="36"/>
      <c r="M534" s="36" t="str">
        <v/>
      </c>
      <c r="N534" s="27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</row>
    <row r="535" spans="1:29" ht="23.25">
      <c r="A535" s="15"/>
      <c r="B535" s="55"/>
      <c r="C535" s="66"/>
      <c r="D535" s="67"/>
      <c r="E535" s="36"/>
      <c r="F535" s="33" t="str">
        <v/>
      </c>
      <c r="G535" s="36"/>
      <c r="H535" s="36" t="str">
        <v/>
      </c>
      <c r="I535" s="36" t="str">
        <v/>
      </c>
      <c r="J535" s="36" t="str">
        <v/>
      </c>
      <c r="K535" s="36" t="str">
        <v/>
      </c>
      <c r="L535" s="36"/>
      <c r="M535" s="36" t="str">
        <v/>
      </c>
      <c r="N535" s="27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</row>
    <row r="536" spans="1:29" ht="23.25">
      <c r="A536" s="15"/>
      <c r="B536" s="55"/>
      <c r="C536" s="66"/>
      <c r="D536" s="67"/>
      <c r="E536" s="36"/>
      <c r="F536" s="33" t="str">
        <v/>
      </c>
      <c r="G536" s="36"/>
      <c r="H536" s="36" t="str">
        <v/>
      </c>
      <c r="I536" s="36" t="str">
        <v/>
      </c>
      <c r="J536" s="36" t="str">
        <v/>
      </c>
      <c r="K536" s="36" t="str">
        <v/>
      </c>
      <c r="L536" s="36"/>
      <c r="M536" s="36" t="str">
        <v/>
      </c>
      <c r="N536" s="27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</row>
    <row r="537" spans="1:29" ht="23.25">
      <c r="A537" s="15"/>
      <c r="B537" s="55"/>
      <c r="C537" s="66"/>
      <c r="D537" s="67"/>
      <c r="E537" s="36"/>
      <c r="F537" s="33" t="str">
        <v/>
      </c>
      <c r="G537" s="36"/>
      <c r="H537" s="36" t="str">
        <v/>
      </c>
      <c r="I537" s="36" t="str">
        <v/>
      </c>
      <c r="J537" s="36" t="str">
        <v/>
      </c>
      <c r="K537" s="36" t="str">
        <v/>
      </c>
      <c r="L537" s="36"/>
      <c r="M537" s="36" t="str">
        <v/>
      </c>
      <c r="N537" s="27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</row>
    <row r="538" spans="1:29" ht="23.25">
      <c r="A538" s="15"/>
      <c r="B538" s="55"/>
      <c r="C538" s="66"/>
      <c r="D538" s="67"/>
      <c r="E538" s="36"/>
      <c r="F538" s="33" t="str">
        <v/>
      </c>
      <c r="G538" s="36"/>
      <c r="H538" s="36" t="str">
        <v/>
      </c>
      <c r="I538" s="36" t="str">
        <v/>
      </c>
      <c r="J538" s="36" t="str">
        <v/>
      </c>
      <c r="K538" s="36" t="str">
        <v/>
      </c>
      <c r="L538" s="36"/>
      <c r="M538" s="36" t="str">
        <v/>
      </c>
      <c r="N538" s="27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</row>
    <row r="539" spans="1:29" ht="23.25">
      <c r="A539" s="15"/>
      <c r="B539" s="55"/>
      <c r="C539" s="66"/>
      <c r="D539" s="67"/>
      <c r="E539" s="36"/>
      <c r="F539" s="33" t="str">
        <v/>
      </c>
      <c r="G539" s="36"/>
      <c r="H539" s="36" t="str">
        <v/>
      </c>
      <c r="I539" s="36" t="str">
        <v/>
      </c>
      <c r="J539" s="36" t="str">
        <v/>
      </c>
      <c r="K539" s="36" t="str">
        <v/>
      </c>
      <c r="L539" s="36"/>
      <c r="M539" s="36" t="str">
        <v/>
      </c>
      <c r="N539" s="27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</row>
    <row r="540" spans="1:29" ht="23.25">
      <c r="A540" s="15"/>
      <c r="B540" s="55"/>
      <c r="C540" s="66"/>
      <c r="D540" s="67"/>
      <c r="E540" s="36"/>
      <c r="F540" s="33" t="str">
        <v/>
      </c>
      <c r="G540" s="36"/>
      <c r="H540" s="36" t="str">
        <v/>
      </c>
      <c r="I540" s="36" t="str">
        <v/>
      </c>
      <c r="J540" s="36" t="str">
        <v/>
      </c>
      <c r="K540" s="36" t="str">
        <v/>
      </c>
      <c r="L540" s="36"/>
      <c r="M540" s="36" t="str">
        <v/>
      </c>
      <c r="N540" s="27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</row>
    <row r="541" spans="1:29" ht="23.25">
      <c r="A541" s="15"/>
      <c r="B541" s="55"/>
      <c r="C541" s="66"/>
      <c r="D541" s="67"/>
      <c r="E541" s="36"/>
      <c r="F541" s="33" t="str">
        <v/>
      </c>
      <c r="G541" s="36"/>
      <c r="H541" s="36" t="str">
        <v/>
      </c>
      <c r="I541" s="36" t="str">
        <v/>
      </c>
      <c r="J541" s="36" t="str">
        <v/>
      </c>
      <c r="K541" s="36" t="str">
        <v/>
      </c>
      <c r="L541" s="36"/>
      <c r="M541" s="36" t="str">
        <v/>
      </c>
      <c r="N541" s="27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</row>
    <row r="542" spans="1:29" ht="23.25">
      <c r="A542" s="15"/>
      <c r="B542" s="55"/>
      <c r="C542" s="66"/>
      <c r="D542" s="67"/>
      <c r="E542" s="36"/>
      <c r="F542" s="33" t="str">
        <v/>
      </c>
      <c r="G542" s="36"/>
      <c r="H542" s="36" t="str">
        <v/>
      </c>
      <c r="I542" s="36" t="str">
        <v/>
      </c>
      <c r="J542" s="36" t="str">
        <v/>
      </c>
      <c r="K542" s="36" t="str">
        <v/>
      </c>
      <c r="L542" s="36"/>
      <c r="M542" s="36" t="str">
        <v/>
      </c>
      <c r="N542" s="27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</row>
    <row r="543" spans="1:29" ht="23.25">
      <c r="A543" s="15"/>
      <c r="B543" s="55"/>
      <c r="C543" s="66"/>
      <c r="D543" s="67"/>
      <c r="E543" s="36"/>
      <c r="F543" s="33" t="str">
        <v/>
      </c>
      <c r="G543" s="36"/>
      <c r="H543" s="36" t="str">
        <v/>
      </c>
      <c r="I543" s="36" t="str">
        <v/>
      </c>
      <c r="J543" s="36" t="str">
        <v/>
      </c>
      <c r="K543" s="36" t="str">
        <v/>
      </c>
      <c r="L543" s="36"/>
      <c r="M543" s="36" t="str">
        <v/>
      </c>
      <c r="N543" s="27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</row>
    <row r="544" spans="1:29" ht="23.25">
      <c r="A544" s="15"/>
      <c r="B544" s="55"/>
      <c r="C544" s="66"/>
      <c r="D544" s="67"/>
      <c r="E544" s="36"/>
      <c r="F544" s="33" t="str">
        <v/>
      </c>
      <c r="G544" s="36"/>
      <c r="H544" s="36" t="str">
        <v/>
      </c>
      <c r="I544" s="36" t="str">
        <v/>
      </c>
      <c r="J544" s="36" t="str">
        <v/>
      </c>
      <c r="K544" s="36" t="str">
        <v/>
      </c>
      <c r="L544" s="36"/>
      <c r="M544" s="36" t="str">
        <v/>
      </c>
      <c r="N544" s="27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</row>
    <row r="545" spans="1:29" ht="23.25">
      <c r="A545" s="15"/>
      <c r="B545" s="55"/>
      <c r="C545" s="66"/>
      <c r="D545" s="67"/>
      <c r="E545" s="36"/>
      <c r="F545" s="33" t="str">
        <v/>
      </c>
      <c r="G545" s="36"/>
      <c r="H545" s="36" t="str">
        <v/>
      </c>
      <c r="I545" s="36" t="str">
        <v/>
      </c>
      <c r="J545" s="36" t="str">
        <v/>
      </c>
      <c r="K545" s="36" t="str">
        <v/>
      </c>
      <c r="L545" s="36"/>
      <c r="M545" s="36" t="str">
        <v/>
      </c>
      <c r="N545" s="27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</row>
    <row r="546" spans="1:29" ht="23.25">
      <c r="A546" s="15"/>
      <c r="B546" s="55"/>
      <c r="C546" s="66"/>
      <c r="D546" s="67"/>
      <c r="E546" s="36"/>
      <c r="F546" s="33" t="str">
        <v/>
      </c>
      <c r="G546" s="36"/>
      <c r="H546" s="36" t="str">
        <v/>
      </c>
      <c r="I546" s="36" t="str">
        <v/>
      </c>
      <c r="J546" s="36" t="str">
        <v/>
      </c>
      <c r="K546" s="36" t="str">
        <v/>
      </c>
      <c r="L546" s="36"/>
      <c r="M546" s="36" t="str">
        <v/>
      </c>
      <c r="N546" s="27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</row>
    <row r="547" spans="1:29" ht="23.25">
      <c r="A547" s="15"/>
      <c r="B547" s="55"/>
      <c r="C547" s="66"/>
      <c r="D547" s="67"/>
      <c r="E547" s="36"/>
      <c r="F547" s="33" t="str">
        <v/>
      </c>
      <c r="G547" s="36"/>
      <c r="H547" s="36" t="str">
        <v/>
      </c>
      <c r="I547" s="36" t="str">
        <v/>
      </c>
      <c r="J547" s="36" t="str">
        <v/>
      </c>
      <c r="K547" s="36" t="str">
        <v/>
      </c>
      <c r="L547" s="36"/>
      <c r="M547" s="36" t="str">
        <v/>
      </c>
      <c r="N547" s="27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</row>
    <row r="548" spans="1:29" ht="23.25">
      <c r="A548" s="15"/>
      <c r="B548" s="55"/>
      <c r="C548" s="66"/>
      <c r="D548" s="67"/>
      <c r="E548" s="36"/>
      <c r="F548" s="33" t="str">
        <v/>
      </c>
      <c r="G548" s="36"/>
      <c r="H548" s="36" t="str">
        <v/>
      </c>
      <c r="I548" s="36" t="str">
        <v/>
      </c>
      <c r="J548" s="36" t="str">
        <v/>
      </c>
      <c r="K548" s="36" t="str">
        <v/>
      </c>
      <c r="L548" s="36"/>
      <c r="M548" s="36" t="str">
        <v/>
      </c>
      <c r="N548" s="27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</row>
    <row r="549" spans="1:29" ht="23.25">
      <c r="A549" s="15"/>
      <c r="B549" s="55"/>
      <c r="C549" s="66"/>
      <c r="D549" s="67"/>
      <c r="E549" s="36"/>
      <c r="F549" s="33" t="str">
        <v/>
      </c>
      <c r="G549" s="36"/>
      <c r="H549" s="36" t="str">
        <v/>
      </c>
      <c r="I549" s="36" t="str">
        <v/>
      </c>
      <c r="J549" s="36" t="str">
        <v/>
      </c>
      <c r="K549" s="36" t="str">
        <v/>
      </c>
      <c r="L549" s="36"/>
      <c r="M549" s="36" t="str">
        <v/>
      </c>
      <c r="N549" s="27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</row>
    <row r="550" spans="1:29" ht="23.25">
      <c r="A550" s="15"/>
      <c r="B550" s="55"/>
      <c r="C550" s="66"/>
      <c r="D550" s="67"/>
      <c r="E550" s="36"/>
      <c r="F550" s="33" t="str">
        <v/>
      </c>
      <c r="G550" s="36"/>
      <c r="H550" s="36" t="str">
        <v/>
      </c>
      <c r="I550" s="36" t="str">
        <v/>
      </c>
      <c r="J550" s="36" t="str">
        <v/>
      </c>
      <c r="K550" s="36" t="str">
        <v/>
      </c>
      <c r="L550" s="36"/>
      <c r="M550" s="36" t="str">
        <v/>
      </c>
      <c r="N550" s="27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</row>
    <row r="551" spans="1:29" ht="23.25">
      <c r="A551" s="15"/>
      <c r="B551" s="55"/>
      <c r="C551" s="66"/>
      <c r="D551" s="67"/>
      <c r="E551" s="36"/>
      <c r="F551" s="33" t="str">
        <v/>
      </c>
      <c r="G551" s="36"/>
      <c r="H551" s="36" t="str">
        <v/>
      </c>
      <c r="I551" s="36" t="str">
        <v/>
      </c>
      <c r="J551" s="36" t="str">
        <v/>
      </c>
      <c r="K551" s="36" t="str">
        <v/>
      </c>
      <c r="L551" s="36"/>
      <c r="M551" s="36" t="str">
        <v/>
      </c>
      <c r="N551" s="27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</row>
    <row r="552" spans="1:29" ht="23.25">
      <c r="A552" s="15"/>
      <c r="B552" s="55"/>
      <c r="C552" s="66"/>
      <c r="D552" s="67"/>
      <c r="E552" s="36"/>
      <c r="F552" s="33" t="str">
        <v/>
      </c>
      <c r="G552" s="36"/>
      <c r="H552" s="36" t="str">
        <v/>
      </c>
      <c r="I552" s="36" t="str">
        <v/>
      </c>
      <c r="J552" s="36" t="str">
        <v/>
      </c>
      <c r="K552" s="36" t="str">
        <v/>
      </c>
      <c r="L552" s="36"/>
      <c r="M552" s="36" t="str">
        <v/>
      </c>
      <c r="N552" s="27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</row>
    <row r="553" spans="1:29" ht="23.25">
      <c r="A553" s="15"/>
      <c r="B553" s="55"/>
      <c r="C553" s="66"/>
      <c r="D553" s="67"/>
      <c r="E553" s="36"/>
      <c r="F553" s="33" t="str">
        <v/>
      </c>
      <c r="G553" s="36"/>
      <c r="H553" s="36" t="str">
        <v/>
      </c>
      <c r="I553" s="36" t="str">
        <v/>
      </c>
      <c r="J553" s="36" t="str">
        <v/>
      </c>
      <c r="K553" s="36" t="str">
        <v/>
      </c>
      <c r="L553" s="36"/>
      <c r="M553" s="36" t="str">
        <v/>
      </c>
      <c r="N553" s="27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</row>
    <row r="554" spans="1:29" ht="23.25">
      <c r="A554" s="15"/>
      <c r="B554" s="55"/>
      <c r="C554" s="66"/>
      <c r="D554" s="67"/>
      <c r="E554" s="36"/>
      <c r="F554" s="33" t="str">
        <v/>
      </c>
      <c r="G554" s="36"/>
      <c r="H554" s="36" t="str">
        <v/>
      </c>
      <c r="I554" s="36" t="str">
        <v/>
      </c>
      <c r="J554" s="36" t="str">
        <v/>
      </c>
      <c r="K554" s="36" t="str">
        <v/>
      </c>
      <c r="L554" s="36"/>
      <c r="M554" s="36" t="str">
        <v/>
      </c>
      <c r="N554" s="27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</row>
    <row r="555" spans="1:29" ht="23.25">
      <c r="A555" s="15"/>
      <c r="B555" s="55"/>
      <c r="C555" s="66"/>
      <c r="D555" s="67"/>
      <c r="E555" s="36"/>
      <c r="F555" s="33" t="str">
        <v/>
      </c>
      <c r="G555" s="36"/>
      <c r="H555" s="36" t="str">
        <v/>
      </c>
      <c r="I555" s="36" t="str">
        <v/>
      </c>
      <c r="J555" s="36" t="str">
        <v/>
      </c>
      <c r="K555" s="36" t="str">
        <v/>
      </c>
      <c r="L555" s="36"/>
      <c r="M555" s="36" t="str">
        <v/>
      </c>
      <c r="N555" s="27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</row>
    <row r="556" spans="1:29" ht="23.25">
      <c r="A556" s="15"/>
      <c r="B556" s="55"/>
      <c r="C556" s="66"/>
      <c r="D556" s="67"/>
      <c r="E556" s="36"/>
      <c r="F556" s="33" t="str">
        <v/>
      </c>
      <c r="G556" s="36"/>
      <c r="H556" s="36" t="str">
        <v/>
      </c>
      <c r="I556" s="36" t="str">
        <v/>
      </c>
      <c r="J556" s="36" t="str">
        <v/>
      </c>
      <c r="K556" s="36" t="str">
        <v/>
      </c>
      <c r="L556" s="36"/>
      <c r="M556" s="36" t="str">
        <v/>
      </c>
      <c r="N556" s="27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</row>
    <row r="557" spans="1:29" ht="23.25">
      <c r="A557" s="15"/>
      <c r="B557" s="55"/>
      <c r="C557" s="66"/>
      <c r="D557" s="67"/>
      <c r="E557" s="36"/>
      <c r="F557" s="33" t="str">
        <v/>
      </c>
      <c r="G557" s="36"/>
      <c r="H557" s="36" t="str">
        <v/>
      </c>
      <c r="I557" s="36" t="str">
        <v/>
      </c>
      <c r="J557" s="36" t="str">
        <v/>
      </c>
      <c r="K557" s="36" t="str">
        <v/>
      </c>
      <c r="L557" s="36"/>
      <c r="M557" s="36" t="str">
        <v/>
      </c>
      <c r="N557" s="27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</row>
    <row r="558" spans="1:29" ht="23.25">
      <c r="A558" s="15"/>
      <c r="B558" s="55"/>
      <c r="C558" s="66"/>
      <c r="D558" s="67"/>
      <c r="E558" s="36"/>
      <c r="F558" s="33" t="str">
        <v/>
      </c>
      <c r="G558" s="36"/>
      <c r="H558" s="36" t="str">
        <v/>
      </c>
      <c r="I558" s="36" t="str">
        <v/>
      </c>
      <c r="J558" s="36" t="str">
        <v/>
      </c>
      <c r="K558" s="36" t="str">
        <v/>
      </c>
      <c r="L558" s="36"/>
      <c r="M558" s="36" t="str">
        <v/>
      </c>
      <c r="N558" s="27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</row>
    <row r="559" spans="1:29" ht="23.25">
      <c r="A559" s="15"/>
      <c r="B559" s="55"/>
      <c r="C559" s="66"/>
      <c r="D559" s="67"/>
      <c r="E559" s="36"/>
      <c r="F559" s="33" t="str">
        <v/>
      </c>
      <c r="G559" s="36"/>
      <c r="H559" s="36" t="str">
        <v/>
      </c>
      <c r="I559" s="36" t="str">
        <v/>
      </c>
      <c r="J559" s="36" t="str">
        <v/>
      </c>
      <c r="K559" s="36" t="str">
        <v/>
      </c>
      <c r="L559" s="36"/>
      <c r="M559" s="36" t="str">
        <v/>
      </c>
      <c r="N559" s="27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</row>
    <row r="560" spans="1:29" ht="23.25">
      <c r="A560" s="15"/>
      <c r="B560" s="55"/>
      <c r="C560" s="66"/>
      <c r="D560" s="67"/>
      <c r="E560" s="36"/>
      <c r="F560" s="33" t="str">
        <v/>
      </c>
      <c r="G560" s="36"/>
      <c r="H560" s="36" t="str">
        <v/>
      </c>
      <c r="I560" s="36" t="str">
        <v/>
      </c>
      <c r="J560" s="36" t="str">
        <v/>
      </c>
      <c r="K560" s="36" t="str">
        <v/>
      </c>
      <c r="L560" s="36"/>
      <c r="M560" s="36" t="str">
        <v/>
      </c>
      <c r="N560" s="27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</row>
    <row r="561" spans="1:29" ht="23.25">
      <c r="A561" s="15"/>
      <c r="B561" s="55"/>
      <c r="C561" s="66"/>
      <c r="D561" s="67"/>
      <c r="E561" s="36"/>
      <c r="F561" s="33" t="str">
        <v/>
      </c>
      <c r="G561" s="36"/>
      <c r="H561" s="36" t="str">
        <v/>
      </c>
      <c r="I561" s="36" t="str">
        <v/>
      </c>
      <c r="J561" s="36" t="str">
        <v/>
      </c>
      <c r="K561" s="36" t="str">
        <v/>
      </c>
      <c r="L561" s="36"/>
      <c r="M561" s="36" t="str">
        <v/>
      </c>
      <c r="N561" s="27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</row>
    <row r="562" spans="1:29" ht="23.25">
      <c r="A562" s="15"/>
      <c r="B562" s="55"/>
      <c r="C562" s="66"/>
      <c r="D562" s="67"/>
      <c r="E562" s="36"/>
      <c r="F562" s="33" t="str">
        <v/>
      </c>
      <c r="G562" s="36"/>
      <c r="H562" s="36" t="str">
        <v/>
      </c>
      <c r="I562" s="36" t="str">
        <v/>
      </c>
      <c r="J562" s="36" t="str">
        <v/>
      </c>
      <c r="K562" s="36" t="str">
        <v/>
      </c>
      <c r="L562" s="36"/>
      <c r="M562" s="36" t="str">
        <v/>
      </c>
      <c r="N562" s="27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</row>
    <row r="563" spans="1:29" ht="23.25">
      <c r="A563" s="15"/>
      <c r="B563" s="55"/>
      <c r="C563" s="66"/>
      <c r="D563" s="67"/>
      <c r="E563" s="36"/>
      <c r="F563" s="33" t="str">
        <v/>
      </c>
      <c r="G563" s="36"/>
      <c r="H563" s="36" t="str">
        <v/>
      </c>
      <c r="I563" s="36" t="str">
        <v/>
      </c>
      <c r="J563" s="36" t="str">
        <v/>
      </c>
      <c r="K563" s="36" t="str">
        <v/>
      </c>
      <c r="L563" s="36"/>
      <c r="M563" s="36" t="str">
        <v/>
      </c>
      <c r="N563" s="27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</row>
    <row r="564" spans="1:29" ht="23.25">
      <c r="A564" s="15"/>
      <c r="B564" s="55"/>
      <c r="C564" s="66"/>
      <c r="D564" s="67"/>
      <c r="E564" s="36"/>
      <c r="F564" s="33" t="str">
        <v/>
      </c>
      <c r="G564" s="36"/>
      <c r="H564" s="36" t="str">
        <v/>
      </c>
      <c r="I564" s="36" t="str">
        <v/>
      </c>
      <c r="J564" s="36" t="str">
        <v/>
      </c>
      <c r="K564" s="36" t="str">
        <v/>
      </c>
      <c r="L564" s="36"/>
      <c r="M564" s="36" t="str">
        <v/>
      </c>
      <c r="N564" s="27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</row>
    <row r="565" spans="1:29" ht="23.25">
      <c r="A565" s="15"/>
      <c r="B565" s="55"/>
      <c r="C565" s="66"/>
      <c r="D565" s="67"/>
      <c r="E565" s="36"/>
      <c r="F565" s="33" t="str">
        <v/>
      </c>
      <c r="G565" s="36"/>
      <c r="H565" s="36" t="str">
        <v/>
      </c>
      <c r="I565" s="36" t="str">
        <v/>
      </c>
      <c r="J565" s="36" t="str">
        <v/>
      </c>
      <c r="K565" s="36" t="str">
        <v/>
      </c>
      <c r="L565" s="36"/>
      <c r="M565" s="36" t="str">
        <v/>
      </c>
      <c r="N565" s="27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</row>
    <row r="566" spans="1:29" ht="23.25">
      <c r="A566" s="15"/>
      <c r="B566" s="55"/>
      <c r="C566" s="66"/>
      <c r="D566" s="67"/>
      <c r="E566" s="36"/>
      <c r="F566" s="33" t="str">
        <v/>
      </c>
      <c r="G566" s="36"/>
      <c r="H566" s="36" t="str">
        <v/>
      </c>
      <c r="I566" s="36" t="str">
        <v/>
      </c>
      <c r="J566" s="36" t="str">
        <v/>
      </c>
      <c r="K566" s="36" t="str">
        <v/>
      </c>
      <c r="L566" s="36"/>
      <c r="M566" s="36" t="str">
        <v/>
      </c>
      <c r="N566" s="27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</row>
    <row r="567" spans="1:29" ht="23.25">
      <c r="A567" s="15"/>
      <c r="B567" s="55"/>
      <c r="C567" s="66"/>
      <c r="D567" s="67"/>
      <c r="E567" s="36"/>
      <c r="F567" s="33" t="str">
        <v/>
      </c>
      <c r="G567" s="36"/>
      <c r="H567" s="36" t="str">
        <v/>
      </c>
      <c r="I567" s="36" t="str">
        <v/>
      </c>
      <c r="J567" s="36" t="str">
        <v/>
      </c>
      <c r="K567" s="36" t="str">
        <v/>
      </c>
      <c r="L567" s="36"/>
      <c r="M567" s="36" t="str">
        <v/>
      </c>
      <c r="N567" s="27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</row>
    <row r="568" spans="1:29" ht="23.25">
      <c r="A568" s="15"/>
      <c r="B568" s="55"/>
      <c r="C568" s="66"/>
      <c r="D568" s="67"/>
      <c r="E568" s="36"/>
      <c r="F568" s="33" t="str">
        <v/>
      </c>
      <c r="G568" s="36"/>
      <c r="H568" s="36" t="str">
        <v/>
      </c>
      <c r="I568" s="36" t="str">
        <v/>
      </c>
      <c r="J568" s="36" t="str">
        <v/>
      </c>
      <c r="K568" s="36" t="str">
        <v/>
      </c>
      <c r="L568" s="36"/>
      <c r="M568" s="36" t="str">
        <v/>
      </c>
      <c r="N568" s="27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</row>
    <row r="569" spans="1:29" ht="23.25">
      <c r="A569" s="15"/>
      <c r="B569" s="55"/>
      <c r="C569" s="66"/>
      <c r="D569" s="67"/>
      <c r="E569" s="36"/>
      <c r="F569" s="33" t="str">
        <v/>
      </c>
      <c r="G569" s="36"/>
      <c r="H569" s="36" t="str">
        <v/>
      </c>
      <c r="I569" s="36" t="str">
        <v/>
      </c>
      <c r="J569" s="36" t="str">
        <v/>
      </c>
      <c r="K569" s="36" t="str">
        <v/>
      </c>
      <c r="L569" s="36"/>
      <c r="M569" s="36" t="str">
        <v/>
      </c>
      <c r="N569" s="27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</row>
    <row r="570" spans="1:29" ht="23.25">
      <c r="A570" s="15"/>
      <c r="B570" s="55"/>
      <c r="C570" s="66"/>
      <c r="D570" s="67"/>
      <c r="E570" s="36"/>
      <c r="F570" s="33" t="str">
        <v/>
      </c>
      <c r="G570" s="36"/>
      <c r="H570" s="36" t="str">
        <v/>
      </c>
      <c r="I570" s="36" t="str">
        <v/>
      </c>
      <c r="J570" s="36" t="str">
        <v/>
      </c>
      <c r="K570" s="36" t="str">
        <v/>
      </c>
      <c r="L570" s="36"/>
      <c r="M570" s="36" t="str">
        <v/>
      </c>
      <c r="N570" s="27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</row>
    <row r="571" spans="1:29" ht="23.25">
      <c r="A571" s="15"/>
      <c r="B571" s="55"/>
      <c r="C571" s="66"/>
      <c r="D571" s="67"/>
      <c r="E571" s="36"/>
      <c r="F571" s="33" t="str">
        <v/>
      </c>
      <c r="G571" s="36"/>
      <c r="H571" s="36" t="str">
        <v/>
      </c>
      <c r="I571" s="36" t="str">
        <v/>
      </c>
      <c r="J571" s="36" t="str">
        <v/>
      </c>
      <c r="K571" s="36" t="str">
        <v/>
      </c>
      <c r="L571" s="36"/>
      <c r="M571" s="36" t="str">
        <v/>
      </c>
      <c r="N571" s="27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</row>
    <row r="572" spans="1:29" ht="23.25">
      <c r="A572" s="15"/>
      <c r="B572" s="55"/>
      <c r="C572" s="66"/>
      <c r="D572" s="67"/>
      <c r="E572" s="36"/>
      <c r="F572" s="33" t="str">
        <v/>
      </c>
      <c r="G572" s="36"/>
      <c r="H572" s="36" t="str">
        <v/>
      </c>
      <c r="I572" s="36" t="str">
        <v/>
      </c>
      <c r="J572" s="36" t="str">
        <v/>
      </c>
      <c r="K572" s="36" t="str">
        <v/>
      </c>
      <c r="L572" s="36"/>
      <c r="M572" s="36" t="str">
        <v/>
      </c>
      <c r="N572" s="27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</row>
    <row r="573" spans="1:29" ht="23.25">
      <c r="A573" s="15"/>
      <c r="B573" s="55"/>
      <c r="C573" s="66"/>
      <c r="D573" s="67"/>
      <c r="E573" s="36"/>
      <c r="F573" s="33" t="str">
        <v/>
      </c>
      <c r="G573" s="36"/>
      <c r="H573" s="36" t="str">
        <v/>
      </c>
      <c r="I573" s="36" t="str">
        <v/>
      </c>
      <c r="J573" s="36" t="str">
        <v/>
      </c>
      <c r="K573" s="36" t="str">
        <v/>
      </c>
      <c r="L573" s="36"/>
      <c r="M573" s="36" t="str">
        <v/>
      </c>
      <c r="N573" s="27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</row>
    <row r="574" spans="1:29" ht="23.25">
      <c r="A574" s="15"/>
      <c r="B574" s="55"/>
      <c r="C574" s="66"/>
      <c r="D574" s="67"/>
      <c r="E574" s="36"/>
      <c r="F574" s="33" t="str">
        <v/>
      </c>
      <c r="G574" s="36"/>
      <c r="H574" s="36" t="str">
        <v/>
      </c>
      <c r="I574" s="36" t="str">
        <v/>
      </c>
      <c r="J574" s="36" t="str">
        <v/>
      </c>
      <c r="K574" s="36" t="str">
        <v/>
      </c>
      <c r="L574" s="36"/>
      <c r="M574" s="36" t="str">
        <v/>
      </c>
      <c r="N574" s="27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</row>
    <row r="575" spans="1:29" ht="23.25">
      <c r="A575" s="15"/>
      <c r="B575" s="55"/>
      <c r="C575" s="66"/>
      <c r="D575" s="67"/>
      <c r="E575" s="36"/>
      <c r="F575" s="33" t="str">
        <v/>
      </c>
      <c r="G575" s="36"/>
      <c r="H575" s="36" t="str">
        <v/>
      </c>
      <c r="I575" s="36" t="str">
        <v/>
      </c>
      <c r="J575" s="36" t="str">
        <v/>
      </c>
      <c r="K575" s="36" t="str">
        <v/>
      </c>
      <c r="L575" s="36"/>
      <c r="M575" s="36" t="str">
        <v/>
      </c>
      <c r="N575" s="27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</row>
    <row r="576" spans="1:29" ht="23.25">
      <c r="A576" s="15"/>
      <c r="B576" s="55"/>
      <c r="C576" s="66"/>
      <c r="D576" s="67"/>
      <c r="E576" s="36"/>
      <c r="F576" s="33" t="str">
        <v/>
      </c>
      <c r="G576" s="36"/>
      <c r="H576" s="36" t="str">
        <v/>
      </c>
      <c r="I576" s="36" t="str">
        <v/>
      </c>
      <c r="J576" s="36" t="str">
        <v/>
      </c>
      <c r="K576" s="36" t="str">
        <v/>
      </c>
      <c r="L576" s="36"/>
      <c r="M576" s="36" t="str">
        <v/>
      </c>
      <c r="N576" s="27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</row>
    <row r="577" spans="1:29" ht="23.25">
      <c r="A577" s="15"/>
      <c r="B577" s="55"/>
      <c r="C577" s="66"/>
      <c r="D577" s="67"/>
      <c r="E577" s="36"/>
      <c r="F577" s="33" t="str">
        <v/>
      </c>
      <c r="G577" s="36"/>
      <c r="H577" s="36" t="str">
        <v/>
      </c>
      <c r="I577" s="36" t="str">
        <v/>
      </c>
      <c r="J577" s="36" t="str">
        <v/>
      </c>
      <c r="K577" s="36" t="str">
        <v/>
      </c>
      <c r="L577" s="36"/>
      <c r="M577" s="36" t="str">
        <v/>
      </c>
      <c r="N577" s="27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</row>
    <row r="578" spans="1:29" ht="23.25">
      <c r="A578" s="15"/>
      <c r="B578" s="55"/>
      <c r="C578" s="66"/>
      <c r="D578" s="67"/>
      <c r="E578" s="36"/>
      <c r="F578" s="33" t="str">
        <v/>
      </c>
      <c r="G578" s="36"/>
      <c r="H578" s="36" t="str">
        <v/>
      </c>
      <c r="I578" s="36" t="str">
        <v/>
      </c>
      <c r="J578" s="36" t="str">
        <v/>
      </c>
      <c r="K578" s="36" t="str">
        <v/>
      </c>
      <c r="L578" s="36"/>
      <c r="M578" s="36" t="str">
        <v/>
      </c>
      <c r="N578" s="27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</row>
    <row r="579" spans="1:29" ht="23.25">
      <c r="A579" s="15"/>
      <c r="B579" s="55"/>
      <c r="C579" s="66"/>
      <c r="D579" s="67"/>
      <c r="E579" s="36"/>
      <c r="F579" s="33" t="str">
        <v/>
      </c>
      <c r="G579" s="36"/>
      <c r="H579" s="36" t="str">
        <v/>
      </c>
      <c r="I579" s="36" t="str">
        <v/>
      </c>
      <c r="J579" s="36" t="str">
        <v/>
      </c>
      <c r="K579" s="36" t="str">
        <v/>
      </c>
      <c r="L579" s="36"/>
      <c r="M579" s="36" t="str">
        <v/>
      </c>
      <c r="N579" s="27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</row>
    <row r="580" spans="1:29" ht="23.25">
      <c r="A580" s="15"/>
      <c r="B580" s="55"/>
      <c r="C580" s="66"/>
      <c r="D580" s="67"/>
      <c r="E580" s="36"/>
      <c r="F580" s="33" t="str">
        <v/>
      </c>
      <c r="G580" s="36"/>
      <c r="H580" s="36" t="str">
        <v/>
      </c>
      <c r="I580" s="36" t="str">
        <v/>
      </c>
      <c r="J580" s="36" t="str">
        <v/>
      </c>
      <c r="K580" s="36" t="str">
        <v/>
      </c>
      <c r="L580" s="36"/>
      <c r="M580" s="36" t="str">
        <v/>
      </c>
      <c r="N580" s="27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</row>
    <row r="581" spans="1:29" ht="23.25">
      <c r="A581" s="15"/>
      <c r="B581" s="55"/>
      <c r="C581" s="66"/>
      <c r="D581" s="67"/>
      <c r="E581" s="36"/>
      <c r="F581" s="33" t="str">
        <v/>
      </c>
      <c r="G581" s="36"/>
      <c r="H581" s="36" t="str">
        <v/>
      </c>
      <c r="I581" s="36" t="str">
        <v/>
      </c>
      <c r="J581" s="36" t="str">
        <v/>
      </c>
      <c r="K581" s="36" t="str">
        <v/>
      </c>
      <c r="L581" s="36"/>
      <c r="M581" s="36" t="str">
        <v/>
      </c>
      <c r="N581" s="27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</row>
    <row r="582" spans="1:29" ht="23.25">
      <c r="A582" s="15"/>
      <c r="B582" s="55"/>
      <c r="C582" s="66"/>
      <c r="D582" s="67"/>
      <c r="E582" s="36"/>
      <c r="F582" s="33" t="str">
        <v/>
      </c>
      <c r="G582" s="36"/>
      <c r="H582" s="36" t="str">
        <v/>
      </c>
      <c r="I582" s="36" t="str">
        <v/>
      </c>
      <c r="J582" s="36" t="str">
        <v/>
      </c>
      <c r="K582" s="36" t="str">
        <v/>
      </c>
      <c r="L582" s="36"/>
      <c r="M582" s="36" t="str">
        <v/>
      </c>
      <c r="N582" s="27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</row>
    <row r="583" spans="1:29" ht="23.25">
      <c r="A583" s="15"/>
      <c r="B583" s="55"/>
      <c r="C583" s="66"/>
      <c r="D583" s="67"/>
      <c r="E583" s="36"/>
      <c r="F583" s="33" t="str">
        <v/>
      </c>
      <c r="G583" s="36"/>
      <c r="H583" s="36" t="str">
        <v/>
      </c>
      <c r="I583" s="36" t="str">
        <v/>
      </c>
      <c r="J583" s="36" t="str">
        <v/>
      </c>
      <c r="K583" s="36" t="str">
        <v/>
      </c>
      <c r="L583" s="36"/>
      <c r="M583" s="36" t="str">
        <v/>
      </c>
      <c r="N583" s="27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</row>
    <row r="584" spans="1:29" ht="23.25">
      <c r="A584" s="15"/>
      <c r="B584" s="55"/>
      <c r="C584" s="66"/>
      <c r="D584" s="67"/>
      <c r="E584" s="36"/>
      <c r="F584" s="33" t="str">
        <v/>
      </c>
      <c r="G584" s="36"/>
      <c r="H584" s="36" t="str">
        <v/>
      </c>
      <c r="I584" s="36" t="str">
        <v/>
      </c>
      <c r="J584" s="36" t="str">
        <v/>
      </c>
      <c r="K584" s="36" t="str">
        <v/>
      </c>
      <c r="L584" s="36"/>
      <c r="M584" s="36" t="str">
        <v/>
      </c>
      <c r="N584" s="27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</row>
    <row r="585" spans="1:29" ht="23.25">
      <c r="A585" s="15"/>
      <c r="B585" s="55"/>
      <c r="C585" s="66"/>
      <c r="D585" s="67"/>
      <c r="E585" s="36"/>
      <c r="F585" s="33" t="str">
        <v/>
      </c>
      <c r="G585" s="36"/>
      <c r="H585" s="36" t="str">
        <v/>
      </c>
      <c r="I585" s="36" t="str">
        <v/>
      </c>
      <c r="J585" s="36" t="str">
        <v/>
      </c>
      <c r="K585" s="36" t="str">
        <v/>
      </c>
      <c r="L585" s="36"/>
      <c r="M585" s="36" t="str">
        <v/>
      </c>
      <c r="N585" s="27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</row>
    <row r="586" spans="1:29" ht="23.25">
      <c r="A586" s="15"/>
      <c r="B586" s="55"/>
      <c r="C586" s="66"/>
      <c r="D586" s="67"/>
      <c r="E586" s="36"/>
      <c r="F586" s="33" t="str">
        <v/>
      </c>
      <c r="G586" s="36"/>
      <c r="H586" s="36" t="str">
        <v/>
      </c>
      <c r="I586" s="36" t="str">
        <v/>
      </c>
      <c r="J586" s="36" t="str">
        <v/>
      </c>
      <c r="K586" s="36" t="str">
        <v/>
      </c>
      <c r="L586" s="36"/>
      <c r="M586" s="36" t="str">
        <v/>
      </c>
      <c r="N586" s="27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</row>
    <row r="587" spans="1:29" ht="23.25">
      <c r="A587" s="15"/>
      <c r="B587" s="55"/>
      <c r="C587" s="66"/>
      <c r="D587" s="67"/>
      <c r="E587" s="36"/>
      <c r="F587" s="33" t="str">
        <v/>
      </c>
      <c r="G587" s="36"/>
      <c r="H587" s="36" t="str">
        <v/>
      </c>
      <c r="I587" s="36" t="str">
        <v/>
      </c>
      <c r="J587" s="36" t="str">
        <v/>
      </c>
      <c r="K587" s="36" t="str">
        <v/>
      </c>
      <c r="L587" s="36"/>
      <c r="M587" s="36" t="str">
        <v/>
      </c>
      <c r="N587" s="27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</row>
    <row r="588" spans="1:29" ht="23.25">
      <c r="A588" s="15"/>
      <c r="B588" s="55"/>
      <c r="C588" s="66"/>
      <c r="D588" s="67"/>
      <c r="E588" s="36"/>
      <c r="F588" s="33" t="str">
        <v/>
      </c>
      <c r="G588" s="36"/>
      <c r="H588" s="36" t="str">
        <v/>
      </c>
      <c r="I588" s="36" t="str">
        <v/>
      </c>
      <c r="J588" s="36" t="str">
        <v/>
      </c>
      <c r="K588" s="36" t="str">
        <v/>
      </c>
      <c r="L588" s="36"/>
      <c r="M588" s="36" t="str">
        <v/>
      </c>
      <c r="N588" s="27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</row>
    <row r="589" spans="1:29" ht="23.25">
      <c r="A589" s="15"/>
      <c r="B589" s="55"/>
      <c r="C589" s="66"/>
      <c r="D589" s="67"/>
      <c r="E589" s="36"/>
      <c r="F589" s="33" t="str">
        <v/>
      </c>
      <c r="G589" s="36"/>
      <c r="H589" s="36" t="str">
        <v/>
      </c>
      <c r="I589" s="36" t="str">
        <v/>
      </c>
      <c r="J589" s="36" t="str">
        <v/>
      </c>
      <c r="K589" s="36" t="str">
        <v/>
      </c>
      <c r="L589" s="36"/>
      <c r="M589" s="36" t="str">
        <v/>
      </c>
      <c r="N589" s="27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</row>
    <row r="590" spans="1:29" ht="23.25">
      <c r="A590" s="15"/>
      <c r="B590" s="55"/>
      <c r="C590" s="66"/>
      <c r="D590" s="67"/>
      <c r="E590" s="36"/>
      <c r="F590" s="33" t="str">
        <v/>
      </c>
      <c r="G590" s="36"/>
      <c r="H590" s="36" t="str">
        <v/>
      </c>
      <c r="I590" s="36" t="str">
        <v/>
      </c>
      <c r="J590" s="36" t="str">
        <v/>
      </c>
      <c r="K590" s="36" t="str">
        <v/>
      </c>
      <c r="L590" s="36"/>
      <c r="M590" s="36" t="str">
        <v/>
      </c>
      <c r="N590" s="27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</row>
    <row r="591" spans="1:29" ht="23.25">
      <c r="A591" s="15"/>
      <c r="B591" s="55"/>
      <c r="C591" s="66"/>
      <c r="D591" s="67"/>
      <c r="E591" s="36"/>
      <c r="F591" s="33" t="str">
        <v/>
      </c>
      <c r="G591" s="36"/>
      <c r="H591" s="36" t="str">
        <v/>
      </c>
      <c r="I591" s="36" t="str">
        <v/>
      </c>
      <c r="J591" s="36" t="str">
        <v/>
      </c>
      <c r="K591" s="36" t="str">
        <v/>
      </c>
      <c r="L591" s="36"/>
      <c r="M591" s="36" t="str">
        <v/>
      </c>
      <c r="N591" s="27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</row>
    <row r="592" spans="1:29" ht="23.25">
      <c r="A592" s="15"/>
      <c r="B592" s="55"/>
      <c r="C592" s="66"/>
      <c r="D592" s="67"/>
      <c r="E592" s="36"/>
      <c r="F592" s="33" t="str">
        <v/>
      </c>
      <c r="G592" s="36"/>
      <c r="H592" s="36" t="str">
        <v/>
      </c>
      <c r="I592" s="36" t="str">
        <v/>
      </c>
      <c r="J592" s="36" t="str">
        <v/>
      </c>
      <c r="K592" s="36" t="str">
        <v/>
      </c>
      <c r="L592" s="36"/>
      <c r="M592" s="36" t="str">
        <v/>
      </c>
      <c r="N592" s="27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</row>
    <row r="593" spans="1:29" ht="23.25">
      <c r="A593" s="15"/>
      <c r="B593" s="55"/>
      <c r="C593" s="66"/>
      <c r="D593" s="67"/>
      <c r="E593" s="36"/>
      <c r="F593" s="33" t="str">
        <v/>
      </c>
      <c r="G593" s="36"/>
      <c r="H593" s="36" t="str">
        <v/>
      </c>
      <c r="I593" s="36" t="str">
        <v/>
      </c>
      <c r="J593" s="36" t="str">
        <v/>
      </c>
      <c r="K593" s="36" t="str">
        <v/>
      </c>
      <c r="L593" s="36"/>
      <c r="M593" s="36" t="str">
        <v/>
      </c>
      <c r="N593" s="27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</row>
    <row r="594" spans="1:29" ht="23.25">
      <c r="A594" s="15"/>
      <c r="B594" s="55"/>
      <c r="C594" s="66"/>
      <c r="D594" s="67"/>
      <c r="E594" s="36"/>
      <c r="F594" s="33" t="str">
        <v/>
      </c>
      <c r="G594" s="36"/>
      <c r="H594" s="36" t="str">
        <v/>
      </c>
      <c r="I594" s="36" t="str">
        <v/>
      </c>
      <c r="J594" s="36" t="str">
        <v/>
      </c>
      <c r="K594" s="36" t="str">
        <v/>
      </c>
      <c r="L594" s="36"/>
      <c r="M594" s="36" t="str">
        <v/>
      </c>
      <c r="N594" s="27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</row>
    <row r="595" spans="1:29" ht="23.25">
      <c r="A595" s="15"/>
      <c r="B595" s="55"/>
      <c r="C595" s="66"/>
      <c r="D595" s="67"/>
      <c r="E595" s="36"/>
      <c r="F595" s="33" t="str">
        <v/>
      </c>
      <c r="G595" s="36"/>
      <c r="H595" s="36" t="str">
        <v/>
      </c>
      <c r="I595" s="36" t="str">
        <v/>
      </c>
      <c r="J595" s="36" t="str">
        <v/>
      </c>
      <c r="K595" s="36" t="str">
        <v/>
      </c>
      <c r="L595" s="36"/>
      <c r="M595" s="36" t="str">
        <v/>
      </c>
      <c r="N595" s="27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</row>
    <row r="596" spans="1:29" ht="23.25">
      <c r="A596" s="15"/>
      <c r="B596" s="55"/>
      <c r="C596" s="66"/>
      <c r="D596" s="67"/>
      <c r="E596" s="36"/>
      <c r="F596" s="33" t="str">
        <v/>
      </c>
      <c r="G596" s="36"/>
      <c r="H596" s="36" t="str">
        <v/>
      </c>
      <c r="I596" s="36" t="str">
        <v/>
      </c>
      <c r="J596" s="36" t="str">
        <v/>
      </c>
      <c r="K596" s="36" t="str">
        <v/>
      </c>
      <c r="L596" s="36"/>
      <c r="M596" s="36" t="str">
        <v/>
      </c>
      <c r="N596" s="27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</row>
    <row r="597" spans="1:29" ht="23.25">
      <c r="A597" s="15"/>
      <c r="B597" s="55"/>
      <c r="C597" s="66"/>
      <c r="D597" s="67"/>
      <c r="E597" s="36"/>
      <c r="F597" s="33" t="str">
        <v/>
      </c>
      <c r="G597" s="36"/>
      <c r="H597" s="36" t="str">
        <v/>
      </c>
      <c r="I597" s="36" t="str">
        <v/>
      </c>
      <c r="J597" s="36" t="str">
        <v/>
      </c>
      <c r="K597" s="36" t="str">
        <v/>
      </c>
      <c r="L597" s="36"/>
      <c r="M597" s="36" t="str">
        <v/>
      </c>
      <c r="N597" s="27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</row>
    <row r="598" spans="1:29" ht="23.25">
      <c r="A598" s="15"/>
      <c r="B598" s="55"/>
      <c r="C598" s="66"/>
      <c r="D598" s="67"/>
      <c r="E598" s="36"/>
      <c r="F598" s="33" t="str">
        <v/>
      </c>
      <c r="G598" s="36"/>
      <c r="H598" s="36" t="str">
        <v/>
      </c>
      <c r="I598" s="36" t="str">
        <v/>
      </c>
      <c r="J598" s="36" t="str">
        <v/>
      </c>
      <c r="K598" s="36" t="str">
        <v/>
      </c>
      <c r="L598" s="36"/>
      <c r="M598" s="36" t="str">
        <v/>
      </c>
      <c r="N598" s="27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</row>
    <row r="599" spans="1:29" ht="23.25">
      <c r="A599" s="15"/>
      <c r="B599" s="55"/>
      <c r="C599" s="66"/>
      <c r="D599" s="67"/>
      <c r="E599" s="36"/>
      <c r="F599" s="33" t="str">
        <v/>
      </c>
      <c r="G599" s="36"/>
      <c r="H599" s="36" t="str">
        <v/>
      </c>
      <c r="I599" s="36" t="str">
        <v/>
      </c>
      <c r="J599" s="36" t="str">
        <v/>
      </c>
      <c r="K599" s="36" t="str">
        <v/>
      </c>
      <c r="L599" s="36"/>
      <c r="M599" s="36" t="str">
        <v/>
      </c>
      <c r="N599" s="27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</row>
    <row r="600" spans="1:29" ht="23.25">
      <c r="A600" s="15"/>
      <c r="B600" s="55"/>
      <c r="C600" s="66"/>
      <c r="D600" s="67"/>
      <c r="E600" s="36"/>
      <c r="F600" s="33" t="str">
        <v/>
      </c>
      <c r="G600" s="36"/>
      <c r="H600" s="36" t="str">
        <v/>
      </c>
      <c r="I600" s="36" t="str">
        <v/>
      </c>
      <c r="J600" s="36" t="str">
        <v/>
      </c>
      <c r="K600" s="36" t="str">
        <v/>
      </c>
      <c r="L600" s="36"/>
      <c r="M600" s="36" t="str">
        <v/>
      </c>
      <c r="N600" s="27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</row>
    <row r="601" spans="1:29" ht="23.25">
      <c r="A601" s="15"/>
      <c r="B601" s="55"/>
      <c r="C601" s="66"/>
      <c r="D601" s="67"/>
      <c r="E601" s="36"/>
      <c r="F601" s="33" t="str">
        <v/>
      </c>
      <c r="G601" s="36"/>
      <c r="H601" s="36" t="str">
        <v/>
      </c>
      <c r="I601" s="36" t="str">
        <v/>
      </c>
      <c r="J601" s="36" t="str">
        <v/>
      </c>
      <c r="K601" s="36" t="str">
        <v/>
      </c>
      <c r="L601" s="36"/>
      <c r="M601" s="36" t="str">
        <v/>
      </c>
      <c r="N601" s="27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</row>
    <row r="602" spans="1:29" ht="23.25">
      <c r="A602" s="15"/>
      <c r="B602" s="55"/>
      <c r="C602" s="66"/>
      <c r="D602" s="67"/>
      <c r="E602" s="36"/>
      <c r="F602" s="33" t="str">
        <v/>
      </c>
      <c r="G602" s="36"/>
      <c r="H602" s="36" t="str">
        <v/>
      </c>
      <c r="I602" s="36" t="str">
        <v/>
      </c>
      <c r="J602" s="36" t="str">
        <v/>
      </c>
      <c r="K602" s="36" t="str">
        <v/>
      </c>
      <c r="L602" s="36"/>
      <c r="M602" s="36" t="str">
        <v/>
      </c>
      <c r="N602" s="27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</row>
    <row r="603" spans="1:29" ht="23.25">
      <c r="A603" s="15"/>
      <c r="B603" s="55"/>
      <c r="C603" s="66"/>
      <c r="D603" s="67"/>
      <c r="E603" s="36"/>
      <c r="F603" s="33" t="str">
        <v/>
      </c>
      <c r="G603" s="36"/>
      <c r="H603" s="36" t="str">
        <v/>
      </c>
      <c r="I603" s="36" t="str">
        <v/>
      </c>
      <c r="J603" s="36" t="str">
        <v/>
      </c>
      <c r="K603" s="36" t="str">
        <v/>
      </c>
      <c r="L603" s="36"/>
      <c r="M603" s="36" t="str">
        <v/>
      </c>
      <c r="N603" s="27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</row>
    <row r="604" spans="1:29" ht="23.25">
      <c r="A604" s="15"/>
      <c r="B604" s="55"/>
      <c r="C604" s="66"/>
      <c r="D604" s="67"/>
      <c r="E604" s="36"/>
      <c r="F604" s="33" t="str">
        <v/>
      </c>
      <c r="G604" s="36"/>
      <c r="H604" s="36" t="str">
        <v/>
      </c>
      <c r="I604" s="36" t="str">
        <v/>
      </c>
      <c r="J604" s="36" t="str">
        <v/>
      </c>
      <c r="K604" s="36" t="str">
        <v/>
      </c>
      <c r="L604" s="36"/>
      <c r="M604" s="36" t="str">
        <v/>
      </c>
      <c r="N604" s="27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</row>
    <row r="605" spans="1:29" ht="23.25">
      <c r="A605" s="15"/>
      <c r="B605" s="55"/>
      <c r="C605" s="66"/>
      <c r="D605" s="67"/>
      <c r="E605" s="36"/>
      <c r="F605" s="33" t="str">
        <v/>
      </c>
      <c r="G605" s="36"/>
      <c r="H605" s="36" t="str">
        <v/>
      </c>
      <c r="I605" s="36" t="str">
        <v/>
      </c>
      <c r="J605" s="36" t="str">
        <v/>
      </c>
      <c r="K605" s="36" t="str">
        <v/>
      </c>
      <c r="L605" s="36"/>
      <c r="M605" s="36" t="str">
        <v/>
      </c>
      <c r="N605" s="27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</row>
    <row r="606" spans="1:29" ht="23.25">
      <c r="A606" s="15"/>
      <c r="B606" s="55"/>
      <c r="C606" s="66"/>
      <c r="D606" s="67"/>
      <c r="E606" s="36"/>
      <c r="F606" s="33" t="str">
        <v/>
      </c>
      <c r="G606" s="36"/>
      <c r="H606" s="36" t="str">
        <v/>
      </c>
      <c r="I606" s="36" t="str">
        <v/>
      </c>
      <c r="J606" s="36" t="str">
        <v/>
      </c>
      <c r="K606" s="36" t="str">
        <v/>
      </c>
      <c r="L606" s="36"/>
      <c r="M606" s="36" t="str">
        <v/>
      </c>
      <c r="N606" s="27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</row>
    <row r="607" spans="1:29" ht="23.25">
      <c r="A607" s="15"/>
      <c r="B607" s="55"/>
      <c r="C607" s="66"/>
      <c r="D607" s="67"/>
      <c r="E607" s="36"/>
      <c r="F607" s="33" t="str">
        <v/>
      </c>
      <c r="G607" s="36"/>
      <c r="H607" s="36" t="str">
        <v/>
      </c>
      <c r="I607" s="36" t="str">
        <v/>
      </c>
      <c r="J607" s="36" t="str">
        <v/>
      </c>
      <c r="K607" s="36" t="str">
        <v/>
      </c>
      <c r="L607" s="36"/>
      <c r="M607" s="36" t="str">
        <v/>
      </c>
      <c r="N607" s="27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</row>
    <row r="608" spans="1:29" ht="23.25">
      <c r="A608" s="15"/>
      <c r="B608" s="55"/>
      <c r="C608" s="66"/>
      <c r="D608" s="67"/>
      <c r="E608" s="36"/>
      <c r="F608" s="33" t="str">
        <v/>
      </c>
      <c r="G608" s="36"/>
      <c r="H608" s="36" t="str">
        <v/>
      </c>
      <c r="I608" s="36" t="str">
        <v/>
      </c>
      <c r="J608" s="36" t="str">
        <v/>
      </c>
      <c r="K608" s="36" t="str">
        <v/>
      </c>
      <c r="L608" s="36"/>
      <c r="M608" s="36" t="str">
        <v/>
      </c>
      <c r="N608" s="27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</row>
    <row r="609" spans="1:29" ht="23.25">
      <c r="A609" s="15"/>
      <c r="B609" s="55"/>
      <c r="C609" s="66"/>
      <c r="D609" s="67"/>
      <c r="E609" s="36"/>
      <c r="F609" s="33" t="str">
        <v/>
      </c>
      <c r="G609" s="36"/>
      <c r="H609" s="36" t="str">
        <v/>
      </c>
      <c r="I609" s="36" t="str">
        <v/>
      </c>
      <c r="J609" s="36" t="str">
        <v/>
      </c>
      <c r="K609" s="36" t="str">
        <v/>
      </c>
      <c r="L609" s="36"/>
      <c r="M609" s="36" t="str">
        <v/>
      </c>
      <c r="N609" s="27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</row>
    <row r="610" spans="1:29" ht="23.25">
      <c r="A610" s="15"/>
      <c r="B610" s="55"/>
      <c r="C610" s="66"/>
      <c r="D610" s="67"/>
      <c r="E610" s="36"/>
      <c r="F610" s="33" t="str">
        <v/>
      </c>
      <c r="G610" s="36"/>
      <c r="H610" s="36" t="str">
        <v/>
      </c>
      <c r="I610" s="36" t="str">
        <v/>
      </c>
      <c r="J610" s="36" t="str">
        <v/>
      </c>
      <c r="K610" s="36" t="str">
        <v/>
      </c>
      <c r="L610" s="36"/>
      <c r="M610" s="36" t="str">
        <v/>
      </c>
      <c r="N610" s="27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</row>
    <row r="611" spans="1:29" ht="23.25">
      <c r="A611" s="15"/>
      <c r="B611" s="55"/>
      <c r="C611" s="66"/>
      <c r="D611" s="67"/>
      <c r="E611" s="36"/>
      <c r="F611" s="33" t="str">
        <v/>
      </c>
      <c r="G611" s="36"/>
      <c r="H611" s="36" t="str">
        <v/>
      </c>
      <c r="I611" s="36" t="str">
        <v/>
      </c>
      <c r="J611" s="36" t="str">
        <v/>
      </c>
      <c r="K611" s="36" t="str">
        <v/>
      </c>
      <c r="L611" s="36"/>
      <c r="M611" s="36" t="str">
        <v/>
      </c>
      <c r="N611" s="27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</row>
    <row r="612" spans="1:29" ht="23.25">
      <c r="A612" s="15"/>
      <c r="B612" s="55"/>
      <c r="C612" s="66"/>
      <c r="D612" s="67"/>
      <c r="E612" s="36"/>
      <c r="F612" s="33" t="str">
        <v/>
      </c>
      <c r="G612" s="36"/>
      <c r="H612" s="36" t="str">
        <v/>
      </c>
      <c r="I612" s="36" t="str">
        <v/>
      </c>
      <c r="J612" s="36" t="str">
        <v/>
      </c>
      <c r="K612" s="36" t="str">
        <v/>
      </c>
      <c r="L612" s="36"/>
      <c r="M612" s="36" t="str">
        <v/>
      </c>
      <c r="N612" s="27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</row>
    <row r="613" spans="1:29" ht="23.25">
      <c r="A613" s="15"/>
      <c r="B613" s="55"/>
      <c r="C613" s="66"/>
      <c r="D613" s="67"/>
      <c r="E613" s="36"/>
      <c r="F613" s="33" t="str">
        <v/>
      </c>
      <c r="G613" s="36"/>
      <c r="H613" s="36" t="str">
        <v/>
      </c>
      <c r="I613" s="36" t="str">
        <v/>
      </c>
      <c r="J613" s="36" t="str">
        <v/>
      </c>
      <c r="K613" s="36" t="str">
        <v/>
      </c>
      <c r="L613" s="36"/>
      <c r="M613" s="36" t="str">
        <v/>
      </c>
      <c r="N613" s="27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</row>
    <row r="614" spans="1:29" ht="23.25">
      <c r="A614" s="15"/>
      <c r="B614" s="55"/>
      <c r="C614" s="66"/>
      <c r="D614" s="67"/>
      <c r="E614" s="36"/>
      <c r="F614" s="33" t="str">
        <v/>
      </c>
      <c r="G614" s="36"/>
      <c r="H614" s="36" t="str">
        <v/>
      </c>
      <c r="I614" s="36" t="str">
        <v/>
      </c>
      <c r="J614" s="36" t="str">
        <v/>
      </c>
      <c r="K614" s="36" t="str">
        <v/>
      </c>
      <c r="L614" s="36"/>
      <c r="M614" s="36" t="str">
        <v/>
      </c>
      <c r="N614" s="27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</row>
    <row r="615" spans="1:29" ht="23.25">
      <c r="A615" s="15"/>
      <c r="B615" s="55"/>
      <c r="C615" s="66"/>
      <c r="D615" s="67"/>
      <c r="E615" s="36"/>
      <c r="F615" s="33" t="str">
        <v/>
      </c>
      <c r="G615" s="36"/>
      <c r="H615" s="36" t="str">
        <v/>
      </c>
      <c r="I615" s="36" t="str">
        <v/>
      </c>
      <c r="J615" s="36" t="str">
        <v/>
      </c>
      <c r="K615" s="36" t="str">
        <v/>
      </c>
      <c r="L615" s="36"/>
      <c r="M615" s="36" t="str">
        <v/>
      </c>
      <c r="N615" s="27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</row>
    <row r="616" spans="1:29" ht="23.25">
      <c r="A616" s="15"/>
      <c r="B616" s="55"/>
      <c r="C616" s="66"/>
      <c r="D616" s="67"/>
      <c r="E616" s="36"/>
      <c r="F616" s="33" t="str">
        <v/>
      </c>
      <c r="G616" s="36"/>
      <c r="H616" s="36" t="str">
        <v/>
      </c>
      <c r="I616" s="36" t="str">
        <v/>
      </c>
      <c r="J616" s="36" t="str">
        <v/>
      </c>
      <c r="K616" s="36" t="str">
        <v/>
      </c>
      <c r="L616" s="36"/>
      <c r="M616" s="36" t="str">
        <v/>
      </c>
      <c r="N616" s="27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</row>
    <row r="617" spans="1:29" ht="23.25">
      <c r="A617" s="15"/>
      <c r="B617" s="55"/>
      <c r="C617" s="66"/>
      <c r="D617" s="67"/>
      <c r="E617" s="36"/>
      <c r="F617" s="33" t="str">
        <v/>
      </c>
      <c r="G617" s="36"/>
      <c r="H617" s="36" t="str">
        <v/>
      </c>
      <c r="I617" s="36" t="str">
        <v/>
      </c>
      <c r="J617" s="36" t="str">
        <v/>
      </c>
      <c r="K617" s="36" t="str">
        <v/>
      </c>
      <c r="L617" s="36"/>
      <c r="M617" s="36" t="str">
        <v/>
      </c>
      <c r="N617" s="27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</row>
    <row r="618" spans="1:29" ht="23.25">
      <c r="A618" s="15"/>
      <c r="B618" s="55"/>
      <c r="C618" s="66"/>
      <c r="D618" s="67"/>
      <c r="E618" s="36"/>
      <c r="F618" s="33" t="str">
        <v/>
      </c>
      <c r="G618" s="36"/>
      <c r="H618" s="36" t="str">
        <v/>
      </c>
      <c r="I618" s="36" t="str">
        <v/>
      </c>
      <c r="J618" s="36" t="str">
        <v/>
      </c>
      <c r="K618" s="36" t="str">
        <v/>
      </c>
      <c r="L618" s="36"/>
      <c r="M618" s="36" t="str">
        <v/>
      </c>
      <c r="N618" s="27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</row>
    <row r="619" spans="1:29" ht="23.25">
      <c r="A619" s="15"/>
      <c r="B619" s="55"/>
      <c r="C619" s="66"/>
      <c r="D619" s="67"/>
      <c r="E619" s="36"/>
      <c r="F619" s="33" t="str">
        <v/>
      </c>
      <c r="G619" s="36"/>
      <c r="H619" s="36" t="str">
        <v/>
      </c>
      <c r="I619" s="36" t="str">
        <v/>
      </c>
      <c r="J619" s="36" t="str">
        <v/>
      </c>
      <c r="K619" s="36" t="str">
        <v/>
      </c>
      <c r="L619" s="36"/>
      <c r="M619" s="36" t="str">
        <v/>
      </c>
      <c r="N619" s="27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</row>
    <row r="620" spans="1:29" ht="23.25">
      <c r="A620" s="15"/>
      <c r="B620" s="55"/>
      <c r="C620" s="66"/>
      <c r="D620" s="67"/>
      <c r="E620" s="36"/>
      <c r="F620" s="33" t="str">
        <v/>
      </c>
      <c r="G620" s="36"/>
      <c r="H620" s="36" t="str">
        <v/>
      </c>
      <c r="I620" s="36" t="str">
        <v/>
      </c>
      <c r="J620" s="36" t="str">
        <v/>
      </c>
      <c r="K620" s="36" t="str">
        <v/>
      </c>
      <c r="L620" s="36"/>
      <c r="M620" s="36" t="str">
        <v/>
      </c>
      <c r="N620" s="27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</row>
    <row r="621" spans="1:29" ht="23.25">
      <c r="A621" s="15"/>
      <c r="B621" s="55"/>
      <c r="C621" s="66"/>
      <c r="D621" s="67"/>
      <c r="E621" s="36"/>
      <c r="F621" s="33" t="str">
        <v/>
      </c>
      <c r="G621" s="36"/>
      <c r="H621" s="36" t="str">
        <v/>
      </c>
      <c r="I621" s="36" t="str">
        <v/>
      </c>
      <c r="J621" s="36" t="str">
        <v/>
      </c>
      <c r="K621" s="36" t="str">
        <v/>
      </c>
      <c r="L621" s="36"/>
      <c r="M621" s="36" t="str">
        <v/>
      </c>
      <c r="N621" s="27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</row>
    <row r="622" spans="1:29" ht="23.25">
      <c r="A622" s="15"/>
      <c r="B622" s="55"/>
      <c r="C622" s="66"/>
      <c r="D622" s="67"/>
      <c r="E622" s="36"/>
      <c r="F622" s="33" t="str">
        <v/>
      </c>
      <c r="G622" s="36"/>
      <c r="H622" s="36" t="str">
        <v/>
      </c>
      <c r="I622" s="36" t="str">
        <v/>
      </c>
      <c r="J622" s="36" t="str">
        <v/>
      </c>
      <c r="K622" s="36" t="str">
        <v/>
      </c>
      <c r="L622" s="36"/>
      <c r="M622" s="36" t="str">
        <v/>
      </c>
      <c r="N622" s="27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</row>
    <row r="623" spans="1:29" ht="23.25">
      <c r="A623" s="15"/>
      <c r="B623" s="55"/>
      <c r="C623" s="66"/>
      <c r="D623" s="67"/>
      <c r="E623" s="36"/>
      <c r="F623" s="33" t="str">
        <v/>
      </c>
      <c r="G623" s="36"/>
      <c r="H623" s="36" t="str">
        <v/>
      </c>
      <c r="I623" s="36" t="str">
        <v/>
      </c>
      <c r="J623" s="36" t="str">
        <v/>
      </c>
      <c r="K623" s="36" t="str">
        <v/>
      </c>
      <c r="L623" s="36"/>
      <c r="M623" s="36" t="str">
        <v/>
      </c>
      <c r="N623" s="27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</row>
    <row r="624" spans="1:29" ht="23.25">
      <c r="A624" s="15"/>
      <c r="B624" s="55"/>
      <c r="C624" s="66"/>
      <c r="D624" s="67"/>
      <c r="E624" s="36"/>
      <c r="F624" s="33" t="str">
        <v/>
      </c>
      <c r="G624" s="36"/>
      <c r="H624" s="36" t="str">
        <v/>
      </c>
      <c r="I624" s="36" t="str">
        <v/>
      </c>
      <c r="J624" s="36" t="str">
        <v/>
      </c>
      <c r="K624" s="36" t="str">
        <v/>
      </c>
      <c r="L624" s="36"/>
      <c r="M624" s="36" t="str">
        <v/>
      </c>
      <c r="N624" s="27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</row>
    <row r="625" spans="1:29" ht="23.25">
      <c r="A625" s="15"/>
      <c r="B625" s="55"/>
      <c r="C625" s="66"/>
      <c r="D625" s="67"/>
      <c r="E625" s="36"/>
      <c r="F625" s="33" t="str">
        <v/>
      </c>
      <c r="G625" s="36"/>
      <c r="H625" s="36" t="str">
        <v/>
      </c>
      <c r="I625" s="36" t="str">
        <v/>
      </c>
      <c r="J625" s="36" t="str">
        <v/>
      </c>
      <c r="K625" s="36" t="str">
        <v/>
      </c>
      <c r="L625" s="36"/>
      <c r="M625" s="36" t="str">
        <v/>
      </c>
      <c r="N625" s="27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</row>
    <row r="626" spans="1:29" ht="23.25">
      <c r="A626" s="15"/>
      <c r="B626" s="55"/>
      <c r="C626" s="66"/>
      <c r="D626" s="67"/>
      <c r="E626" s="36"/>
      <c r="F626" s="33" t="str">
        <v/>
      </c>
      <c r="G626" s="36"/>
      <c r="H626" s="36" t="str">
        <v/>
      </c>
      <c r="I626" s="36" t="str">
        <v/>
      </c>
      <c r="J626" s="36" t="str">
        <v/>
      </c>
      <c r="K626" s="36" t="str">
        <v/>
      </c>
      <c r="L626" s="36"/>
      <c r="M626" s="36" t="str">
        <v/>
      </c>
      <c r="N626" s="27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</row>
    <row r="627" spans="1:29" ht="23.25">
      <c r="A627" s="15"/>
      <c r="B627" s="55"/>
      <c r="C627" s="66"/>
      <c r="D627" s="67"/>
      <c r="E627" s="36"/>
      <c r="F627" s="33" t="str">
        <v/>
      </c>
      <c r="G627" s="36"/>
      <c r="H627" s="36" t="str">
        <v/>
      </c>
      <c r="I627" s="36" t="str">
        <v/>
      </c>
      <c r="J627" s="36" t="str">
        <v/>
      </c>
      <c r="K627" s="36" t="str">
        <v/>
      </c>
      <c r="L627" s="36"/>
      <c r="M627" s="36" t="str">
        <v/>
      </c>
      <c r="N627" s="27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</row>
    <row r="628" spans="1:29" ht="23.25">
      <c r="A628" s="15"/>
      <c r="B628" s="55"/>
      <c r="C628" s="66"/>
      <c r="D628" s="67"/>
      <c r="E628" s="36"/>
      <c r="F628" s="33" t="str">
        <v/>
      </c>
      <c r="G628" s="36"/>
      <c r="H628" s="36" t="str">
        <v/>
      </c>
      <c r="I628" s="36" t="str">
        <v/>
      </c>
      <c r="J628" s="36" t="str">
        <v/>
      </c>
      <c r="K628" s="36" t="str">
        <v/>
      </c>
      <c r="L628" s="36"/>
      <c r="M628" s="36" t="str">
        <v/>
      </c>
      <c r="N628" s="27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</row>
    <row r="629" spans="1:29" ht="23.25">
      <c r="A629" s="15"/>
      <c r="B629" s="55"/>
      <c r="C629" s="66"/>
      <c r="D629" s="67"/>
      <c r="E629" s="36"/>
      <c r="F629" s="33" t="str">
        <v/>
      </c>
      <c r="G629" s="36"/>
      <c r="H629" s="36" t="str">
        <v/>
      </c>
      <c r="I629" s="36" t="str">
        <v/>
      </c>
      <c r="J629" s="36" t="str">
        <v/>
      </c>
      <c r="K629" s="36" t="str">
        <v/>
      </c>
      <c r="L629" s="36"/>
      <c r="M629" s="36" t="str">
        <v/>
      </c>
      <c r="N629" s="27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</row>
    <row r="630" spans="1:29" ht="23.25">
      <c r="A630" s="15"/>
      <c r="B630" s="55"/>
      <c r="C630" s="66"/>
      <c r="D630" s="67"/>
      <c r="E630" s="36"/>
      <c r="F630" s="33" t="str">
        <v/>
      </c>
      <c r="G630" s="36"/>
      <c r="H630" s="36" t="str">
        <v/>
      </c>
      <c r="I630" s="36" t="str">
        <v/>
      </c>
      <c r="J630" s="36" t="str">
        <v/>
      </c>
      <c r="K630" s="36" t="str">
        <v/>
      </c>
      <c r="L630" s="36"/>
      <c r="M630" s="36" t="str">
        <v/>
      </c>
      <c r="N630" s="27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</row>
    <row r="631" spans="1:29" ht="23.25">
      <c r="A631" s="15"/>
      <c r="B631" s="55"/>
      <c r="C631" s="66"/>
      <c r="D631" s="67"/>
      <c r="E631" s="36"/>
      <c r="F631" s="33" t="str">
        <v/>
      </c>
      <c r="G631" s="36"/>
      <c r="H631" s="36" t="str">
        <v/>
      </c>
      <c r="I631" s="36" t="str">
        <v/>
      </c>
      <c r="J631" s="36" t="str">
        <v/>
      </c>
      <c r="K631" s="36" t="str">
        <v/>
      </c>
      <c r="L631" s="36"/>
      <c r="M631" s="36" t="str">
        <v/>
      </c>
      <c r="N631" s="27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</row>
    <row r="632" spans="1:29" ht="23.25">
      <c r="A632" s="15"/>
      <c r="B632" s="55"/>
      <c r="C632" s="66"/>
      <c r="D632" s="67"/>
      <c r="E632" s="36"/>
      <c r="F632" s="33" t="str">
        <v/>
      </c>
      <c r="G632" s="36"/>
      <c r="H632" s="36" t="str">
        <v/>
      </c>
      <c r="I632" s="36" t="str">
        <v/>
      </c>
      <c r="J632" s="36" t="str">
        <v/>
      </c>
      <c r="K632" s="36" t="str">
        <v/>
      </c>
      <c r="L632" s="36"/>
      <c r="M632" s="36" t="str">
        <v/>
      </c>
      <c r="N632" s="27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</row>
    <row r="633" spans="1:29" ht="23.25">
      <c r="A633" s="15"/>
      <c r="B633" s="55"/>
      <c r="C633" s="66"/>
      <c r="D633" s="67"/>
      <c r="E633" s="36"/>
      <c r="F633" s="33" t="str">
        <v/>
      </c>
      <c r="G633" s="36"/>
      <c r="H633" s="36" t="str">
        <v/>
      </c>
      <c r="I633" s="36" t="str">
        <v/>
      </c>
      <c r="J633" s="36" t="str">
        <v/>
      </c>
      <c r="K633" s="36" t="str">
        <v/>
      </c>
      <c r="L633" s="36"/>
      <c r="M633" s="36" t="str">
        <v/>
      </c>
      <c r="N633" s="27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</row>
    <row r="634" spans="1:29" ht="23.25">
      <c r="A634" s="15"/>
      <c r="B634" s="55"/>
      <c r="C634" s="66"/>
      <c r="D634" s="67"/>
      <c r="E634" s="36"/>
      <c r="F634" s="33" t="str">
        <v/>
      </c>
      <c r="G634" s="36"/>
      <c r="H634" s="36" t="str">
        <v/>
      </c>
      <c r="I634" s="36" t="str">
        <v/>
      </c>
      <c r="J634" s="36" t="str">
        <v/>
      </c>
      <c r="K634" s="36" t="str">
        <v/>
      </c>
      <c r="L634" s="36"/>
      <c r="M634" s="36" t="str">
        <v/>
      </c>
      <c r="N634" s="27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</row>
    <row r="635" spans="1:29" ht="23.25">
      <c r="A635" s="15"/>
      <c r="B635" s="55"/>
      <c r="C635" s="66"/>
      <c r="D635" s="67"/>
      <c r="E635" s="36"/>
      <c r="F635" s="33" t="str">
        <v/>
      </c>
      <c r="G635" s="36"/>
      <c r="H635" s="36" t="str">
        <v/>
      </c>
      <c r="I635" s="36" t="str">
        <v/>
      </c>
      <c r="J635" s="36" t="str">
        <v/>
      </c>
      <c r="K635" s="36" t="str">
        <v/>
      </c>
      <c r="L635" s="36"/>
      <c r="M635" s="36" t="str">
        <v/>
      </c>
      <c r="N635" s="27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</row>
    <row r="636" spans="1:29" ht="23.25">
      <c r="A636" s="15"/>
      <c r="B636" s="55"/>
      <c r="C636" s="66"/>
      <c r="D636" s="67"/>
      <c r="E636" s="36"/>
      <c r="F636" s="33" t="str">
        <v/>
      </c>
      <c r="G636" s="36"/>
      <c r="H636" s="36" t="str">
        <v/>
      </c>
      <c r="I636" s="36" t="str">
        <v/>
      </c>
      <c r="J636" s="36" t="str">
        <v/>
      </c>
      <c r="K636" s="36" t="str">
        <v/>
      </c>
      <c r="L636" s="36"/>
      <c r="M636" s="36" t="str">
        <v/>
      </c>
      <c r="N636" s="27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</row>
    <row r="637" spans="1:29" ht="23.25">
      <c r="A637" s="15"/>
      <c r="B637" s="55"/>
      <c r="C637" s="66"/>
      <c r="D637" s="67"/>
      <c r="E637" s="36"/>
      <c r="F637" s="33" t="str">
        <v/>
      </c>
      <c r="G637" s="36"/>
      <c r="H637" s="36" t="str">
        <v/>
      </c>
      <c r="I637" s="36" t="str">
        <v/>
      </c>
      <c r="J637" s="36" t="str">
        <v/>
      </c>
      <c r="K637" s="36" t="str">
        <v/>
      </c>
      <c r="L637" s="36"/>
      <c r="M637" s="36" t="str">
        <v/>
      </c>
      <c r="N637" s="27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</row>
    <row r="638" spans="1:29" ht="23.25">
      <c r="A638" s="15"/>
      <c r="B638" s="55"/>
      <c r="C638" s="66"/>
      <c r="D638" s="67"/>
      <c r="E638" s="36"/>
      <c r="F638" s="33" t="str">
        <v/>
      </c>
      <c r="G638" s="36"/>
      <c r="H638" s="36" t="str">
        <v/>
      </c>
      <c r="I638" s="36" t="str">
        <v/>
      </c>
      <c r="J638" s="36" t="str">
        <v/>
      </c>
      <c r="K638" s="36" t="str">
        <v/>
      </c>
      <c r="L638" s="36"/>
      <c r="M638" s="36" t="str">
        <v/>
      </c>
      <c r="N638" s="27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</row>
    <row r="639" spans="1:29" ht="23.25">
      <c r="A639" s="15"/>
      <c r="B639" s="55"/>
      <c r="C639" s="66"/>
      <c r="D639" s="67"/>
      <c r="E639" s="36"/>
      <c r="F639" s="33" t="str">
        <v/>
      </c>
      <c r="G639" s="36"/>
      <c r="H639" s="36" t="str">
        <v/>
      </c>
      <c r="I639" s="36" t="str">
        <v/>
      </c>
      <c r="J639" s="36" t="str">
        <v/>
      </c>
      <c r="K639" s="36" t="str">
        <v/>
      </c>
      <c r="L639" s="36"/>
      <c r="M639" s="36" t="str">
        <v/>
      </c>
      <c r="N639" s="27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</row>
    <row r="640" spans="1:29" ht="23.25">
      <c r="A640" s="15"/>
      <c r="B640" s="55"/>
      <c r="C640" s="66"/>
      <c r="D640" s="67"/>
      <c r="E640" s="36"/>
      <c r="F640" s="33" t="str">
        <v/>
      </c>
      <c r="G640" s="36"/>
      <c r="H640" s="36" t="str">
        <v/>
      </c>
      <c r="I640" s="36" t="str">
        <v/>
      </c>
      <c r="J640" s="36" t="str">
        <v/>
      </c>
      <c r="K640" s="36" t="str">
        <v/>
      </c>
      <c r="L640" s="36"/>
      <c r="M640" s="36" t="str">
        <v/>
      </c>
      <c r="N640" s="27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</row>
    <row r="641" spans="1:29" ht="23.25">
      <c r="A641" s="15"/>
      <c r="B641" s="55"/>
      <c r="C641" s="66"/>
      <c r="D641" s="67"/>
      <c r="E641" s="36"/>
      <c r="F641" s="33" t="str">
        <v/>
      </c>
      <c r="G641" s="36"/>
      <c r="H641" s="36" t="str">
        <v/>
      </c>
      <c r="I641" s="36" t="str">
        <v/>
      </c>
      <c r="J641" s="36" t="str">
        <v/>
      </c>
      <c r="K641" s="36" t="str">
        <v/>
      </c>
      <c r="L641" s="36"/>
      <c r="M641" s="36" t="str">
        <v/>
      </c>
      <c r="N641" s="27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</row>
    <row r="642" spans="1:29" ht="23.25">
      <c r="A642" s="15"/>
      <c r="B642" s="55"/>
      <c r="C642" s="66"/>
      <c r="D642" s="67"/>
      <c r="E642" s="36"/>
      <c r="F642" s="33" t="str">
        <v/>
      </c>
      <c r="G642" s="36"/>
      <c r="H642" s="36" t="str">
        <v/>
      </c>
      <c r="I642" s="36" t="str">
        <v/>
      </c>
      <c r="J642" s="36" t="str">
        <v/>
      </c>
      <c r="K642" s="36" t="str">
        <v/>
      </c>
      <c r="L642" s="36"/>
      <c r="M642" s="36" t="str">
        <v/>
      </c>
      <c r="N642" s="27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</row>
    <row r="643" spans="1:29" ht="23.25">
      <c r="A643" s="15"/>
      <c r="B643" s="55"/>
      <c r="C643" s="66"/>
      <c r="D643" s="67"/>
      <c r="E643" s="36"/>
      <c r="F643" s="33" t="str">
        <v/>
      </c>
      <c r="G643" s="36"/>
      <c r="H643" s="36" t="str">
        <v/>
      </c>
      <c r="I643" s="36" t="str">
        <v/>
      </c>
      <c r="J643" s="36" t="str">
        <v/>
      </c>
      <c r="K643" s="36" t="str">
        <v/>
      </c>
      <c r="L643" s="36"/>
      <c r="M643" s="36" t="str">
        <v/>
      </c>
      <c r="N643" s="27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</row>
    <row r="644" spans="1:29" ht="23.25">
      <c r="A644" s="15"/>
      <c r="B644" s="55"/>
      <c r="C644" s="66"/>
      <c r="D644" s="67"/>
      <c r="E644" s="36"/>
      <c r="F644" s="33" t="str">
        <v/>
      </c>
      <c r="G644" s="36"/>
      <c r="H644" s="36" t="str">
        <v/>
      </c>
      <c r="I644" s="36" t="str">
        <v/>
      </c>
      <c r="J644" s="36" t="str">
        <v/>
      </c>
      <c r="K644" s="36" t="str">
        <v/>
      </c>
      <c r="L644" s="36"/>
      <c r="M644" s="36" t="str">
        <v/>
      </c>
      <c r="N644" s="27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</row>
    <row r="645" spans="1:29" ht="23.25">
      <c r="A645" s="15"/>
      <c r="B645" s="55"/>
      <c r="C645" s="66"/>
      <c r="D645" s="67"/>
      <c r="E645" s="36"/>
      <c r="F645" s="33" t="str">
        <v/>
      </c>
      <c r="G645" s="36"/>
      <c r="H645" s="36" t="str">
        <v/>
      </c>
      <c r="I645" s="36" t="str">
        <v/>
      </c>
      <c r="J645" s="36" t="str">
        <v/>
      </c>
      <c r="K645" s="36" t="str">
        <v/>
      </c>
      <c r="L645" s="36"/>
      <c r="M645" s="36" t="str">
        <v/>
      </c>
      <c r="N645" s="27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</row>
    <row r="646" spans="1:29" ht="23.25">
      <c r="A646" s="15"/>
      <c r="B646" s="55"/>
      <c r="C646" s="66"/>
      <c r="D646" s="67"/>
      <c r="E646" s="36"/>
      <c r="F646" s="33" t="str">
        <v/>
      </c>
      <c r="G646" s="36"/>
      <c r="H646" s="36" t="str">
        <v/>
      </c>
      <c r="I646" s="36" t="str">
        <v/>
      </c>
      <c r="J646" s="36" t="str">
        <v/>
      </c>
      <c r="K646" s="36" t="str">
        <v/>
      </c>
      <c r="L646" s="36"/>
      <c r="M646" s="36" t="str">
        <v/>
      </c>
      <c r="N646" s="27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</row>
    <row r="647" spans="1:29" ht="23.25">
      <c r="A647" s="15"/>
      <c r="B647" s="55"/>
      <c r="C647" s="66"/>
      <c r="D647" s="67"/>
      <c r="E647" s="36"/>
      <c r="F647" s="33" t="str">
        <v/>
      </c>
      <c r="G647" s="36"/>
      <c r="H647" s="36" t="str">
        <v/>
      </c>
      <c r="I647" s="36" t="str">
        <v/>
      </c>
      <c r="J647" s="36" t="str">
        <v/>
      </c>
      <c r="K647" s="36" t="str">
        <v/>
      </c>
      <c r="L647" s="36"/>
      <c r="M647" s="36" t="str">
        <v/>
      </c>
      <c r="N647" s="27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</row>
    <row r="648" spans="1:29" ht="23.25">
      <c r="A648" s="15"/>
      <c r="B648" s="55"/>
      <c r="C648" s="66"/>
      <c r="D648" s="67"/>
      <c r="E648" s="36"/>
      <c r="F648" s="33" t="str">
        <v/>
      </c>
      <c r="G648" s="36"/>
      <c r="H648" s="36" t="str">
        <v/>
      </c>
      <c r="I648" s="36" t="str">
        <v/>
      </c>
      <c r="J648" s="36" t="str">
        <v/>
      </c>
      <c r="K648" s="36" t="str">
        <v/>
      </c>
      <c r="L648" s="36"/>
      <c r="M648" s="36" t="str">
        <v/>
      </c>
      <c r="N648" s="27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</row>
    <row r="649" spans="1:29" ht="23.25">
      <c r="A649" s="15"/>
      <c r="B649" s="55"/>
      <c r="C649" s="66"/>
      <c r="D649" s="67"/>
      <c r="E649" s="36"/>
      <c r="F649" s="33" t="str">
        <v/>
      </c>
      <c r="G649" s="36"/>
      <c r="H649" s="36" t="str">
        <v/>
      </c>
      <c r="I649" s="36" t="str">
        <v/>
      </c>
      <c r="J649" s="36" t="str">
        <v/>
      </c>
      <c r="K649" s="36" t="str">
        <v/>
      </c>
      <c r="L649" s="36"/>
      <c r="M649" s="36" t="str">
        <v/>
      </c>
      <c r="N649" s="27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</row>
    <row r="650" spans="1:29" ht="23.25">
      <c r="A650" s="15"/>
      <c r="B650" s="55"/>
      <c r="C650" s="66"/>
      <c r="D650" s="67"/>
      <c r="E650" s="36"/>
      <c r="F650" s="33" t="str">
        <v/>
      </c>
      <c r="G650" s="36"/>
      <c r="H650" s="36" t="str">
        <v/>
      </c>
      <c r="I650" s="36" t="str">
        <v/>
      </c>
      <c r="J650" s="36" t="str">
        <v/>
      </c>
      <c r="K650" s="36" t="str">
        <v/>
      </c>
      <c r="L650" s="36"/>
      <c r="M650" s="36" t="str">
        <v/>
      </c>
      <c r="N650" s="27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</row>
    <row r="651" spans="1:29" ht="23.25">
      <c r="A651" s="15"/>
      <c r="B651" s="55"/>
      <c r="C651" s="66"/>
      <c r="D651" s="67"/>
      <c r="E651" s="36"/>
      <c r="F651" s="33" t="str">
        <v/>
      </c>
      <c r="G651" s="36"/>
      <c r="H651" s="36" t="str">
        <v/>
      </c>
      <c r="I651" s="36" t="str">
        <v/>
      </c>
      <c r="J651" s="36" t="str">
        <v/>
      </c>
      <c r="K651" s="36" t="str">
        <v/>
      </c>
      <c r="L651" s="36"/>
      <c r="M651" s="36" t="str">
        <v/>
      </c>
      <c r="N651" s="27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</row>
    <row r="652" spans="1:29" ht="23.25">
      <c r="A652" s="15"/>
      <c r="B652" s="55"/>
      <c r="C652" s="66"/>
      <c r="D652" s="67"/>
      <c r="E652" s="36"/>
      <c r="F652" s="33" t="str">
        <v/>
      </c>
      <c r="G652" s="36"/>
      <c r="H652" s="36" t="str">
        <v/>
      </c>
      <c r="I652" s="36" t="str">
        <v/>
      </c>
      <c r="J652" s="36" t="str">
        <v/>
      </c>
      <c r="K652" s="36" t="str">
        <v/>
      </c>
      <c r="L652" s="36"/>
      <c r="M652" s="36" t="str">
        <v/>
      </c>
      <c r="N652" s="27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</row>
    <row r="653" spans="1:29" ht="23.25">
      <c r="A653" s="15"/>
      <c r="B653" s="55"/>
      <c r="C653" s="66"/>
      <c r="D653" s="67"/>
      <c r="E653" s="36"/>
      <c r="F653" s="33" t="str">
        <v/>
      </c>
      <c r="G653" s="36"/>
      <c r="H653" s="36" t="str">
        <v/>
      </c>
      <c r="I653" s="36" t="str">
        <v/>
      </c>
      <c r="J653" s="36" t="str">
        <v/>
      </c>
      <c r="K653" s="36" t="str">
        <v/>
      </c>
      <c r="L653" s="36"/>
      <c r="M653" s="36" t="str">
        <v/>
      </c>
      <c r="N653" s="27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</row>
    <row r="654" spans="1:29" ht="23.25">
      <c r="A654" s="15"/>
      <c r="B654" s="55"/>
      <c r="C654" s="66"/>
      <c r="D654" s="67"/>
      <c r="E654" s="36"/>
      <c r="F654" s="33" t="str">
        <v/>
      </c>
      <c r="G654" s="36"/>
      <c r="H654" s="36" t="str">
        <v/>
      </c>
      <c r="I654" s="36" t="str">
        <v/>
      </c>
      <c r="J654" s="36" t="str">
        <v/>
      </c>
      <c r="K654" s="36" t="str">
        <v/>
      </c>
      <c r="L654" s="36"/>
      <c r="M654" s="36" t="str">
        <v/>
      </c>
      <c r="N654" s="27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</row>
    <row r="655" spans="1:29" ht="23.25">
      <c r="A655" s="15"/>
      <c r="B655" s="55"/>
      <c r="C655" s="66"/>
      <c r="D655" s="67"/>
      <c r="E655" s="36"/>
      <c r="F655" s="33" t="str">
        <v/>
      </c>
      <c r="G655" s="36"/>
      <c r="H655" s="36" t="str">
        <v/>
      </c>
      <c r="I655" s="36" t="str">
        <v/>
      </c>
      <c r="J655" s="36" t="str">
        <v/>
      </c>
      <c r="K655" s="36" t="str">
        <v/>
      </c>
      <c r="L655" s="36"/>
      <c r="M655" s="36" t="str">
        <v/>
      </c>
      <c r="N655" s="27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</row>
    <row r="656" spans="1:29" ht="23.25">
      <c r="A656" s="15"/>
      <c r="B656" s="55"/>
      <c r="C656" s="66"/>
      <c r="D656" s="67"/>
      <c r="E656" s="36"/>
      <c r="F656" s="33" t="str">
        <v/>
      </c>
      <c r="G656" s="36"/>
      <c r="H656" s="36" t="str">
        <v/>
      </c>
      <c r="I656" s="36" t="str">
        <v/>
      </c>
      <c r="J656" s="36" t="str">
        <v/>
      </c>
      <c r="K656" s="36" t="str">
        <v/>
      </c>
      <c r="L656" s="36"/>
      <c r="M656" s="36" t="str">
        <v/>
      </c>
      <c r="N656" s="27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</row>
    <row r="657" spans="1:29" ht="23.25">
      <c r="A657" s="15"/>
      <c r="B657" s="55"/>
      <c r="C657" s="66"/>
      <c r="D657" s="67"/>
      <c r="E657" s="36"/>
      <c r="F657" s="33" t="str">
        <v/>
      </c>
      <c r="G657" s="36"/>
      <c r="H657" s="36" t="str">
        <v/>
      </c>
      <c r="I657" s="36" t="str">
        <v/>
      </c>
      <c r="J657" s="36" t="str">
        <v/>
      </c>
      <c r="K657" s="36" t="str">
        <v/>
      </c>
      <c r="L657" s="36"/>
      <c r="M657" s="36" t="str">
        <v/>
      </c>
      <c r="N657" s="27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</row>
    <row r="658" spans="1:29" ht="23.25">
      <c r="A658" s="15"/>
      <c r="B658" s="55"/>
      <c r="C658" s="66"/>
      <c r="D658" s="67"/>
      <c r="E658" s="36"/>
      <c r="F658" s="33" t="str">
        <v/>
      </c>
      <c r="G658" s="36"/>
      <c r="H658" s="36" t="str">
        <v/>
      </c>
      <c r="I658" s="36" t="str">
        <v/>
      </c>
      <c r="J658" s="36" t="str">
        <v/>
      </c>
      <c r="K658" s="36" t="str">
        <v/>
      </c>
      <c r="L658" s="36"/>
      <c r="M658" s="36" t="str">
        <v/>
      </c>
      <c r="N658" s="27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</row>
    <row r="659" spans="1:29" ht="23.25">
      <c r="A659" s="15"/>
      <c r="B659" s="55"/>
      <c r="C659" s="66"/>
      <c r="D659" s="67"/>
      <c r="E659" s="36"/>
      <c r="F659" s="33" t="str">
        <v/>
      </c>
      <c r="G659" s="36"/>
      <c r="H659" s="36" t="str">
        <v/>
      </c>
      <c r="I659" s="36" t="str">
        <v/>
      </c>
      <c r="J659" s="36" t="str">
        <v/>
      </c>
      <c r="K659" s="36" t="str">
        <v/>
      </c>
      <c r="L659" s="36"/>
      <c r="M659" s="36" t="str">
        <v/>
      </c>
      <c r="N659" s="27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</row>
    <row r="660" spans="1:29" ht="23.25">
      <c r="A660" s="15"/>
      <c r="B660" s="55"/>
      <c r="C660" s="66"/>
      <c r="D660" s="67"/>
      <c r="E660" s="36"/>
      <c r="F660" s="33" t="str">
        <v/>
      </c>
      <c r="G660" s="36"/>
      <c r="H660" s="36" t="str">
        <v/>
      </c>
      <c r="I660" s="36" t="str">
        <v/>
      </c>
      <c r="J660" s="36" t="str">
        <v/>
      </c>
      <c r="K660" s="36" t="str">
        <v/>
      </c>
      <c r="L660" s="36"/>
      <c r="M660" s="36" t="str">
        <v/>
      </c>
      <c r="N660" s="27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</row>
    <row r="661" spans="1:29" ht="23.25">
      <c r="A661" s="15"/>
      <c r="B661" s="55"/>
      <c r="C661" s="66"/>
      <c r="D661" s="67"/>
      <c r="E661" s="36"/>
      <c r="F661" s="33" t="str">
        <v/>
      </c>
      <c r="G661" s="36"/>
      <c r="H661" s="36" t="str">
        <v/>
      </c>
      <c r="I661" s="36" t="str">
        <v/>
      </c>
      <c r="J661" s="36" t="str">
        <v/>
      </c>
      <c r="K661" s="36" t="str">
        <v/>
      </c>
      <c r="L661" s="36"/>
      <c r="M661" s="36" t="str">
        <v/>
      </c>
      <c r="N661" s="27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</row>
    <row r="662" spans="1:29" ht="23.25">
      <c r="A662" s="15"/>
      <c r="B662" s="55"/>
      <c r="C662" s="66"/>
      <c r="D662" s="67"/>
      <c r="E662" s="36"/>
      <c r="F662" s="33" t="str">
        <v/>
      </c>
      <c r="G662" s="36"/>
      <c r="H662" s="36" t="str">
        <v/>
      </c>
      <c r="I662" s="36" t="str">
        <v/>
      </c>
      <c r="J662" s="36" t="str">
        <v/>
      </c>
      <c r="K662" s="36" t="str">
        <v/>
      </c>
      <c r="L662" s="36"/>
      <c r="M662" s="36" t="str">
        <v/>
      </c>
      <c r="N662" s="27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</row>
    <row r="663" spans="1:29" ht="23.25">
      <c r="A663" s="15"/>
      <c r="B663" s="55"/>
      <c r="C663" s="66"/>
      <c r="D663" s="67"/>
      <c r="E663" s="36"/>
      <c r="F663" s="33" t="str">
        <v/>
      </c>
      <c r="G663" s="36"/>
      <c r="H663" s="36" t="str">
        <v/>
      </c>
      <c r="I663" s="36" t="str">
        <v/>
      </c>
      <c r="J663" s="36" t="str">
        <v/>
      </c>
      <c r="K663" s="36" t="str">
        <v/>
      </c>
      <c r="L663" s="36"/>
      <c r="M663" s="36" t="str">
        <v/>
      </c>
      <c r="N663" s="27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</row>
    <row r="664" spans="1:29" ht="23.25">
      <c r="A664" s="15"/>
      <c r="B664" s="55"/>
      <c r="C664" s="66"/>
      <c r="D664" s="67"/>
      <c r="E664" s="36"/>
      <c r="F664" s="33" t="str">
        <v/>
      </c>
      <c r="G664" s="36"/>
      <c r="H664" s="36" t="str">
        <v/>
      </c>
      <c r="I664" s="36" t="str">
        <v/>
      </c>
      <c r="J664" s="36" t="str">
        <v/>
      </c>
      <c r="K664" s="36" t="str">
        <v/>
      </c>
      <c r="L664" s="36"/>
      <c r="M664" s="36" t="str">
        <v/>
      </c>
      <c r="N664" s="27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</row>
    <row r="665" spans="1:29" ht="23.25">
      <c r="A665" s="15"/>
      <c r="B665" s="55"/>
      <c r="C665" s="66"/>
      <c r="D665" s="67"/>
      <c r="E665" s="36"/>
      <c r="F665" s="33" t="str">
        <v/>
      </c>
      <c r="G665" s="36"/>
      <c r="H665" s="36" t="str">
        <v/>
      </c>
      <c r="I665" s="36" t="str">
        <v/>
      </c>
      <c r="J665" s="36" t="str">
        <v/>
      </c>
      <c r="K665" s="36" t="str">
        <v/>
      </c>
      <c r="L665" s="36"/>
      <c r="M665" s="36" t="str">
        <v/>
      </c>
      <c r="N665" s="27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</row>
    <row r="666" spans="1:29" ht="23.25">
      <c r="A666" s="15"/>
      <c r="B666" s="55"/>
      <c r="C666" s="66"/>
      <c r="D666" s="67"/>
      <c r="E666" s="36"/>
      <c r="F666" s="33" t="str">
        <v/>
      </c>
      <c r="G666" s="36"/>
      <c r="H666" s="36" t="str">
        <v/>
      </c>
      <c r="I666" s="36" t="str">
        <v/>
      </c>
      <c r="J666" s="36" t="str">
        <v/>
      </c>
      <c r="K666" s="36" t="str">
        <v/>
      </c>
      <c r="L666" s="36"/>
      <c r="M666" s="36" t="str">
        <v/>
      </c>
      <c r="N666" s="27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</row>
    <row r="667" spans="1:29" ht="23.25">
      <c r="A667" s="15"/>
      <c r="B667" s="55"/>
      <c r="C667" s="66"/>
      <c r="D667" s="67"/>
      <c r="E667" s="36"/>
      <c r="F667" s="33" t="str">
        <v/>
      </c>
      <c r="G667" s="36"/>
      <c r="H667" s="36" t="str">
        <v/>
      </c>
      <c r="I667" s="36" t="str">
        <v/>
      </c>
      <c r="J667" s="36" t="str">
        <v/>
      </c>
      <c r="K667" s="36" t="str">
        <v/>
      </c>
      <c r="L667" s="36"/>
      <c r="M667" s="36" t="str">
        <v/>
      </c>
      <c r="N667" s="27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</row>
    <row r="668" spans="1:29" ht="23.25">
      <c r="A668" s="15"/>
      <c r="B668" s="55"/>
      <c r="C668" s="66"/>
      <c r="D668" s="67"/>
      <c r="E668" s="36"/>
      <c r="F668" s="33" t="str">
        <v/>
      </c>
      <c r="G668" s="36"/>
      <c r="H668" s="36" t="str">
        <v/>
      </c>
      <c r="I668" s="36" t="str">
        <v/>
      </c>
      <c r="J668" s="36" t="str">
        <v/>
      </c>
      <c r="K668" s="36" t="str">
        <v/>
      </c>
      <c r="L668" s="36"/>
      <c r="M668" s="36" t="str">
        <v/>
      </c>
      <c r="N668" s="27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</row>
    <row r="669" spans="1:29" ht="23.25">
      <c r="A669" s="15"/>
      <c r="B669" s="55"/>
      <c r="C669" s="66"/>
      <c r="D669" s="67"/>
      <c r="E669" s="36"/>
      <c r="F669" s="33" t="str">
        <v/>
      </c>
      <c r="G669" s="36"/>
      <c r="H669" s="36" t="str">
        <v/>
      </c>
      <c r="I669" s="36" t="str">
        <v/>
      </c>
      <c r="J669" s="36" t="str">
        <v/>
      </c>
      <c r="K669" s="36" t="str">
        <v/>
      </c>
      <c r="L669" s="36"/>
      <c r="M669" s="36" t="str">
        <v/>
      </c>
      <c r="N669" s="27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</row>
    <row r="670" spans="1:29" ht="23.25">
      <c r="A670" s="15"/>
      <c r="B670" s="55"/>
      <c r="C670" s="66"/>
      <c r="D670" s="67"/>
      <c r="E670" s="36"/>
      <c r="F670" s="33" t="str">
        <v/>
      </c>
      <c r="G670" s="36"/>
      <c r="H670" s="36" t="str">
        <v/>
      </c>
      <c r="I670" s="36" t="str">
        <v/>
      </c>
      <c r="J670" s="36" t="str">
        <v/>
      </c>
      <c r="K670" s="36" t="str">
        <v/>
      </c>
      <c r="L670" s="36"/>
      <c r="M670" s="36" t="str">
        <v/>
      </c>
      <c r="N670" s="27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</row>
    <row r="671" spans="1:29" ht="23.25">
      <c r="A671" s="15"/>
      <c r="B671" s="55"/>
      <c r="C671" s="66"/>
      <c r="D671" s="67"/>
      <c r="E671" s="36"/>
      <c r="F671" s="33" t="str">
        <v/>
      </c>
      <c r="G671" s="36"/>
      <c r="H671" s="36" t="str">
        <v/>
      </c>
      <c r="I671" s="36" t="str">
        <v/>
      </c>
      <c r="J671" s="36" t="str">
        <v/>
      </c>
      <c r="K671" s="36" t="str">
        <v/>
      </c>
      <c r="L671" s="36"/>
      <c r="M671" s="36" t="str">
        <v/>
      </c>
      <c r="N671" s="27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</row>
    <row r="672" spans="1:29" ht="23.25">
      <c r="A672" s="15"/>
      <c r="B672" s="55"/>
      <c r="C672" s="66"/>
      <c r="D672" s="67"/>
      <c r="E672" s="36"/>
      <c r="F672" s="33" t="str">
        <v/>
      </c>
      <c r="G672" s="36"/>
      <c r="H672" s="36" t="str">
        <v/>
      </c>
      <c r="I672" s="36" t="str">
        <v/>
      </c>
      <c r="J672" s="36" t="str">
        <v/>
      </c>
      <c r="K672" s="36" t="str">
        <v/>
      </c>
      <c r="L672" s="36"/>
      <c r="M672" s="36" t="str">
        <v/>
      </c>
      <c r="N672" s="27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</row>
    <row r="673" spans="1:29" ht="23.25">
      <c r="A673" s="15"/>
      <c r="B673" s="55"/>
      <c r="C673" s="66"/>
      <c r="D673" s="67"/>
      <c r="E673" s="36"/>
      <c r="F673" s="33" t="str">
        <v/>
      </c>
      <c r="G673" s="36"/>
      <c r="H673" s="36" t="str">
        <v/>
      </c>
      <c r="I673" s="36" t="str">
        <v/>
      </c>
      <c r="J673" s="36" t="str">
        <v/>
      </c>
      <c r="K673" s="36" t="str">
        <v/>
      </c>
      <c r="L673" s="36"/>
      <c r="M673" s="36" t="str">
        <v/>
      </c>
      <c r="N673" s="27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</row>
    <row r="674" spans="1:29" ht="23.25">
      <c r="A674" s="15"/>
      <c r="B674" s="55"/>
      <c r="C674" s="66"/>
      <c r="D674" s="67"/>
      <c r="E674" s="36"/>
      <c r="F674" s="33" t="str">
        <v/>
      </c>
      <c r="G674" s="36"/>
      <c r="H674" s="36" t="str">
        <v/>
      </c>
      <c r="I674" s="36" t="str">
        <v/>
      </c>
      <c r="J674" s="36" t="str">
        <v/>
      </c>
      <c r="K674" s="36" t="str">
        <v/>
      </c>
      <c r="L674" s="36"/>
      <c r="M674" s="36" t="str">
        <v/>
      </c>
      <c r="N674" s="27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</row>
    <row r="675" spans="1:29" ht="23.25">
      <c r="A675" s="15"/>
      <c r="B675" s="55"/>
      <c r="C675" s="66"/>
      <c r="D675" s="67"/>
      <c r="E675" s="36"/>
      <c r="F675" s="33" t="str">
        <v/>
      </c>
      <c r="G675" s="36"/>
      <c r="H675" s="36" t="str">
        <v/>
      </c>
      <c r="I675" s="36" t="str">
        <v/>
      </c>
      <c r="J675" s="36" t="str">
        <v/>
      </c>
      <c r="K675" s="36" t="str">
        <v/>
      </c>
      <c r="L675" s="36"/>
      <c r="M675" s="36" t="str">
        <v/>
      </c>
      <c r="N675" s="27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</row>
    <row r="676" spans="1:29" ht="23.25">
      <c r="A676" s="15"/>
      <c r="B676" s="55"/>
      <c r="C676" s="66"/>
      <c r="D676" s="67"/>
      <c r="E676" s="36"/>
      <c r="F676" s="33" t="str">
        <v/>
      </c>
      <c r="G676" s="36"/>
      <c r="H676" s="36" t="str">
        <v/>
      </c>
      <c r="I676" s="36" t="str">
        <v/>
      </c>
      <c r="J676" s="36" t="str">
        <v/>
      </c>
      <c r="K676" s="36" t="str">
        <v/>
      </c>
      <c r="L676" s="36"/>
      <c r="M676" s="36" t="str">
        <v/>
      </c>
      <c r="N676" s="27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</row>
    <row r="677" spans="1:29" ht="23.25">
      <c r="A677" s="15"/>
      <c r="B677" s="55"/>
      <c r="C677" s="66"/>
      <c r="D677" s="67"/>
      <c r="E677" s="36"/>
      <c r="F677" s="33" t="str">
        <v/>
      </c>
      <c r="G677" s="36"/>
      <c r="H677" s="36" t="str">
        <v/>
      </c>
      <c r="I677" s="36" t="str">
        <v/>
      </c>
      <c r="J677" s="36" t="str">
        <v/>
      </c>
      <c r="K677" s="36" t="str">
        <v/>
      </c>
      <c r="L677" s="36"/>
      <c r="M677" s="36" t="str">
        <v/>
      </c>
      <c r="N677" s="27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</row>
    <row r="678" spans="1:29" ht="23.25">
      <c r="A678" s="15"/>
      <c r="B678" s="55"/>
      <c r="C678" s="66"/>
      <c r="D678" s="67"/>
      <c r="E678" s="36"/>
      <c r="F678" s="33" t="str">
        <v/>
      </c>
      <c r="G678" s="36"/>
      <c r="H678" s="36" t="str">
        <v/>
      </c>
      <c r="I678" s="36" t="str">
        <v/>
      </c>
      <c r="J678" s="36" t="str">
        <v/>
      </c>
      <c r="K678" s="36" t="str">
        <v/>
      </c>
      <c r="L678" s="36"/>
      <c r="M678" s="36" t="str">
        <v/>
      </c>
      <c r="N678" s="27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</row>
    <row r="679" spans="1:29" ht="23.25">
      <c r="A679" s="15"/>
      <c r="B679" s="55"/>
      <c r="C679" s="66"/>
      <c r="D679" s="67"/>
      <c r="E679" s="36"/>
      <c r="F679" s="33" t="str">
        <v/>
      </c>
      <c r="G679" s="36"/>
      <c r="H679" s="36" t="str">
        <v/>
      </c>
      <c r="I679" s="36" t="str">
        <v/>
      </c>
      <c r="J679" s="36" t="str">
        <v/>
      </c>
      <c r="K679" s="36" t="str">
        <v/>
      </c>
      <c r="L679" s="36"/>
      <c r="M679" s="36" t="str">
        <v/>
      </c>
      <c r="N679" s="27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</row>
    <row r="680" spans="1:29" ht="23.25">
      <c r="A680" s="15"/>
      <c r="B680" s="55"/>
      <c r="C680" s="66"/>
      <c r="D680" s="67"/>
      <c r="E680" s="36"/>
      <c r="F680" s="33" t="str">
        <v/>
      </c>
      <c r="G680" s="36"/>
      <c r="H680" s="36" t="str">
        <v/>
      </c>
      <c r="I680" s="36" t="str">
        <v/>
      </c>
      <c r="J680" s="36" t="str">
        <v/>
      </c>
      <c r="K680" s="36" t="str">
        <v/>
      </c>
      <c r="L680" s="36"/>
      <c r="M680" s="36" t="str">
        <v/>
      </c>
      <c r="N680" s="27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</row>
    <row r="681" spans="1:29" ht="23.25">
      <c r="A681" s="15"/>
      <c r="B681" s="55"/>
      <c r="C681" s="66"/>
      <c r="D681" s="67"/>
      <c r="E681" s="36"/>
      <c r="F681" s="33" t="str">
        <v/>
      </c>
      <c r="G681" s="36"/>
      <c r="H681" s="36" t="str">
        <v/>
      </c>
      <c r="I681" s="36" t="str">
        <v/>
      </c>
      <c r="J681" s="36" t="str">
        <v/>
      </c>
      <c r="K681" s="36" t="str">
        <v/>
      </c>
      <c r="L681" s="36"/>
      <c r="M681" s="36" t="str">
        <v/>
      </c>
      <c r="N681" s="27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</row>
    <row r="682" spans="1:29" ht="23.25">
      <c r="A682" s="15"/>
      <c r="B682" s="55"/>
      <c r="C682" s="66"/>
      <c r="D682" s="67"/>
      <c r="E682" s="36"/>
      <c r="F682" s="33" t="str">
        <v/>
      </c>
      <c r="G682" s="36"/>
      <c r="H682" s="36" t="str">
        <v/>
      </c>
      <c r="I682" s="36" t="str">
        <v/>
      </c>
      <c r="J682" s="36" t="str">
        <v/>
      </c>
      <c r="K682" s="36" t="str">
        <v/>
      </c>
      <c r="L682" s="36"/>
      <c r="M682" s="36" t="str">
        <v/>
      </c>
      <c r="N682" s="27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</row>
    <row r="683" spans="1:29" ht="23.25">
      <c r="A683" s="15"/>
      <c r="B683" s="55"/>
      <c r="C683" s="66"/>
      <c r="D683" s="67"/>
      <c r="E683" s="36"/>
      <c r="F683" s="33" t="str">
        <v/>
      </c>
      <c r="G683" s="36"/>
      <c r="H683" s="36" t="str">
        <v/>
      </c>
      <c r="I683" s="36" t="str">
        <v/>
      </c>
      <c r="J683" s="36" t="str">
        <v/>
      </c>
      <c r="K683" s="36" t="str">
        <v/>
      </c>
      <c r="L683" s="36"/>
      <c r="M683" s="36" t="str">
        <v/>
      </c>
      <c r="N683" s="27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</row>
    <row r="684" spans="1:29" ht="23.25">
      <c r="A684" s="15"/>
      <c r="B684" s="55"/>
      <c r="C684" s="66"/>
      <c r="D684" s="67"/>
      <c r="E684" s="36"/>
      <c r="F684" s="33" t="str">
        <v/>
      </c>
      <c r="G684" s="36"/>
      <c r="H684" s="36" t="str">
        <v/>
      </c>
      <c r="I684" s="36" t="str">
        <v/>
      </c>
      <c r="J684" s="36" t="str">
        <v/>
      </c>
      <c r="K684" s="36" t="str">
        <v/>
      </c>
      <c r="L684" s="36"/>
      <c r="M684" s="36" t="str">
        <v/>
      </c>
      <c r="N684" s="27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</row>
    <row r="685" spans="1:29" ht="23.25">
      <c r="A685" s="15"/>
      <c r="B685" s="55"/>
      <c r="C685" s="66"/>
      <c r="D685" s="67"/>
      <c r="E685" s="36"/>
      <c r="F685" s="33" t="str">
        <v/>
      </c>
      <c r="G685" s="36"/>
      <c r="H685" s="36" t="str">
        <v/>
      </c>
      <c r="I685" s="36" t="str">
        <v/>
      </c>
      <c r="J685" s="36" t="str">
        <v/>
      </c>
      <c r="K685" s="36" t="str">
        <v/>
      </c>
      <c r="L685" s="36"/>
      <c r="M685" s="36" t="str">
        <v/>
      </c>
      <c r="N685" s="27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</row>
    <row r="686" spans="1:29" ht="23.25">
      <c r="A686" s="15"/>
      <c r="B686" s="55"/>
      <c r="C686" s="66"/>
      <c r="D686" s="67"/>
      <c r="E686" s="36"/>
      <c r="F686" s="33" t="str">
        <v/>
      </c>
      <c r="G686" s="36"/>
      <c r="H686" s="36" t="str">
        <v/>
      </c>
      <c r="I686" s="36" t="str">
        <v/>
      </c>
      <c r="J686" s="36" t="str">
        <v/>
      </c>
      <c r="K686" s="36" t="str">
        <v/>
      </c>
      <c r="L686" s="36"/>
      <c r="M686" s="36" t="str">
        <v/>
      </c>
      <c r="N686" s="27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</row>
    <row r="687" spans="1:29" ht="23.25">
      <c r="A687" s="15"/>
      <c r="B687" s="55"/>
      <c r="C687" s="66"/>
      <c r="D687" s="67"/>
      <c r="E687" s="36"/>
      <c r="F687" s="33" t="str">
        <v/>
      </c>
      <c r="G687" s="36"/>
      <c r="H687" s="36" t="str">
        <v/>
      </c>
      <c r="I687" s="36" t="str">
        <v/>
      </c>
      <c r="J687" s="36" t="str">
        <v/>
      </c>
      <c r="K687" s="36" t="str">
        <v/>
      </c>
      <c r="L687" s="36"/>
      <c r="M687" s="36" t="str">
        <v/>
      </c>
      <c r="N687" s="27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</row>
    <row r="688" spans="1:29" ht="23.25">
      <c r="A688" s="15"/>
      <c r="B688" s="55"/>
      <c r="C688" s="66"/>
      <c r="D688" s="67"/>
      <c r="E688" s="36"/>
      <c r="F688" s="33" t="str">
        <v/>
      </c>
      <c r="G688" s="36"/>
      <c r="H688" s="36" t="str">
        <v/>
      </c>
      <c r="I688" s="36" t="str">
        <v/>
      </c>
      <c r="J688" s="36" t="str">
        <v/>
      </c>
      <c r="K688" s="36" t="str">
        <v/>
      </c>
      <c r="L688" s="36"/>
      <c r="M688" s="36" t="str">
        <v/>
      </c>
      <c r="N688" s="27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</row>
    <row r="689" spans="1:29" ht="23.25">
      <c r="A689" s="15"/>
      <c r="B689" s="55"/>
      <c r="C689" s="66"/>
      <c r="D689" s="67"/>
      <c r="E689" s="36"/>
      <c r="F689" s="33" t="str">
        <v/>
      </c>
      <c r="G689" s="36"/>
      <c r="H689" s="36" t="str">
        <v/>
      </c>
      <c r="I689" s="36" t="str">
        <v/>
      </c>
      <c r="J689" s="36" t="str">
        <v/>
      </c>
      <c r="K689" s="36" t="str">
        <v/>
      </c>
      <c r="L689" s="36"/>
      <c r="M689" s="36" t="str">
        <v/>
      </c>
      <c r="N689" s="27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</row>
    <row r="690" spans="1:29" ht="23.25">
      <c r="A690" s="15"/>
      <c r="B690" s="55"/>
      <c r="C690" s="66"/>
      <c r="D690" s="67"/>
      <c r="E690" s="36"/>
      <c r="F690" s="33" t="str">
        <v/>
      </c>
      <c r="G690" s="36"/>
      <c r="H690" s="36" t="str">
        <v/>
      </c>
      <c r="I690" s="36" t="str">
        <v/>
      </c>
      <c r="J690" s="36" t="str">
        <v/>
      </c>
      <c r="K690" s="36" t="str">
        <v/>
      </c>
      <c r="L690" s="36"/>
      <c r="M690" s="36" t="str">
        <v/>
      </c>
      <c r="N690" s="27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</row>
    <row r="691" spans="1:29" ht="23.25">
      <c r="A691" s="15"/>
      <c r="B691" s="55"/>
      <c r="C691" s="66"/>
      <c r="D691" s="67"/>
      <c r="E691" s="36"/>
      <c r="F691" s="33" t="str">
        <v/>
      </c>
      <c r="G691" s="36"/>
      <c r="H691" s="36" t="str">
        <v/>
      </c>
      <c r="I691" s="36" t="str">
        <v/>
      </c>
      <c r="J691" s="36" t="str">
        <v/>
      </c>
      <c r="K691" s="36" t="str">
        <v/>
      </c>
      <c r="L691" s="36"/>
      <c r="M691" s="36" t="str">
        <v/>
      </c>
      <c r="N691" s="27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</row>
    <row r="692" spans="1:29" ht="23.25">
      <c r="A692" s="15"/>
      <c r="B692" s="55"/>
      <c r="C692" s="66"/>
      <c r="D692" s="67"/>
      <c r="E692" s="36"/>
      <c r="F692" s="33" t="str">
        <v/>
      </c>
      <c r="G692" s="36"/>
      <c r="H692" s="36" t="str">
        <v/>
      </c>
      <c r="I692" s="36" t="str">
        <v/>
      </c>
      <c r="J692" s="36" t="str">
        <v/>
      </c>
      <c r="K692" s="36" t="str">
        <v/>
      </c>
      <c r="L692" s="36"/>
      <c r="M692" s="36" t="str">
        <v/>
      </c>
      <c r="N692" s="27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</row>
    <row r="693" spans="1:29" ht="23.25">
      <c r="A693" s="15"/>
      <c r="B693" s="55"/>
      <c r="C693" s="66"/>
      <c r="D693" s="67"/>
      <c r="E693" s="36"/>
      <c r="F693" s="33" t="str">
        <v/>
      </c>
      <c r="G693" s="36"/>
      <c r="H693" s="36" t="str">
        <v/>
      </c>
      <c r="I693" s="36" t="str">
        <v/>
      </c>
      <c r="J693" s="36" t="str">
        <v/>
      </c>
      <c r="K693" s="36" t="str">
        <v/>
      </c>
      <c r="L693" s="36"/>
      <c r="M693" s="36" t="str">
        <v/>
      </c>
      <c r="N693" s="27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</row>
    <row r="694" spans="1:29" ht="23.25">
      <c r="A694" s="15"/>
      <c r="B694" s="55"/>
      <c r="C694" s="66"/>
      <c r="D694" s="67"/>
      <c r="E694" s="36"/>
      <c r="F694" s="33" t="str">
        <v/>
      </c>
      <c r="G694" s="36"/>
      <c r="H694" s="36" t="str">
        <v/>
      </c>
      <c r="I694" s="36" t="str">
        <v/>
      </c>
      <c r="J694" s="36" t="str">
        <v/>
      </c>
      <c r="K694" s="36" t="str">
        <v/>
      </c>
      <c r="L694" s="36"/>
      <c r="M694" s="36" t="str">
        <v/>
      </c>
      <c r="N694" s="27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</row>
    <row r="695" spans="1:29" ht="23.25">
      <c r="A695" s="15"/>
      <c r="B695" s="55"/>
      <c r="C695" s="66"/>
      <c r="D695" s="67"/>
      <c r="E695" s="36"/>
      <c r="F695" s="33" t="str">
        <v/>
      </c>
      <c r="G695" s="36"/>
      <c r="H695" s="36" t="str">
        <v/>
      </c>
      <c r="I695" s="36" t="str">
        <v/>
      </c>
      <c r="J695" s="36" t="str">
        <v/>
      </c>
      <c r="K695" s="36" t="str">
        <v/>
      </c>
      <c r="L695" s="36"/>
      <c r="M695" s="36" t="str">
        <v/>
      </c>
      <c r="N695" s="27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</row>
    <row r="696" spans="1:29" ht="23.25">
      <c r="A696" s="15"/>
      <c r="B696" s="55"/>
      <c r="C696" s="66"/>
      <c r="D696" s="67"/>
      <c r="E696" s="36"/>
      <c r="F696" s="33" t="str">
        <v/>
      </c>
      <c r="G696" s="36"/>
      <c r="H696" s="36" t="str">
        <v/>
      </c>
      <c r="I696" s="36" t="str">
        <v/>
      </c>
      <c r="J696" s="36" t="str">
        <v/>
      </c>
      <c r="K696" s="36" t="str">
        <v/>
      </c>
      <c r="L696" s="36"/>
      <c r="M696" s="36" t="str">
        <v/>
      </c>
      <c r="N696" s="27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</row>
    <row r="697" spans="1:29" ht="23.25">
      <c r="A697" s="15"/>
      <c r="B697" s="55"/>
      <c r="C697" s="66"/>
      <c r="D697" s="67"/>
      <c r="E697" s="36"/>
      <c r="F697" s="33" t="str">
        <v/>
      </c>
      <c r="G697" s="36"/>
      <c r="H697" s="36" t="str">
        <v/>
      </c>
      <c r="I697" s="36" t="str">
        <v/>
      </c>
      <c r="J697" s="36" t="str">
        <v/>
      </c>
      <c r="K697" s="36" t="str">
        <v/>
      </c>
      <c r="L697" s="36"/>
      <c r="M697" s="36" t="str">
        <v/>
      </c>
      <c r="N697" s="27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</row>
    <row r="698" spans="1:29" ht="23.25">
      <c r="A698" s="15"/>
      <c r="B698" s="55"/>
      <c r="C698" s="66"/>
      <c r="D698" s="67"/>
      <c r="E698" s="36"/>
      <c r="F698" s="33" t="str">
        <v/>
      </c>
      <c r="G698" s="36"/>
      <c r="H698" s="36" t="str">
        <v/>
      </c>
      <c r="I698" s="36" t="str">
        <v/>
      </c>
      <c r="J698" s="36" t="str">
        <v/>
      </c>
      <c r="K698" s="36" t="str">
        <v/>
      </c>
      <c r="L698" s="36"/>
      <c r="M698" s="36" t="str">
        <v/>
      </c>
      <c r="N698" s="27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</row>
    <row r="699" spans="1:29" ht="23.25">
      <c r="A699" s="15"/>
      <c r="B699" s="55"/>
      <c r="C699" s="66"/>
      <c r="D699" s="67"/>
      <c r="E699" s="36"/>
      <c r="F699" s="33" t="str">
        <v/>
      </c>
      <c r="G699" s="36"/>
      <c r="H699" s="36" t="str">
        <v/>
      </c>
      <c r="I699" s="36" t="str">
        <v/>
      </c>
      <c r="J699" s="36" t="str">
        <v/>
      </c>
      <c r="K699" s="36" t="str">
        <v/>
      </c>
      <c r="L699" s="36"/>
      <c r="M699" s="36" t="str">
        <v/>
      </c>
      <c r="N699" s="27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</row>
    <row r="700" spans="1:29" ht="23.25">
      <c r="A700" s="15"/>
      <c r="B700" s="55"/>
      <c r="C700" s="66"/>
      <c r="D700" s="67"/>
      <c r="E700" s="36"/>
      <c r="F700" s="33" t="str">
        <v/>
      </c>
      <c r="G700" s="36"/>
      <c r="H700" s="36" t="str">
        <v/>
      </c>
      <c r="I700" s="36" t="str">
        <v/>
      </c>
      <c r="J700" s="36" t="str">
        <v/>
      </c>
      <c r="K700" s="36" t="str">
        <v/>
      </c>
      <c r="L700" s="36"/>
      <c r="M700" s="36" t="str">
        <v/>
      </c>
      <c r="N700" s="27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</row>
    <row r="701" spans="1:29" ht="23.25">
      <c r="A701" s="15"/>
      <c r="B701" s="55"/>
      <c r="C701" s="66"/>
      <c r="D701" s="67"/>
      <c r="E701" s="36"/>
      <c r="F701" s="33" t="str">
        <v/>
      </c>
      <c r="G701" s="36"/>
      <c r="H701" s="36" t="str">
        <v/>
      </c>
      <c r="I701" s="36" t="str">
        <v/>
      </c>
      <c r="J701" s="36" t="str">
        <v/>
      </c>
      <c r="K701" s="36" t="str">
        <v/>
      </c>
      <c r="L701" s="36"/>
      <c r="M701" s="36" t="str">
        <v/>
      </c>
      <c r="N701" s="27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</row>
    <row r="702" spans="1:29" ht="23.25">
      <c r="A702" s="15"/>
      <c r="B702" s="55"/>
      <c r="C702" s="66"/>
      <c r="D702" s="67"/>
      <c r="E702" s="36"/>
      <c r="F702" s="33" t="str">
        <v/>
      </c>
      <c r="G702" s="36"/>
      <c r="H702" s="36" t="str">
        <v/>
      </c>
      <c r="I702" s="36" t="str">
        <v/>
      </c>
      <c r="J702" s="36" t="str">
        <v/>
      </c>
      <c r="K702" s="36" t="str">
        <v/>
      </c>
      <c r="L702" s="36"/>
      <c r="M702" s="36" t="str">
        <v/>
      </c>
      <c r="N702" s="27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</row>
    <row r="703" spans="1:29" ht="23.25">
      <c r="A703" s="15"/>
      <c r="B703" s="55"/>
      <c r="C703" s="66"/>
      <c r="D703" s="67"/>
      <c r="E703" s="36"/>
      <c r="F703" s="33" t="str">
        <v/>
      </c>
      <c r="G703" s="36"/>
      <c r="H703" s="36" t="str">
        <v/>
      </c>
      <c r="I703" s="36" t="str">
        <v/>
      </c>
      <c r="J703" s="36" t="str">
        <v/>
      </c>
      <c r="K703" s="36" t="str">
        <v/>
      </c>
      <c r="L703" s="36"/>
      <c r="M703" s="36" t="str">
        <v/>
      </c>
      <c r="N703" s="27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</row>
    <row r="704" spans="1:29" ht="23.25">
      <c r="A704" s="15"/>
      <c r="B704" s="55"/>
      <c r="C704" s="66"/>
      <c r="D704" s="67"/>
      <c r="E704" s="36"/>
      <c r="F704" s="33" t="str">
        <v/>
      </c>
      <c r="G704" s="36"/>
      <c r="H704" s="36" t="str">
        <v/>
      </c>
      <c r="I704" s="36" t="str">
        <v/>
      </c>
      <c r="J704" s="36" t="str">
        <v/>
      </c>
      <c r="K704" s="36" t="str">
        <v/>
      </c>
      <c r="L704" s="36"/>
      <c r="M704" s="36" t="str">
        <v/>
      </c>
      <c r="N704" s="27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</row>
    <row r="705" spans="1:29" ht="23.25">
      <c r="A705" s="15"/>
      <c r="B705" s="55"/>
      <c r="C705" s="66"/>
      <c r="D705" s="67"/>
      <c r="E705" s="36"/>
      <c r="F705" s="33" t="str">
        <v/>
      </c>
      <c r="G705" s="36"/>
      <c r="H705" s="36" t="str">
        <v/>
      </c>
      <c r="I705" s="36" t="str">
        <v/>
      </c>
      <c r="J705" s="36" t="str">
        <v/>
      </c>
      <c r="K705" s="36" t="str">
        <v/>
      </c>
      <c r="L705" s="36"/>
      <c r="M705" s="36" t="str">
        <v/>
      </c>
      <c r="N705" s="27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</row>
    <row r="706" spans="1:29" ht="23.25">
      <c r="A706" s="15"/>
      <c r="B706" s="55"/>
      <c r="C706" s="66"/>
      <c r="D706" s="67"/>
      <c r="E706" s="36"/>
      <c r="F706" s="33" t="str">
        <v/>
      </c>
      <c r="G706" s="36"/>
      <c r="H706" s="36" t="str">
        <v/>
      </c>
      <c r="I706" s="36" t="str">
        <v/>
      </c>
      <c r="J706" s="36" t="str">
        <v/>
      </c>
      <c r="K706" s="36" t="str">
        <v/>
      </c>
      <c r="L706" s="36"/>
      <c r="M706" s="36" t="str">
        <v/>
      </c>
      <c r="N706" s="27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</row>
    <row r="707" spans="1:29" ht="23.25">
      <c r="A707" s="15"/>
      <c r="B707" s="55"/>
      <c r="C707" s="66"/>
      <c r="D707" s="67"/>
      <c r="E707" s="36"/>
      <c r="F707" s="33" t="str">
        <v/>
      </c>
      <c r="G707" s="36"/>
      <c r="H707" s="36" t="str">
        <v/>
      </c>
      <c r="I707" s="36" t="str">
        <v/>
      </c>
      <c r="J707" s="36" t="str">
        <v/>
      </c>
      <c r="K707" s="36" t="str">
        <v/>
      </c>
      <c r="L707" s="36"/>
      <c r="M707" s="36" t="str">
        <v/>
      </c>
      <c r="N707" s="27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</row>
    <row r="708" spans="1:29" ht="23.25">
      <c r="A708" s="15"/>
      <c r="B708" s="55"/>
      <c r="C708" s="66"/>
      <c r="D708" s="67"/>
      <c r="E708" s="36"/>
      <c r="F708" s="33" t="str">
        <v/>
      </c>
      <c r="G708" s="36"/>
      <c r="H708" s="36" t="str">
        <v/>
      </c>
      <c r="I708" s="36" t="str">
        <v/>
      </c>
      <c r="J708" s="36" t="str">
        <v/>
      </c>
      <c r="K708" s="36" t="str">
        <v/>
      </c>
      <c r="L708" s="36"/>
      <c r="M708" s="36" t="str">
        <v/>
      </c>
      <c r="N708" s="27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</row>
    <row r="709" spans="1:29" ht="23.25">
      <c r="A709" s="15"/>
      <c r="B709" s="55"/>
      <c r="C709" s="66"/>
      <c r="D709" s="67"/>
      <c r="E709" s="36"/>
      <c r="F709" s="33" t="str">
        <v/>
      </c>
      <c r="G709" s="36"/>
      <c r="H709" s="36" t="str">
        <v/>
      </c>
      <c r="I709" s="36" t="str">
        <v/>
      </c>
      <c r="J709" s="36" t="str">
        <v/>
      </c>
      <c r="K709" s="36" t="str">
        <v/>
      </c>
      <c r="L709" s="36"/>
      <c r="M709" s="36" t="str">
        <v/>
      </c>
      <c r="N709" s="27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</row>
    <row r="710" spans="1:29" ht="23.25">
      <c r="A710" s="15"/>
      <c r="B710" s="55"/>
      <c r="C710" s="66"/>
      <c r="D710" s="67"/>
      <c r="E710" s="36"/>
      <c r="F710" s="33" t="str">
        <v/>
      </c>
      <c r="G710" s="36"/>
      <c r="H710" s="36" t="str">
        <v/>
      </c>
      <c r="I710" s="36" t="str">
        <v/>
      </c>
      <c r="J710" s="36" t="str">
        <v/>
      </c>
      <c r="K710" s="36" t="str">
        <v/>
      </c>
      <c r="L710" s="36"/>
      <c r="M710" s="36" t="str">
        <v/>
      </c>
      <c r="N710" s="27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</row>
    <row r="711" spans="1:29" ht="23.25">
      <c r="A711" s="15"/>
      <c r="B711" s="55"/>
      <c r="C711" s="66"/>
      <c r="D711" s="67"/>
      <c r="E711" s="36"/>
      <c r="F711" s="33" t="str">
        <v/>
      </c>
      <c r="G711" s="36"/>
      <c r="H711" s="36" t="str">
        <v/>
      </c>
      <c r="I711" s="36" t="str">
        <v/>
      </c>
      <c r="J711" s="36" t="str">
        <v/>
      </c>
      <c r="K711" s="36" t="str">
        <v/>
      </c>
      <c r="L711" s="36"/>
      <c r="M711" s="36" t="str">
        <v/>
      </c>
      <c r="N711" s="27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</row>
    <row r="712" spans="1:29" ht="23.25">
      <c r="A712" s="15"/>
      <c r="B712" s="55"/>
      <c r="C712" s="66"/>
      <c r="D712" s="67"/>
      <c r="E712" s="36"/>
      <c r="F712" s="33" t="str">
        <v/>
      </c>
      <c r="G712" s="36"/>
      <c r="H712" s="36" t="str">
        <v/>
      </c>
      <c r="I712" s="36" t="str">
        <v/>
      </c>
      <c r="J712" s="36" t="str">
        <v/>
      </c>
      <c r="K712" s="36" t="str">
        <v/>
      </c>
      <c r="L712" s="36"/>
      <c r="M712" s="36" t="str">
        <v/>
      </c>
      <c r="N712" s="27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</row>
    <row r="713" spans="1:29" ht="23.25">
      <c r="A713" s="15"/>
      <c r="B713" s="55"/>
      <c r="C713" s="66"/>
      <c r="D713" s="67"/>
      <c r="E713" s="36"/>
      <c r="F713" s="33" t="str">
        <v/>
      </c>
      <c r="G713" s="36"/>
      <c r="H713" s="36" t="str">
        <v/>
      </c>
      <c r="I713" s="36" t="str">
        <v/>
      </c>
      <c r="J713" s="36" t="str">
        <v/>
      </c>
      <c r="K713" s="36" t="str">
        <v/>
      </c>
      <c r="L713" s="36"/>
      <c r="M713" s="36" t="str">
        <v/>
      </c>
      <c r="N713" s="27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</row>
    <row r="714" spans="1:29" ht="23.25">
      <c r="A714" s="15"/>
      <c r="B714" s="55"/>
      <c r="C714" s="66"/>
      <c r="D714" s="67"/>
      <c r="E714" s="36"/>
      <c r="F714" s="33" t="str">
        <v/>
      </c>
      <c r="G714" s="36"/>
      <c r="H714" s="36" t="str">
        <v/>
      </c>
      <c r="I714" s="36" t="str">
        <v/>
      </c>
      <c r="J714" s="36" t="str">
        <v/>
      </c>
      <c r="K714" s="36" t="str">
        <v/>
      </c>
      <c r="L714" s="36"/>
      <c r="M714" s="36" t="str">
        <v/>
      </c>
      <c r="N714" s="27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</row>
    <row r="715" spans="1:29" ht="23.25">
      <c r="A715" s="15"/>
      <c r="B715" s="55"/>
      <c r="C715" s="66"/>
      <c r="D715" s="67"/>
      <c r="E715" s="36"/>
      <c r="F715" s="33" t="str">
        <v/>
      </c>
      <c r="G715" s="36"/>
      <c r="H715" s="36" t="str">
        <v/>
      </c>
      <c r="I715" s="36" t="str">
        <v/>
      </c>
      <c r="J715" s="36" t="str">
        <v/>
      </c>
      <c r="K715" s="36" t="str">
        <v/>
      </c>
      <c r="L715" s="36"/>
      <c r="M715" s="36" t="str">
        <v/>
      </c>
      <c r="N715" s="27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</row>
    <row r="716" spans="1:29" ht="23.25">
      <c r="A716" s="15"/>
      <c r="B716" s="55"/>
      <c r="C716" s="66"/>
      <c r="D716" s="67"/>
      <c r="E716" s="36"/>
      <c r="F716" s="33" t="str">
        <v/>
      </c>
      <c r="G716" s="36"/>
      <c r="H716" s="36" t="str">
        <v/>
      </c>
      <c r="I716" s="36" t="str">
        <v/>
      </c>
      <c r="J716" s="36" t="str">
        <v/>
      </c>
      <c r="K716" s="36" t="str">
        <v/>
      </c>
      <c r="L716" s="36"/>
      <c r="M716" s="36" t="str">
        <v/>
      </c>
      <c r="N716" s="27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</row>
    <row r="717" spans="1:29" ht="23.25">
      <c r="A717" s="15"/>
      <c r="B717" s="55"/>
      <c r="C717" s="66"/>
      <c r="D717" s="67"/>
      <c r="E717" s="36"/>
      <c r="F717" s="33" t="str">
        <v/>
      </c>
      <c r="G717" s="36"/>
      <c r="H717" s="36" t="str">
        <v/>
      </c>
      <c r="I717" s="36" t="str">
        <v/>
      </c>
      <c r="J717" s="36" t="str">
        <v/>
      </c>
      <c r="K717" s="36" t="str">
        <v/>
      </c>
      <c r="L717" s="36"/>
      <c r="M717" s="36" t="str">
        <v/>
      </c>
      <c r="N717" s="27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</row>
    <row r="718" spans="1:29" ht="23.25">
      <c r="A718" s="15"/>
      <c r="B718" s="55"/>
      <c r="C718" s="66"/>
      <c r="D718" s="67"/>
      <c r="E718" s="36"/>
      <c r="F718" s="33" t="str">
        <v/>
      </c>
      <c r="G718" s="36"/>
      <c r="H718" s="36" t="str">
        <v/>
      </c>
      <c r="I718" s="36" t="str">
        <v/>
      </c>
      <c r="J718" s="36" t="str">
        <v/>
      </c>
      <c r="K718" s="36" t="str">
        <v/>
      </c>
      <c r="L718" s="36"/>
      <c r="M718" s="36" t="str">
        <v/>
      </c>
      <c r="N718" s="27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</row>
    <row r="719" spans="1:29" ht="23.25">
      <c r="A719" s="15"/>
      <c r="B719" s="55"/>
      <c r="C719" s="66"/>
      <c r="D719" s="67"/>
      <c r="E719" s="36"/>
      <c r="F719" s="33" t="str">
        <v/>
      </c>
      <c r="G719" s="36"/>
      <c r="H719" s="36" t="str">
        <v/>
      </c>
      <c r="I719" s="36" t="str">
        <v/>
      </c>
      <c r="J719" s="36" t="str">
        <v/>
      </c>
      <c r="K719" s="36" t="str">
        <v/>
      </c>
      <c r="L719" s="36"/>
      <c r="M719" s="36" t="str">
        <v/>
      </c>
      <c r="N719" s="27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</row>
    <row r="720" spans="1:29" ht="23.25">
      <c r="A720" s="15"/>
      <c r="B720" s="55"/>
      <c r="C720" s="66"/>
      <c r="D720" s="67"/>
      <c r="E720" s="36"/>
      <c r="F720" s="33" t="str">
        <v/>
      </c>
      <c r="G720" s="36"/>
      <c r="H720" s="36" t="str">
        <v/>
      </c>
      <c r="I720" s="36" t="str">
        <v/>
      </c>
      <c r="J720" s="36" t="str">
        <v/>
      </c>
      <c r="K720" s="36" t="str">
        <v/>
      </c>
      <c r="L720" s="36"/>
      <c r="M720" s="36" t="str">
        <v/>
      </c>
      <c r="N720" s="27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</row>
    <row r="721" spans="1:29" ht="23.25">
      <c r="A721" s="15"/>
      <c r="B721" s="55"/>
      <c r="C721" s="66"/>
      <c r="D721" s="67"/>
      <c r="E721" s="36"/>
      <c r="F721" s="33" t="str">
        <v/>
      </c>
      <c r="G721" s="36"/>
      <c r="H721" s="36" t="str">
        <v/>
      </c>
      <c r="I721" s="36" t="str">
        <v/>
      </c>
      <c r="J721" s="36" t="str">
        <v/>
      </c>
      <c r="K721" s="36" t="str">
        <v/>
      </c>
      <c r="L721" s="36"/>
      <c r="M721" s="36" t="str">
        <v/>
      </c>
      <c r="N721" s="27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</row>
    <row r="722" spans="1:29" ht="23.25">
      <c r="A722" s="15"/>
      <c r="B722" s="55"/>
      <c r="C722" s="66"/>
      <c r="D722" s="67"/>
      <c r="E722" s="36"/>
      <c r="F722" s="33" t="str">
        <v/>
      </c>
      <c r="G722" s="36"/>
      <c r="H722" s="36" t="str">
        <v/>
      </c>
      <c r="I722" s="36" t="str">
        <v/>
      </c>
      <c r="J722" s="36" t="str">
        <v/>
      </c>
      <c r="K722" s="36" t="str">
        <v/>
      </c>
      <c r="L722" s="36"/>
      <c r="M722" s="36" t="str">
        <v/>
      </c>
      <c r="N722" s="27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</row>
    <row r="723" spans="1:29" ht="23.25">
      <c r="A723" s="15"/>
      <c r="B723" s="55"/>
      <c r="C723" s="66"/>
      <c r="D723" s="67"/>
      <c r="E723" s="36"/>
      <c r="F723" s="33" t="str">
        <v/>
      </c>
      <c r="G723" s="36"/>
      <c r="H723" s="36" t="str">
        <v/>
      </c>
      <c r="I723" s="36" t="str">
        <v/>
      </c>
      <c r="J723" s="36" t="str">
        <v/>
      </c>
      <c r="K723" s="36" t="str">
        <v/>
      </c>
      <c r="L723" s="36"/>
      <c r="M723" s="36" t="str">
        <v/>
      </c>
      <c r="N723" s="27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</row>
    <row r="724" spans="1:29" ht="23.25">
      <c r="A724" s="15"/>
      <c r="B724" s="55"/>
      <c r="C724" s="66"/>
      <c r="D724" s="67"/>
      <c r="E724" s="36"/>
      <c r="F724" s="33" t="str">
        <v/>
      </c>
      <c r="G724" s="36"/>
      <c r="H724" s="36" t="str">
        <v/>
      </c>
      <c r="I724" s="36" t="str">
        <v/>
      </c>
      <c r="J724" s="36" t="str">
        <v/>
      </c>
      <c r="K724" s="36" t="str">
        <v/>
      </c>
      <c r="L724" s="36"/>
      <c r="M724" s="36" t="str">
        <v/>
      </c>
      <c r="N724" s="27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</row>
    <row r="725" spans="1:29" ht="23.25">
      <c r="A725" s="15"/>
      <c r="B725" s="55"/>
      <c r="C725" s="66"/>
      <c r="D725" s="67"/>
      <c r="E725" s="36"/>
      <c r="F725" s="33" t="str">
        <v/>
      </c>
      <c r="G725" s="36"/>
      <c r="H725" s="36" t="str">
        <v/>
      </c>
      <c r="I725" s="36" t="str">
        <v/>
      </c>
      <c r="J725" s="36" t="str">
        <v/>
      </c>
      <c r="K725" s="36" t="str">
        <v/>
      </c>
      <c r="L725" s="36"/>
      <c r="M725" s="36" t="str">
        <v/>
      </c>
      <c r="N725" s="27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</row>
    <row r="726" spans="1:29" ht="23.25">
      <c r="A726" s="15"/>
      <c r="B726" s="55"/>
      <c r="C726" s="66"/>
      <c r="D726" s="67"/>
      <c r="E726" s="36"/>
      <c r="F726" s="33" t="str">
        <v/>
      </c>
      <c r="G726" s="36"/>
      <c r="H726" s="36" t="str">
        <v/>
      </c>
      <c r="I726" s="36" t="str">
        <v/>
      </c>
      <c r="J726" s="36" t="str">
        <v/>
      </c>
      <c r="K726" s="36" t="str">
        <v/>
      </c>
      <c r="L726" s="36"/>
      <c r="M726" s="36" t="str">
        <v/>
      </c>
      <c r="N726" s="27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</row>
    <row r="727" spans="1:29" ht="23.25">
      <c r="A727" s="15"/>
      <c r="B727" s="55"/>
      <c r="C727" s="66"/>
      <c r="D727" s="67"/>
      <c r="E727" s="36"/>
      <c r="F727" s="33" t="str">
        <v/>
      </c>
      <c r="G727" s="36"/>
      <c r="H727" s="36" t="str">
        <v/>
      </c>
      <c r="I727" s="36" t="str">
        <v/>
      </c>
      <c r="J727" s="36" t="str">
        <v/>
      </c>
      <c r="K727" s="36" t="str">
        <v/>
      </c>
      <c r="L727" s="36"/>
      <c r="M727" s="36" t="str">
        <v/>
      </c>
      <c r="N727" s="27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</row>
    <row r="728" spans="1:29" ht="23.25">
      <c r="A728" s="15"/>
      <c r="B728" s="55"/>
      <c r="C728" s="66"/>
      <c r="D728" s="67"/>
      <c r="E728" s="36"/>
      <c r="F728" s="33" t="str">
        <v/>
      </c>
      <c r="G728" s="36"/>
      <c r="H728" s="36" t="str">
        <v/>
      </c>
      <c r="I728" s="36" t="str">
        <v/>
      </c>
      <c r="J728" s="36" t="str">
        <v/>
      </c>
      <c r="K728" s="36" t="str">
        <v/>
      </c>
      <c r="L728" s="36"/>
      <c r="M728" s="36" t="str">
        <v/>
      </c>
      <c r="N728" s="27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</row>
    <row r="729" spans="1:29" ht="23.25">
      <c r="A729" s="15"/>
      <c r="B729" s="55"/>
      <c r="C729" s="66"/>
      <c r="D729" s="67"/>
      <c r="E729" s="36"/>
      <c r="F729" s="33" t="str">
        <v/>
      </c>
      <c r="G729" s="36"/>
      <c r="H729" s="36" t="str">
        <v/>
      </c>
      <c r="I729" s="36" t="str">
        <v/>
      </c>
      <c r="J729" s="36" t="str">
        <v/>
      </c>
      <c r="K729" s="36" t="str">
        <v/>
      </c>
      <c r="L729" s="36"/>
      <c r="M729" s="36" t="str">
        <v/>
      </c>
      <c r="N729" s="27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</row>
    <row r="730" spans="1:29" ht="23.25">
      <c r="A730" s="15"/>
      <c r="B730" s="55"/>
      <c r="C730" s="66"/>
      <c r="D730" s="67"/>
      <c r="E730" s="36"/>
      <c r="F730" s="33" t="str">
        <v/>
      </c>
      <c r="G730" s="36"/>
      <c r="H730" s="36" t="str">
        <v/>
      </c>
      <c r="I730" s="36" t="str">
        <v/>
      </c>
      <c r="J730" s="36" t="str">
        <v/>
      </c>
      <c r="K730" s="36" t="str">
        <v/>
      </c>
      <c r="L730" s="36"/>
      <c r="M730" s="36" t="str">
        <v/>
      </c>
      <c r="N730" s="27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</row>
    <row r="731" spans="1:29" ht="23.25">
      <c r="A731" s="15"/>
      <c r="B731" s="55"/>
      <c r="C731" s="66"/>
      <c r="D731" s="67"/>
      <c r="E731" s="36"/>
      <c r="F731" s="33" t="str">
        <v/>
      </c>
      <c r="G731" s="36"/>
      <c r="H731" s="36" t="str">
        <v/>
      </c>
      <c r="I731" s="36" t="str">
        <v/>
      </c>
      <c r="J731" s="36" t="str">
        <v/>
      </c>
      <c r="K731" s="36" t="str">
        <v/>
      </c>
      <c r="L731" s="36"/>
      <c r="M731" s="36" t="str">
        <v/>
      </c>
      <c r="N731" s="27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</row>
    <row r="732" spans="1:29" ht="23.25">
      <c r="A732" s="15"/>
      <c r="B732" s="55"/>
      <c r="C732" s="66"/>
      <c r="D732" s="67"/>
      <c r="E732" s="36"/>
      <c r="F732" s="33" t="str">
        <v/>
      </c>
      <c r="G732" s="36"/>
      <c r="H732" s="36" t="str">
        <v/>
      </c>
      <c r="I732" s="36" t="str">
        <v/>
      </c>
      <c r="J732" s="36" t="str">
        <v/>
      </c>
      <c r="K732" s="36" t="str">
        <v/>
      </c>
      <c r="L732" s="36"/>
      <c r="M732" s="36" t="str">
        <v/>
      </c>
      <c r="N732" s="27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</row>
    <row r="733" spans="1:29" ht="23.25">
      <c r="A733" s="15"/>
      <c r="B733" s="55"/>
      <c r="C733" s="66"/>
      <c r="D733" s="67"/>
      <c r="E733" s="36"/>
      <c r="F733" s="33" t="str">
        <v/>
      </c>
      <c r="G733" s="36"/>
      <c r="H733" s="36" t="str">
        <v/>
      </c>
      <c r="I733" s="36" t="str">
        <v/>
      </c>
      <c r="J733" s="36" t="str">
        <v/>
      </c>
      <c r="K733" s="36" t="str">
        <v/>
      </c>
      <c r="L733" s="36"/>
      <c r="M733" s="36" t="str">
        <v/>
      </c>
      <c r="N733" s="27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</row>
    <row r="734" spans="1:29" ht="23.25">
      <c r="A734" s="15"/>
      <c r="B734" s="55"/>
      <c r="C734" s="66"/>
      <c r="D734" s="67"/>
      <c r="E734" s="36"/>
      <c r="F734" s="33" t="str">
        <v/>
      </c>
      <c r="G734" s="36"/>
      <c r="H734" s="36" t="str">
        <v/>
      </c>
      <c r="I734" s="36" t="str">
        <v/>
      </c>
      <c r="J734" s="36" t="str">
        <v/>
      </c>
      <c r="K734" s="36" t="str">
        <v/>
      </c>
      <c r="L734" s="36"/>
      <c r="M734" s="36" t="str">
        <v/>
      </c>
      <c r="N734" s="27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</row>
    <row r="735" spans="1:29" ht="23.25">
      <c r="A735" s="15"/>
      <c r="B735" s="55"/>
      <c r="C735" s="66"/>
      <c r="D735" s="67"/>
      <c r="E735" s="36"/>
      <c r="F735" s="33" t="str">
        <v/>
      </c>
      <c r="G735" s="36"/>
      <c r="H735" s="36" t="str">
        <v/>
      </c>
      <c r="I735" s="36" t="str">
        <v/>
      </c>
      <c r="J735" s="36" t="str">
        <v/>
      </c>
      <c r="K735" s="36" t="str">
        <v/>
      </c>
      <c r="L735" s="36"/>
      <c r="M735" s="36" t="str">
        <v/>
      </c>
      <c r="N735" s="27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</row>
    <row r="736" spans="1:29" ht="23.25">
      <c r="A736" s="15"/>
      <c r="B736" s="55"/>
      <c r="C736" s="66"/>
      <c r="D736" s="67"/>
      <c r="E736" s="36"/>
      <c r="F736" s="33" t="str">
        <v/>
      </c>
      <c r="G736" s="36"/>
      <c r="H736" s="36" t="str">
        <v/>
      </c>
      <c r="I736" s="36" t="str">
        <v/>
      </c>
      <c r="J736" s="36" t="str">
        <v/>
      </c>
      <c r="K736" s="36" t="str">
        <v/>
      </c>
      <c r="L736" s="36"/>
      <c r="M736" s="36" t="str">
        <v/>
      </c>
      <c r="N736" s="27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</row>
    <row r="737" spans="1:29" ht="23.25">
      <c r="A737" s="15"/>
      <c r="B737" s="55"/>
      <c r="C737" s="66"/>
      <c r="D737" s="67"/>
      <c r="E737" s="36"/>
      <c r="F737" s="33" t="str">
        <v/>
      </c>
      <c r="G737" s="36"/>
      <c r="H737" s="36" t="str">
        <v/>
      </c>
      <c r="I737" s="36" t="str">
        <v/>
      </c>
      <c r="J737" s="36" t="str">
        <v/>
      </c>
      <c r="K737" s="36" t="str">
        <v/>
      </c>
      <c r="L737" s="36"/>
      <c r="M737" s="36" t="str">
        <v/>
      </c>
      <c r="N737" s="27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</row>
    <row r="738" spans="1:29" ht="23.25">
      <c r="A738" s="15"/>
      <c r="B738" s="55"/>
      <c r="C738" s="66"/>
      <c r="D738" s="67"/>
      <c r="E738" s="36"/>
      <c r="F738" s="33" t="str">
        <v/>
      </c>
      <c r="G738" s="36"/>
      <c r="H738" s="36" t="str">
        <v/>
      </c>
      <c r="I738" s="36" t="str">
        <v/>
      </c>
      <c r="J738" s="36" t="str">
        <v/>
      </c>
      <c r="K738" s="36" t="str">
        <v/>
      </c>
      <c r="L738" s="36"/>
      <c r="M738" s="36" t="str">
        <v/>
      </c>
      <c r="N738" s="27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</row>
    <row r="739" spans="1:29" ht="23.25">
      <c r="A739" s="15"/>
      <c r="B739" s="55"/>
      <c r="C739" s="66"/>
      <c r="D739" s="67"/>
      <c r="E739" s="36"/>
      <c r="F739" s="33" t="str">
        <v/>
      </c>
      <c r="G739" s="36"/>
      <c r="H739" s="36" t="str">
        <v/>
      </c>
      <c r="I739" s="36" t="str">
        <v/>
      </c>
      <c r="J739" s="36" t="str">
        <v/>
      </c>
      <c r="K739" s="36" t="str">
        <v/>
      </c>
      <c r="L739" s="36"/>
      <c r="M739" s="36" t="str">
        <v/>
      </c>
      <c r="N739" s="27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</row>
    <row r="740" spans="1:29" ht="23.25">
      <c r="A740" s="15"/>
      <c r="B740" s="55"/>
      <c r="C740" s="66"/>
      <c r="D740" s="67"/>
      <c r="E740" s="36"/>
      <c r="F740" s="33" t="str">
        <v/>
      </c>
      <c r="G740" s="36"/>
      <c r="H740" s="36" t="str">
        <v/>
      </c>
      <c r="I740" s="36" t="str">
        <v/>
      </c>
      <c r="J740" s="36" t="str">
        <v/>
      </c>
      <c r="K740" s="36" t="str">
        <v/>
      </c>
      <c r="L740" s="36"/>
      <c r="M740" s="36" t="str">
        <v/>
      </c>
      <c r="N740" s="27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</row>
    <row r="741" spans="1:29" ht="23.25">
      <c r="A741" s="15"/>
      <c r="B741" s="55"/>
      <c r="C741" s="66"/>
      <c r="D741" s="67"/>
      <c r="E741" s="36"/>
      <c r="F741" s="33" t="str">
        <v/>
      </c>
      <c r="G741" s="36"/>
      <c r="H741" s="36" t="str">
        <v/>
      </c>
      <c r="I741" s="36" t="str">
        <v/>
      </c>
      <c r="J741" s="36" t="str">
        <v/>
      </c>
      <c r="K741" s="36" t="str">
        <v/>
      </c>
      <c r="L741" s="36"/>
      <c r="M741" s="36" t="str">
        <v/>
      </c>
      <c r="N741" s="27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</row>
    <row r="742" spans="1:29" ht="23.25">
      <c r="A742" s="15"/>
      <c r="B742" s="55"/>
      <c r="C742" s="66"/>
      <c r="D742" s="67"/>
      <c r="E742" s="36"/>
      <c r="F742" s="33" t="str">
        <v/>
      </c>
      <c r="G742" s="36"/>
      <c r="H742" s="36" t="str">
        <v/>
      </c>
      <c r="I742" s="36" t="str">
        <v/>
      </c>
      <c r="J742" s="36" t="str">
        <v/>
      </c>
      <c r="K742" s="36" t="str">
        <v/>
      </c>
      <c r="L742" s="36"/>
      <c r="M742" s="36" t="str">
        <v/>
      </c>
      <c r="N742" s="27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</row>
    <row r="743" spans="1:29" ht="23.25">
      <c r="A743" s="15"/>
      <c r="B743" s="55"/>
      <c r="C743" s="66"/>
      <c r="D743" s="67"/>
      <c r="E743" s="36"/>
      <c r="F743" s="33" t="str">
        <v/>
      </c>
      <c r="G743" s="36"/>
      <c r="H743" s="36" t="str">
        <v/>
      </c>
      <c r="I743" s="36" t="str">
        <v/>
      </c>
      <c r="J743" s="36" t="str">
        <v/>
      </c>
      <c r="K743" s="36" t="str">
        <v/>
      </c>
      <c r="L743" s="36"/>
      <c r="M743" s="36" t="str">
        <v/>
      </c>
      <c r="N743" s="27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</row>
    <row r="744" spans="1:29" ht="23.25">
      <c r="A744" s="15"/>
      <c r="B744" s="55"/>
      <c r="C744" s="66"/>
      <c r="D744" s="67"/>
      <c r="E744" s="36"/>
      <c r="F744" s="33" t="str">
        <v/>
      </c>
      <c r="G744" s="36"/>
      <c r="H744" s="36" t="str">
        <v/>
      </c>
      <c r="I744" s="36" t="str">
        <v/>
      </c>
      <c r="J744" s="36" t="str">
        <v/>
      </c>
      <c r="K744" s="36" t="str">
        <v/>
      </c>
      <c r="L744" s="36"/>
      <c r="M744" s="36" t="str">
        <v/>
      </c>
      <c r="N744" s="27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</row>
    <row r="745" spans="1:29" ht="23.25">
      <c r="A745" s="15"/>
      <c r="B745" s="55"/>
      <c r="C745" s="66"/>
      <c r="D745" s="67"/>
      <c r="E745" s="36"/>
      <c r="F745" s="33" t="str">
        <v/>
      </c>
      <c r="G745" s="36"/>
      <c r="H745" s="36" t="str">
        <v/>
      </c>
      <c r="I745" s="36" t="str">
        <v/>
      </c>
      <c r="J745" s="36" t="str">
        <v/>
      </c>
      <c r="K745" s="36" t="str">
        <v/>
      </c>
      <c r="L745" s="36"/>
      <c r="M745" s="36" t="str">
        <v/>
      </c>
      <c r="N745" s="27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</row>
    <row r="746" spans="1:29" ht="23.25">
      <c r="A746" s="15"/>
      <c r="B746" s="55"/>
      <c r="C746" s="66"/>
      <c r="D746" s="67"/>
      <c r="E746" s="36"/>
      <c r="F746" s="33" t="str">
        <v/>
      </c>
      <c r="G746" s="36"/>
      <c r="H746" s="36" t="str">
        <v/>
      </c>
      <c r="I746" s="36" t="str">
        <v/>
      </c>
      <c r="J746" s="36" t="str">
        <v/>
      </c>
      <c r="K746" s="36" t="str">
        <v/>
      </c>
      <c r="L746" s="36"/>
      <c r="M746" s="36" t="str">
        <v/>
      </c>
      <c r="N746" s="27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</row>
    <row r="747" spans="1:29" ht="23.25">
      <c r="A747" s="15"/>
      <c r="B747" s="55"/>
      <c r="C747" s="66"/>
      <c r="D747" s="67"/>
      <c r="E747" s="36"/>
      <c r="F747" s="33" t="str">
        <v/>
      </c>
      <c r="G747" s="36"/>
      <c r="H747" s="36" t="str">
        <v/>
      </c>
      <c r="I747" s="36" t="str">
        <v/>
      </c>
      <c r="J747" s="36" t="str">
        <v/>
      </c>
      <c r="K747" s="36" t="str">
        <v/>
      </c>
      <c r="L747" s="36"/>
      <c r="M747" s="36" t="str">
        <v/>
      </c>
      <c r="N747" s="27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</row>
    <row r="748" spans="1:29" ht="23.25">
      <c r="A748" s="15"/>
      <c r="B748" s="55"/>
      <c r="C748" s="66"/>
      <c r="D748" s="67"/>
      <c r="E748" s="36"/>
      <c r="F748" s="33" t="str">
        <v/>
      </c>
      <c r="G748" s="36"/>
      <c r="H748" s="36" t="str">
        <v/>
      </c>
      <c r="I748" s="36" t="str">
        <v/>
      </c>
      <c r="J748" s="36" t="str">
        <v/>
      </c>
      <c r="K748" s="36" t="str">
        <v/>
      </c>
      <c r="L748" s="36"/>
      <c r="M748" s="36" t="str">
        <v/>
      </c>
      <c r="N748" s="27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</row>
    <row r="749" spans="1:29" ht="23.25">
      <c r="A749" s="15"/>
      <c r="B749" s="55"/>
      <c r="C749" s="66"/>
      <c r="D749" s="67"/>
      <c r="E749" s="36"/>
      <c r="F749" s="33" t="str">
        <v/>
      </c>
      <c r="G749" s="36"/>
      <c r="H749" s="36" t="str">
        <v/>
      </c>
      <c r="I749" s="36" t="str">
        <v/>
      </c>
      <c r="J749" s="36" t="str">
        <v/>
      </c>
      <c r="K749" s="36" t="str">
        <v/>
      </c>
      <c r="L749" s="36"/>
      <c r="M749" s="36" t="str">
        <v/>
      </c>
      <c r="N749" s="27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</row>
    <row r="750" spans="1:29" ht="23.25">
      <c r="A750" s="15"/>
      <c r="B750" s="55"/>
      <c r="C750" s="66"/>
      <c r="D750" s="67"/>
      <c r="E750" s="36"/>
      <c r="F750" s="33" t="str">
        <v/>
      </c>
      <c r="G750" s="36"/>
      <c r="H750" s="36" t="str">
        <v/>
      </c>
      <c r="I750" s="36" t="str">
        <v/>
      </c>
      <c r="J750" s="36" t="str">
        <v/>
      </c>
      <c r="K750" s="36" t="str">
        <v/>
      </c>
      <c r="L750" s="36"/>
      <c r="M750" s="36" t="str">
        <v/>
      </c>
      <c r="N750" s="27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</row>
    <row r="751" spans="1:29" ht="23.25">
      <c r="A751" s="15"/>
      <c r="B751" s="55"/>
      <c r="C751" s="66"/>
      <c r="D751" s="67"/>
      <c r="E751" s="36"/>
      <c r="F751" s="33" t="str">
        <v/>
      </c>
      <c r="G751" s="36"/>
      <c r="H751" s="36" t="str">
        <v/>
      </c>
      <c r="I751" s="36" t="str">
        <v/>
      </c>
      <c r="J751" s="36" t="str">
        <v/>
      </c>
      <c r="K751" s="36" t="str">
        <v/>
      </c>
      <c r="L751" s="36"/>
      <c r="M751" s="36" t="str">
        <v/>
      </c>
      <c r="N751" s="27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</row>
    <row r="752" spans="1:29" ht="23.25">
      <c r="A752" s="15"/>
      <c r="B752" s="55"/>
      <c r="C752" s="66"/>
      <c r="D752" s="67"/>
      <c r="E752" s="36"/>
      <c r="F752" s="33" t="str">
        <v/>
      </c>
      <c r="G752" s="36"/>
      <c r="H752" s="36" t="str">
        <v/>
      </c>
      <c r="I752" s="36" t="str">
        <v/>
      </c>
      <c r="J752" s="36" t="str">
        <v/>
      </c>
      <c r="K752" s="36" t="str">
        <v/>
      </c>
      <c r="L752" s="36"/>
      <c r="M752" s="36" t="str">
        <v/>
      </c>
      <c r="N752" s="27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</row>
    <row r="753" spans="1:29" ht="23.25">
      <c r="A753" s="15"/>
      <c r="B753" s="55"/>
      <c r="C753" s="66"/>
      <c r="D753" s="67"/>
      <c r="E753" s="36"/>
      <c r="F753" s="33" t="str">
        <v/>
      </c>
      <c r="G753" s="36"/>
      <c r="H753" s="36" t="str">
        <v/>
      </c>
      <c r="I753" s="36" t="str">
        <v/>
      </c>
      <c r="J753" s="36" t="str">
        <v/>
      </c>
      <c r="K753" s="36" t="str">
        <v/>
      </c>
      <c r="L753" s="36"/>
      <c r="M753" s="36" t="str">
        <v/>
      </c>
      <c r="N753" s="27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</row>
    <row r="754" spans="1:29" ht="23.25">
      <c r="A754" s="15"/>
      <c r="B754" s="55"/>
      <c r="C754" s="66"/>
      <c r="D754" s="67"/>
      <c r="E754" s="36"/>
      <c r="F754" s="33" t="str">
        <v/>
      </c>
      <c r="G754" s="36"/>
      <c r="H754" s="36" t="str">
        <v/>
      </c>
      <c r="I754" s="36" t="str">
        <v/>
      </c>
      <c r="J754" s="36" t="str">
        <v/>
      </c>
      <c r="K754" s="36" t="str">
        <v/>
      </c>
      <c r="L754" s="36"/>
      <c r="M754" s="36" t="str">
        <v/>
      </c>
      <c r="N754" s="27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</row>
    <row r="755" spans="1:29" ht="23.25">
      <c r="A755" s="15"/>
      <c r="B755" s="55"/>
      <c r="C755" s="66"/>
      <c r="D755" s="67"/>
      <c r="E755" s="36"/>
      <c r="F755" s="33" t="str">
        <v/>
      </c>
      <c r="G755" s="36"/>
      <c r="H755" s="36" t="str">
        <v/>
      </c>
      <c r="I755" s="36" t="str">
        <v/>
      </c>
      <c r="J755" s="36" t="str">
        <v/>
      </c>
      <c r="K755" s="36" t="str">
        <v/>
      </c>
      <c r="L755" s="36"/>
      <c r="M755" s="36" t="str">
        <v/>
      </c>
      <c r="N755" s="27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</row>
    <row r="756" spans="1:29" ht="23.25">
      <c r="A756" s="15"/>
      <c r="B756" s="55"/>
      <c r="C756" s="66"/>
      <c r="D756" s="67"/>
      <c r="E756" s="36"/>
      <c r="F756" s="33" t="str">
        <v/>
      </c>
      <c r="G756" s="36"/>
      <c r="H756" s="36" t="str">
        <v/>
      </c>
      <c r="I756" s="36" t="str">
        <v/>
      </c>
      <c r="J756" s="36" t="str">
        <v/>
      </c>
      <c r="K756" s="36" t="str">
        <v/>
      </c>
      <c r="L756" s="36"/>
      <c r="M756" s="36" t="str">
        <v/>
      </c>
      <c r="N756" s="27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</row>
    <row r="757" spans="1:29" ht="23.25">
      <c r="A757" s="15"/>
      <c r="B757" s="55"/>
      <c r="C757" s="66"/>
      <c r="D757" s="67"/>
      <c r="E757" s="36"/>
      <c r="F757" s="33" t="str">
        <v/>
      </c>
      <c r="G757" s="36"/>
      <c r="H757" s="36" t="str">
        <v/>
      </c>
      <c r="I757" s="36" t="str">
        <v/>
      </c>
      <c r="J757" s="36" t="str">
        <v/>
      </c>
      <c r="K757" s="36" t="str">
        <v/>
      </c>
      <c r="L757" s="36"/>
      <c r="M757" s="36" t="str">
        <v/>
      </c>
      <c r="N757" s="27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</row>
    <row r="758" spans="1:29" ht="23.25">
      <c r="A758" s="15"/>
      <c r="B758" s="55"/>
      <c r="C758" s="66"/>
      <c r="D758" s="67"/>
      <c r="E758" s="36"/>
      <c r="F758" s="33" t="str">
        <v/>
      </c>
      <c r="G758" s="36"/>
      <c r="H758" s="36" t="str">
        <v/>
      </c>
      <c r="I758" s="36" t="str">
        <v/>
      </c>
      <c r="J758" s="36" t="str">
        <v/>
      </c>
      <c r="K758" s="36" t="str">
        <v/>
      </c>
      <c r="L758" s="36"/>
      <c r="M758" s="36" t="str">
        <v/>
      </c>
      <c r="N758" s="27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</row>
    <row r="759" spans="1:29" ht="23.25">
      <c r="A759" s="15"/>
      <c r="B759" s="55"/>
      <c r="C759" s="66"/>
      <c r="D759" s="67"/>
      <c r="E759" s="36"/>
      <c r="F759" s="33" t="str">
        <v/>
      </c>
      <c r="G759" s="36"/>
      <c r="H759" s="36" t="str">
        <v/>
      </c>
      <c r="I759" s="36" t="str">
        <v/>
      </c>
      <c r="J759" s="36" t="str">
        <v/>
      </c>
      <c r="K759" s="36" t="str">
        <v/>
      </c>
      <c r="L759" s="36"/>
      <c r="M759" s="36" t="str">
        <v/>
      </c>
      <c r="N759" s="27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</row>
    <row r="760" spans="1:29" ht="23.25">
      <c r="A760" s="15"/>
      <c r="B760" s="55"/>
      <c r="C760" s="66"/>
      <c r="D760" s="67"/>
      <c r="E760" s="36"/>
      <c r="F760" s="33" t="str">
        <v/>
      </c>
      <c r="G760" s="36"/>
      <c r="H760" s="36" t="str">
        <v/>
      </c>
      <c r="I760" s="36" t="str">
        <v/>
      </c>
      <c r="J760" s="36" t="str">
        <v/>
      </c>
      <c r="K760" s="36" t="str">
        <v/>
      </c>
      <c r="L760" s="36"/>
      <c r="M760" s="36" t="str">
        <v/>
      </c>
      <c r="N760" s="27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</row>
    <row r="761" spans="1:29" ht="23.25">
      <c r="A761" s="15"/>
      <c r="B761" s="55"/>
      <c r="C761" s="66"/>
      <c r="D761" s="67"/>
      <c r="E761" s="36"/>
      <c r="F761" s="33" t="str">
        <v/>
      </c>
      <c r="G761" s="36"/>
      <c r="H761" s="36" t="str">
        <v/>
      </c>
      <c r="I761" s="36" t="str">
        <v/>
      </c>
      <c r="J761" s="36" t="str">
        <v/>
      </c>
      <c r="K761" s="36" t="str">
        <v/>
      </c>
      <c r="L761" s="36"/>
      <c r="M761" s="36" t="str">
        <v/>
      </c>
      <c r="N761" s="27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</row>
    <row r="762" spans="1:29" ht="23.25">
      <c r="A762" s="15"/>
      <c r="B762" s="55"/>
      <c r="C762" s="66"/>
      <c r="D762" s="67"/>
      <c r="E762" s="36"/>
      <c r="F762" s="33" t="str">
        <v/>
      </c>
      <c r="G762" s="36"/>
      <c r="H762" s="36" t="str">
        <v/>
      </c>
      <c r="I762" s="36" t="str">
        <v/>
      </c>
      <c r="J762" s="36" t="str">
        <v/>
      </c>
      <c r="K762" s="36" t="str">
        <v/>
      </c>
      <c r="L762" s="36"/>
      <c r="M762" s="36" t="str">
        <v/>
      </c>
      <c r="N762" s="27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</row>
    <row r="763" spans="1:29" ht="23.25">
      <c r="A763" s="15"/>
      <c r="B763" s="55"/>
      <c r="C763" s="66"/>
      <c r="D763" s="67"/>
      <c r="E763" s="36"/>
      <c r="F763" s="33" t="str">
        <v/>
      </c>
      <c r="G763" s="36"/>
      <c r="H763" s="36" t="str">
        <v/>
      </c>
      <c r="I763" s="36" t="str">
        <v/>
      </c>
      <c r="J763" s="36" t="str">
        <v/>
      </c>
      <c r="K763" s="36" t="str">
        <v/>
      </c>
      <c r="L763" s="36"/>
      <c r="M763" s="36" t="str">
        <v/>
      </c>
      <c r="N763" s="27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</row>
    <row r="764" spans="1:29" ht="23.25">
      <c r="A764" s="15"/>
      <c r="B764" s="55"/>
      <c r="C764" s="66"/>
      <c r="D764" s="67"/>
      <c r="E764" s="36"/>
      <c r="F764" s="33" t="str">
        <v/>
      </c>
      <c r="G764" s="36"/>
      <c r="H764" s="36" t="str">
        <v/>
      </c>
      <c r="I764" s="36" t="str">
        <v/>
      </c>
      <c r="J764" s="36" t="str">
        <v/>
      </c>
      <c r="K764" s="36" t="str">
        <v/>
      </c>
      <c r="L764" s="36"/>
      <c r="M764" s="36" t="str">
        <v/>
      </c>
      <c r="N764" s="27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</row>
    <row r="765" spans="1:29" ht="23.25">
      <c r="A765" s="15"/>
      <c r="B765" s="55"/>
      <c r="C765" s="66"/>
      <c r="D765" s="67"/>
      <c r="E765" s="36"/>
      <c r="F765" s="33" t="str">
        <v/>
      </c>
      <c r="G765" s="36"/>
      <c r="H765" s="36" t="str">
        <v/>
      </c>
      <c r="I765" s="36" t="str">
        <v/>
      </c>
      <c r="J765" s="36" t="str">
        <v/>
      </c>
      <c r="K765" s="36" t="str">
        <v/>
      </c>
      <c r="L765" s="36"/>
      <c r="M765" s="36" t="str">
        <v/>
      </c>
      <c r="N765" s="27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</row>
    <row r="766" spans="1:29" ht="23.25">
      <c r="A766" s="15"/>
      <c r="B766" s="55"/>
      <c r="C766" s="66"/>
      <c r="D766" s="67"/>
      <c r="E766" s="36"/>
      <c r="F766" s="33" t="str">
        <v/>
      </c>
      <c r="G766" s="36"/>
      <c r="H766" s="36" t="str">
        <v/>
      </c>
      <c r="I766" s="36" t="str">
        <v/>
      </c>
      <c r="J766" s="36" t="str">
        <v/>
      </c>
      <c r="K766" s="36" t="str">
        <v/>
      </c>
      <c r="L766" s="36"/>
      <c r="M766" s="36" t="str">
        <v/>
      </c>
      <c r="N766" s="27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</row>
    <row r="767" spans="1:29" ht="23.25">
      <c r="A767" s="15"/>
      <c r="B767" s="55"/>
      <c r="C767" s="66"/>
      <c r="D767" s="67"/>
      <c r="E767" s="36"/>
      <c r="F767" s="33" t="str">
        <v/>
      </c>
      <c r="G767" s="36"/>
      <c r="H767" s="36" t="str">
        <v/>
      </c>
      <c r="I767" s="36" t="str">
        <v/>
      </c>
      <c r="J767" s="36" t="str">
        <v/>
      </c>
      <c r="K767" s="36" t="str">
        <v/>
      </c>
      <c r="L767" s="36"/>
      <c r="M767" s="36" t="str">
        <v/>
      </c>
      <c r="N767" s="27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</row>
    <row r="768" spans="1:29" ht="23.25">
      <c r="A768" s="15"/>
      <c r="B768" s="55"/>
      <c r="C768" s="66"/>
      <c r="D768" s="67"/>
      <c r="E768" s="36"/>
      <c r="F768" s="33" t="str">
        <v/>
      </c>
      <c r="G768" s="36"/>
      <c r="H768" s="36" t="str">
        <v/>
      </c>
      <c r="I768" s="36" t="str">
        <v/>
      </c>
      <c r="J768" s="36" t="str">
        <v/>
      </c>
      <c r="K768" s="36" t="str">
        <v/>
      </c>
      <c r="L768" s="36"/>
      <c r="M768" s="36" t="str">
        <v/>
      </c>
      <c r="N768" s="27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</row>
    <row r="769" spans="1:29" ht="23.25">
      <c r="A769" s="15"/>
      <c r="B769" s="55"/>
      <c r="C769" s="66"/>
      <c r="D769" s="67"/>
      <c r="E769" s="36"/>
      <c r="F769" s="33" t="str">
        <v/>
      </c>
      <c r="G769" s="36"/>
      <c r="H769" s="36" t="str">
        <v/>
      </c>
      <c r="I769" s="36" t="str">
        <v/>
      </c>
      <c r="J769" s="36" t="str">
        <v/>
      </c>
      <c r="K769" s="36" t="str">
        <v/>
      </c>
      <c r="L769" s="36"/>
      <c r="M769" s="36" t="str">
        <v/>
      </c>
      <c r="N769" s="27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</row>
    <row r="770" spans="1:29" ht="23.25">
      <c r="A770" s="15"/>
      <c r="B770" s="55"/>
      <c r="C770" s="66"/>
      <c r="D770" s="67"/>
      <c r="E770" s="36"/>
      <c r="F770" s="33" t="str">
        <v/>
      </c>
      <c r="G770" s="36"/>
      <c r="H770" s="36" t="str">
        <v/>
      </c>
      <c r="I770" s="36" t="str">
        <v/>
      </c>
      <c r="J770" s="36" t="str">
        <v/>
      </c>
      <c r="K770" s="36" t="str">
        <v/>
      </c>
      <c r="L770" s="36"/>
      <c r="M770" s="36" t="str">
        <v/>
      </c>
      <c r="N770" s="27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</row>
    <row r="771" spans="1:29" ht="23.25">
      <c r="A771" s="15"/>
      <c r="B771" s="55"/>
      <c r="C771" s="66"/>
      <c r="D771" s="67"/>
      <c r="E771" s="36"/>
      <c r="F771" s="33" t="str">
        <v/>
      </c>
      <c r="G771" s="36"/>
      <c r="H771" s="36" t="str">
        <v/>
      </c>
      <c r="I771" s="36" t="str">
        <v/>
      </c>
      <c r="J771" s="36" t="str">
        <v/>
      </c>
      <c r="K771" s="36" t="str">
        <v/>
      </c>
      <c r="L771" s="36"/>
      <c r="M771" s="36" t="str">
        <v/>
      </c>
      <c r="N771" s="27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</row>
    <row r="772" spans="1:29" ht="23.25">
      <c r="A772" s="15"/>
      <c r="B772" s="55"/>
      <c r="C772" s="66"/>
      <c r="D772" s="67"/>
      <c r="E772" s="36"/>
      <c r="F772" s="33" t="str">
        <v/>
      </c>
      <c r="G772" s="36"/>
      <c r="H772" s="36" t="str">
        <v/>
      </c>
      <c r="I772" s="36" t="str">
        <v/>
      </c>
      <c r="J772" s="36" t="str">
        <v/>
      </c>
      <c r="K772" s="36" t="str">
        <v/>
      </c>
      <c r="L772" s="36"/>
      <c r="M772" s="36" t="str">
        <v/>
      </c>
      <c r="N772" s="27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</row>
    <row r="773" spans="1:29" ht="23.25">
      <c r="A773" s="15"/>
      <c r="B773" s="55"/>
      <c r="C773" s="66"/>
      <c r="D773" s="67"/>
      <c r="E773" s="36"/>
      <c r="F773" s="33" t="str">
        <v/>
      </c>
      <c r="G773" s="36"/>
      <c r="H773" s="36" t="str">
        <v/>
      </c>
      <c r="I773" s="36" t="str">
        <v/>
      </c>
      <c r="J773" s="36" t="str">
        <v/>
      </c>
      <c r="K773" s="36" t="str">
        <v/>
      </c>
      <c r="L773" s="36"/>
      <c r="M773" s="36" t="str">
        <v/>
      </c>
      <c r="N773" s="27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</row>
    <row r="774" spans="1:29" ht="23.25">
      <c r="A774" s="15"/>
      <c r="B774" s="55"/>
      <c r="C774" s="66"/>
      <c r="D774" s="67"/>
      <c r="E774" s="36"/>
      <c r="F774" s="33" t="str">
        <v/>
      </c>
      <c r="G774" s="36"/>
      <c r="H774" s="36" t="str">
        <v/>
      </c>
      <c r="I774" s="36" t="str">
        <v/>
      </c>
      <c r="J774" s="36" t="str">
        <v/>
      </c>
      <c r="K774" s="36" t="str">
        <v/>
      </c>
      <c r="L774" s="36"/>
      <c r="M774" s="36" t="str">
        <v/>
      </c>
      <c r="N774" s="27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</row>
    <row r="775" spans="1:29" ht="23.25">
      <c r="A775" s="15"/>
      <c r="B775" s="55"/>
      <c r="C775" s="66"/>
      <c r="D775" s="67"/>
      <c r="E775" s="36"/>
      <c r="F775" s="33" t="str">
        <v/>
      </c>
      <c r="G775" s="36"/>
      <c r="H775" s="36" t="str">
        <v/>
      </c>
      <c r="I775" s="36" t="str">
        <v/>
      </c>
      <c r="J775" s="36" t="str">
        <v/>
      </c>
      <c r="K775" s="36" t="str">
        <v/>
      </c>
      <c r="L775" s="36"/>
      <c r="M775" s="36" t="str">
        <v/>
      </c>
      <c r="N775" s="27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</row>
    <row r="776" spans="1:29" ht="23.25">
      <c r="A776" s="15"/>
      <c r="B776" s="55"/>
      <c r="C776" s="66"/>
      <c r="D776" s="67"/>
      <c r="E776" s="36"/>
      <c r="F776" s="33" t="str">
        <v/>
      </c>
      <c r="G776" s="36"/>
      <c r="H776" s="36" t="str">
        <v/>
      </c>
      <c r="I776" s="36" t="str">
        <v/>
      </c>
      <c r="J776" s="36" t="str">
        <v/>
      </c>
      <c r="K776" s="36" t="str">
        <v/>
      </c>
      <c r="L776" s="36"/>
      <c r="M776" s="36" t="str">
        <v/>
      </c>
      <c r="N776" s="27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</row>
    <row r="777" spans="1:29" ht="23.25">
      <c r="A777" s="15"/>
      <c r="B777" s="55"/>
      <c r="C777" s="66"/>
      <c r="D777" s="67"/>
      <c r="E777" s="36"/>
      <c r="F777" s="33" t="str">
        <v/>
      </c>
      <c r="G777" s="36"/>
      <c r="H777" s="36" t="str">
        <v/>
      </c>
      <c r="I777" s="36" t="str">
        <v/>
      </c>
      <c r="J777" s="36" t="str">
        <v/>
      </c>
      <c r="K777" s="36" t="str">
        <v/>
      </c>
      <c r="L777" s="36"/>
      <c r="M777" s="36" t="str">
        <v/>
      </c>
      <c r="N777" s="27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</row>
    <row r="778" spans="1:29" ht="23.25">
      <c r="A778" s="15"/>
      <c r="B778" s="55"/>
      <c r="C778" s="66"/>
      <c r="D778" s="67"/>
      <c r="E778" s="36"/>
      <c r="F778" s="33" t="str">
        <v/>
      </c>
      <c r="G778" s="36"/>
      <c r="H778" s="36" t="str">
        <v/>
      </c>
      <c r="I778" s="36" t="str">
        <v/>
      </c>
      <c r="J778" s="36" t="str">
        <v/>
      </c>
      <c r="K778" s="36" t="str">
        <v/>
      </c>
      <c r="L778" s="36"/>
      <c r="M778" s="36" t="str">
        <v/>
      </c>
      <c r="N778" s="27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</row>
    <row r="779" spans="1:29" ht="23.25">
      <c r="A779" s="15"/>
      <c r="B779" s="55"/>
      <c r="C779" s="66"/>
      <c r="D779" s="67"/>
      <c r="E779" s="36"/>
      <c r="F779" s="33" t="str">
        <v/>
      </c>
      <c r="G779" s="36"/>
      <c r="H779" s="36" t="str">
        <v/>
      </c>
      <c r="I779" s="36" t="str">
        <v/>
      </c>
      <c r="J779" s="36" t="str">
        <v/>
      </c>
      <c r="K779" s="36" t="str">
        <v/>
      </c>
      <c r="L779" s="36"/>
      <c r="M779" s="36" t="str">
        <v/>
      </c>
      <c r="N779" s="27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</row>
    <row r="780" spans="1:29" ht="23.25">
      <c r="A780" s="15"/>
      <c r="B780" s="55"/>
      <c r="C780" s="66"/>
      <c r="D780" s="67"/>
      <c r="E780" s="36"/>
      <c r="F780" s="33" t="str">
        <v/>
      </c>
      <c r="G780" s="36"/>
      <c r="H780" s="36" t="str">
        <v/>
      </c>
      <c r="I780" s="36" t="str">
        <v/>
      </c>
      <c r="J780" s="36" t="str">
        <v/>
      </c>
      <c r="K780" s="36" t="str">
        <v/>
      </c>
      <c r="L780" s="36"/>
      <c r="M780" s="36" t="str">
        <v/>
      </c>
      <c r="N780" s="27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</row>
    <row r="781" spans="1:29" ht="23.25">
      <c r="A781" s="15"/>
      <c r="B781" s="55"/>
      <c r="C781" s="66"/>
      <c r="D781" s="67"/>
      <c r="E781" s="36"/>
      <c r="F781" s="33" t="str">
        <v/>
      </c>
      <c r="G781" s="36"/>
      <c r="H781" s="36" t="str">
        <v/>
      </c>
      <c r="I781" s="36" t="str">
        <v/>
      </c>
      <c r="J781" s="36" t="str">
        <v/>
      </c>
      <c r="K781" s="36" t="str">
        <v/>
      </c>
      <c r="L781" s="36"/>
      <c r="M781" s="36" t="str">
        <v/>
      </c>
      <c r="N781" s="27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</row>
    <row r="782" spans="1:29" ht="23.25">
      <c r="A782" s="15"/>
      <c r="B782" s="55"/>
      <c r="C782" s="66"/>
      <c r="D782" s="67"/>
      <c r="E782" s="36"/>
      <c r="F782" s="33" t="str">
        <v/>
      </c>
      <c r="G782" s="36"/>
      <c r="H782" s="36" t="str">
        <v/>
      </c>
      <c r="I782" s="36" t="str">
        <v/>
      </c>
      <c r="J782" s="36" t="str">
        <v/>
      </c>
      <c r="K782" s="36" t="str">
        <v/>
      </c>
      <c r="L782" s="36"/>
      <c r="M782" s="36" t="str">
        <v/>
      </c>
      <c r="N782" s="27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</row>
    <row r="783" spans="1:29" ht="23.25">
      <c r="A783" s="15"/>
      <c r="B783" s="55"/>
      <c r="C783" s="66"/>
      <c r="D783" s="67"/>
      <c r="E783" s="36"/>
      <c r="F783" s="33" t="str">
        <v/>
      </c>
      <c r="G783" s="36"/>
      <c r="H783" s="36" t="str">
        <v/>
      </c>
      <c r="I783" s="36" t="str">
        <v/>
      </c>
      <c r="J783" s="36" t="str">
        <v/>
      </c>
      <c r="K783" s="36" t="str">
        <v/>
      </c>
      <c r="L783" s="36"/>
      <c r="M783" s="36" t="str">
        <v/>
      </c>
      <c r="N783" s="27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</row>
    <row r="784" spans="1:29" ht="23.25">
      <c r="A784" s="15"/>
      <c r="B784" s="55"/>
      <c r="C784" s="66"/>
      <c r="D784" s="67"/>
      <c r="E784" s="36"/>
      <c r="F784" s="33" t="str">
        <v/>
      </c>
      <c r="G784" s="36"/>
      <c r="H784" s="36" t="str">
        <v/>
      </c>
      <c r="I784" s="36" t="str">
        <v/>
      </c>
      <c r="J784" s="36" t="str">
        <v/>
      </c>
      <c r="K784" s="36" t="str">
        <v/>
      </c>
      <c r="L784" s="36"/>
      <c r="M784" s="36" t="str">
        <v/>
      </c>
      <c r="N784" s="27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</row>
    <row r="785" spans="1:29" ht="23.25">
      <c r="A785" s="15"/>
      <c r="B785" s="55"/>
      <c r="C785" s="66"/>
      <c r="D785" s="67"/>
      <c r="E785" s="36"/>
      <c r="F785" s="33" t="str">
        <v/>
      </c>
      <c r="G785" s="36"/>
      <c r="H785" s="36" t="str">
        <v/>
      </c>
      <c r="I785" s="36" t="str">
        <v/>
      </c>
      <c r="J785" s="36" t="str">
        <v/>
      </c>
      <c r="K785" s="36" t="str">
        <v/>
      </c>
      <c r="L785" s="36"/>
      <c r="M785" s="36" t="str">
        <v/>
      </c>
      <c r="N785" s="27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</row>
    <row r="786" spans="1:29" ht="23.25">
      <c r="A786" s="15"/>
      <c r="B786" s="55"/>
      <c r="C786" s="66"/>
      <c r="D786" s="67"/>
      <c r="E786" s="36"/>
      <c r="F786" s="33" t="str">
        <v/>
      </c>
      <c r="G786" s="36"/>
      <c r="H786" s="36" t="str">
        <v/>
      </c>
      <c r="I786" s="36" t="str">
        <v/>
      </c>
      <c r="J786" s="36" t="str">
        <v/>
      </c>
      <c r="K786" s="36" t="str">
        <v/>
      </c>
      <c r="L786" s="36"/>
      <c r="M786" s="36" t="str">
        <v/>
      </c>
      <c r="N786" s="27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</row>
    <row r="787" spans="1:29" ht="23.25">
      <c r="A787" s="15"/>
      <c r="B787" s="55"/>
      <c r="C787" s="66"/>
      <c r="D787" s="67"/>
      <c r="E787" s="36"/>
      <c r="F787" s="33" t="str">
        <v/>
      </c>
      <c r="G787" s="36"/>
      <c r="H787" s="36" t="str">
        <v/>
      </c>
      <c r="I787" s="36" t="str">
        <v/>
      </c>
      <c r="J787" s="36" t="str">
        <v/>
      </c>
      <c r="K787" s="36" t="str">
        <v/>
      </c>
      <c r="L787" s="36"/>
      <c r="M787" s="36" t="str">
        <v/>
      </c>
      <c r="N787" s="27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</row>
    <row r="788" spans="1:29" ht="23.25">
      <c r="A788" s="15"/>
      <c r="B788" s="55"/>
      <c r="C788" s="66"/>
      <c r="D788" s="67"/>
      <c r="E788" s="36"/>
      <c r="F788" s="33" t="str">
        <v/>
      </c>
      <c r="G788" s="36"/>
      <c r="H788" s="36" t="str">
        <v/>
      </c>
      <c r="I788" s="36" t="str">
        <v/>
      </c>
      <c r="J788" s="36" t="str">
        <v/>
      </c>
      <c r="K788" s="36" t="str">
        <v/>
      </c>
      <c r="L788" s="36"/>
      <c r="M788" s="36" t="str">
        <v/>
      </c>
      <c r="N788" s="27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</row>
    <row r="789" spans="1:29" ht="23.25">
      <c r="A789" s="15"/>
      <c r="B789" s="55"/>
      <c r="C789" s="66"/>
      <c r="D789" s="67"/>
      <c r="E789" s="36"/>
      <c r="F789" s="33" t="str">
        <v/>
      </c>
      <c r="G789" s="36"/>
      <c r="H789" s="36" t="str">
        <v/>
      </c>
      <c r="I789" s="36" t="str">
        <v/>
      </c>
      <c r="J789" s="36" t="str">
        <v/>
      </c>
      <c r="K789" s="36" t="str">
        <v/>
      </c>
      <c r="L789" s="36"/>
      <c r="M789" s="36" t="str">
        <v/>
      </c>
      <c r="N789" s="27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</row>
    <row r="790" spans="1:29" ht="23.25">
      <c r="A790" s="15"/>
      <c r="B790" s="55"/>
      <c r="C790" s="66"/>
      <c r="D790" s="67"/>
      <c r="E790" s="36"/>
      <c r="F790" s="33" t="str">
        <v/>
      </c>
      <c r="G790" s="36"/>
      <c r="H790" s="36" t="str">
        <v/>
      </c>
      <c r="I790" s="36" t="str">
        <v/>
      </c>
      <c r="J790" s="36" t="str">
        <v/>
      </c>
      <c r="K790" s="36" t="str">
        <v/>
      </c>
      <c r="L790" s="36"/>
      <c r="M790" s="36" t="str">
        <v/>
      </c>
      <c r="N790" s="27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</row>
    <row r="791" spans="1:29" ht="23.25">
      <c r="A791" s="15"/>
      <c r="B791" s="55"/>
      <c r="C791" s="66"/>
      <c r="D791" s="67"/>
      <c r="E791" s="36"/>
      <c r="F791" s="33" t="str">
        <v/>
      </c>
      <c r="G791" s="36"/>
      <c r="H791" s="36" t="str">
        <v/>
      </c>
      <c r="I791" s="36" t="str">
        <v/>
      </c>
      <c r="J791" s="36" t="str">
        <v/>
      </c>
      <c r="K791" s="36" t="str">
        <v/>
      </c>
      <c r="L791" s="36"/>
      <c r="M791" s="36" t="str">
        <v/>
      </c>
      <c r="N791" s="27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</row>
    <row r="792" spans="1:29" ht="23.25">
      <c r="A792" s="15"/>
      <c r="B792" s="55"/>
      <c r="C792" s="66"/>
      <c r="D792" s="67"/>
      <c r="E792" s="36"/>
      <c r="F792" s="33" t="str">
        <v/>
      </c>
      <c r="G792" s="36"/>
      <c r="H792" s="36" t="str">
        <v/>
      </c>
      <c r="I792" s="36" t="str">
        <v/>
      </c>
      <c r="J792" s="36" t="str">
        <v/>
      </c>
      <c r="K792" s="36" t="str">
        <v/>
      </c>
      <c r="L792" s="36"/>
      <c r="M792" s="36" t="str">
        <v/>
      </c>
      <c r="N792" s="27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</row>
    <row r="793" spans="1:29" ht="23.25">
      <c r="A793" s="15"/>
      <c r="B793" s="55"/>
      <c r="C793" s="66"/>
      <c r="D793" s="67"/>
      <c r="E793" s="36"/>
      <c r="F793" s="33" t="str">
        <v/>
      </c>
      <c r="G793" s="36"/>
      <c r="H793" s="36" t="str">
        <v/>
      </c>
      <c r="I793" s="36" t="str">
        <v/>
      </c>
      <c r="J793" s="36" t="str">
        <v/>
      </c>
      <c r="K793" s="36" t="str">
        <v/>
      </c>
      <c r="L793" s="36"/>
      <c r="M793" s="36" t="str">
        <v/>
      </c>
      <c r="N793" s="27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</row>
    <row r="794" spans="1:29" ht="23.25">
      <c r="A794" s="15"/>
      <c r="B794" s="55"/>
      <c r="C794" s="66"/>
      <c r="D794" s="67"/>
      <c r="E794" s="36"/>
      <c r="F794" s="33" t="str">
        <v/>
      </c>
      <c r="G794" s="36"/>
      <c r="H794" s="36" t="str">
        <v/>
      </c>
      <c r="I794" s="36" t="str">
        <v/>
      </c>
      <c r="J794" s="36" t="str">
        <v/>
      </c>
      <c r="K794" s="36" t="str">
        <v/>
      </c>
      <c r="L794" s="36"/>
      <c r="M794" s="36" t="str">
        <v/>
      </c>
      <c r="N794" s="27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</row>
    <row r="795" spans="1:29" ht="23.25">
      <c r="A795" s="15"/>
      <c r="B795" s="55"/>
      <c r="C795" s="66"/>
      <c r="D795" s="67"/>
      <c r="E795" s="36"/>
      <c r="F795" s="33" t="str">
        <v/>
      </c>
      <c r="G795" s="36"/>
      <c r="H795" s="36" t="str">
        <v/>
      </c>
      <c r="I795" s="36" t="str">
        <v/>
      </c>
      <c r="J795" s="36" t="str">
        <v/>
      </c>
      <c r="K795" s="36" t="str">
        <v/>
      </c>
      <c r="L795" s="36"/>
      <c r="M795" s="36" t="str">
        <v/>
      </c>
      <c r="N795" s="27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</row>
    <row r="796" spans="1:29" ht="23.25">
      <c r="A796" s="15"/>
      <c r="B796" s="55"/>
      <c r="C796" s="66"/>
      <c r="D796" s="67"/>
      <c r="E796" s="36"/>
      <c r="F796" s="33" t="str">
        <v/>
      </c>
      <c r="G796" s="36"/>
      <c r="H796" s="36" t="str">
        <v/>
      </c>
      <c r="I796" s="36" t="str">
        <v/>
      </c>
      <c r="J796" s="36" t="str">
        <v/>
      </c>
      <c r="K796" s="36" t="str">
        <v/>
      </c>
      <c r="L796" s="36"/>
      <c r="M796" s="36" t="str">
        <v/>
      </c>
      <c r="N796" s="27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</row>
    <row r="797" spans="1:29" ht="23.25">
      <c r="A797" s="15"/>
      <c r="B797" s="55"/>
      <c r="C797" s="66"/>
      <c r="D797" s="67"/>
      <c r="E797" s="36"/>
      <c r="F797" s="33" t="str">
        <v/>
      </c>
      <c r="G797" s="36"/>
      <c r="H797" s="36" t="str">
        <v/>
      </c>
      <c r="I797" s="36" t="str">
        <v/>
      </c>
      <c r="J797" s="36" t="str">
        <v/>
      </c>
      <c r="K797" s="36" t="str">
        <v/>
      </c>
      <c r="L797" s="36"/>
      <c r="M797" s="36" t="str">
        <v/>
      </c>
      <c r="N797" s="27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</row>
    <row r="798" spans="1:29" ht="23.25">
      <c r="A798" s="15"/>
      <c r="B798" s="55"/>
      <c r="C798" s="66"/>
      <c r="D798" s="67"/>
      <c r="E798" s="36"/>
      <c r="F798" s="33" t="str">
        <v/>
      </c>
      <c r="G798" s="36"/>
      <c r="H798" s="36" t="str">
        <v/>
      </c>
      <c r="I798" s="36" t="str">
        <v/>
      </c>
      <c r="J798" s="36" t="str">
        <v/>
      </c>
      <c r="K798" s="36" t="str">
        <v/>
      </c>
      <c r="L798" s="36"/>
      <c r="M798" s="36" t="str">
        <v/>
      </c>
      <c r="N798" s="27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</row>
    <row r="799" spans="1:29" ht="23.25">
      <c r="A799" s="15"/>
      <c r="B799" s="55"/>
      <c r="C799" s="66"/>
      <c r="D799" s="67"/>
      <c r="E799" s="36"/>
      <c r="F799" s="33" t="str">
        <v/>
      </c>
      <c r="G799" s="36"/>
      <c r="H799" s="36" t="str">
        <v/>
      </c>
      <c r="I799" s="36" t="str">
        <v/>
      </c>
      <c r="J799" s="36" t="str">
        <v/>
      </c>
      <c r="K799" s="36" t="str">
        <v/>
      </c>
      <c r="L799" s="36"/>
      <c r="M799" s="36" t="str">
        <v/>
      </c>
      <c r="N799" s="27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</row>
    <row r="800" spans="1:29" ht="23.25">
      <c r="A800" s="15"/>
      <c r="B800" s="55"/>
      <c r="C800" s="66"/>
      <c r="D800" s="67"/>
      <c r="E800" s="36"/>
      <c r="F800" s="33" t="str">
        <v/>
      </c>
      <c r="G800" s="36"/>
      <c r="H800" s="36" t="str">
        <v/>
      </c>
      <c r="I800" s="36" t="str">
        <v/>
      </c>
      <c r="J800" s="36" t="str">
        <v/>
      </c>
      <c r="K800" s="36" t="str">
        <v/>
      </c>
      <c r="L800" s="36"/>
      <c r="M800" s="36" t="str">
        <v/>
      </c>
      <c r="N800" s="27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</row>
    <row r="801" spans="1:29" ht="23.25">
      <c r="A801" s="15"/>
      <c r="B801" s="55"/>
      <c r="C801" s="66"/>
      <c r="D801" s="67"/>
      <c r="E801" s="36"/>
      <c r="F801" s="33" t="str">
        <v/>
      </c>
      <c r="G801" s="36"/>
      <c r="H801" s="36" t="str">
        <v/>
      </c>
      <c r="I801" s="36" t="str">
        <v/>
      </c>
      <c r="J801" s="36" t="str">
        <v/>
      </c>
      <c r="K801" s="36" t="str">
        <v/>
      </c>
      <c r="L801" s="36"/>
      <c r="M801" s="36" t="str">
        <v/>
      </c>
      <c r="N801" s="27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</row>
    <row r="802" spans="1:29" ht="23.25">
      <c r="A802" s="15"/>
      <c r="B802" s="55"/>
      <c r="C802" s="66"/>
      <c r="D802" s="67"/>
      <c r="E802" s="36"/>
      <c r="F802" s="33" t="str">
        <v/>
      </c>
      <c r="G802" s="36"/>
      <c r="H802" s="36" t="str">
        <v/>
      </c>
      <c r="I802" s="36" t="str">
        <v/>
      </c>
      <c r="J802" s="36" t="str">
        <v/>
      </c>
      <c r="K802" s="36" t="str">
        <v/>
      </c>
      <c r="L802" s="36"/>
      <c r="M802" s="36" t="str">
        <v/>
      </c>
      <c r="N802" s="27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</row>
    <row r="803" spans="1:29" ht="23.25">
      <c r="A803" s="15"/>
      <c r="B803" s="55"/>
      <c r="C803" s="66"/>
      <c r="D803" s="67"/>
      <c r="E803" s="36"/>
      <c r="F803" s="33" t="str">
        <v/>
      </c>
      <c r="G803" s="36"/>
      <c r="H803" s="36" t="str">
        <v/>
      </c>
      <c r="I803" s="36" t="str">
        <v/>
      </c>
      <c r="J803" s="36" t="str">
        <v/>
      </c>
      <c r="K803" s="36" t="str">
        <v/>
      </c>
      <c r="L803" s="36"/>
      <c r="M803" s="36" t="str">
        <v/>
      </c>
      <c r="N803" s="27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</row>
    <row r="804" spans="1:29" ht="23.25">
      <c r="A804" s="15"/>
      <c r="B804" s="55"/>
      <c r="C804" s="66"/>
      <c r="D804" s="67"/>
      <c r="E804" s="36"/>
      <c r="F804" s="33" t="str">
        <v/>
      </c>
      <c r="G804" s="36"/>
      <c r="H804" s="36" t="str">
        <v/>
      </c>
      <c r="I804" s="36" t="str">
        <v/>
      </c>
      <c r="J804" s="36" t="str">
        <v/>
      </c>
      <c r="K804" s="36" t="str">
        <v/>
      </c>
      <c r="L804" s="36"/>
      <c r="M804" s="36" t="str">
        <v/>
      </c>
      <c r="N804" s="27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</row>
    <row r="805" spans="1:29" ht="23.25">
      <c r="A805" s="15"/>
      <c r="B805" s="55"/>
      <c r="C805" s="66"/>
      <c r="D805" s="67"/>
      <c r="E805" s="36"/>
      <c r="F805" s="33" t="str">
        <v/>
      </c>
      <c r="G805" s="36"/>
      <c r="H805" s="36" t="str">
        <v/>
      </c>
      <c r="I805" s="36" t="str">
        <v/>
      </c>
      <c r="J805" s="36" t="str">
        <v/>
      </c>
      <c r="K805" s="36" t="str">
        <v/>
      </c>
      <c r="L805" s="36"/>
      <c r="M805" s="36" t="str">
        <v/>
      </c>
      <c r="N805" s="27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</row>
    <row r="806" spans="1:29" ht="23.25">
      <c r="A806" s="15"/>
      <c r="B806" s="55"/>
      <c r="C806" s="66"/>
      <c r="D806" s="67"/>
      <c r="E806" s="36"/>
      <c r="F806" s="33" t="str">
        <v/>
      </c>
      <c r="G806" s="36"/>
      <c r="H806" s="36" t="str">
        <v/>
      </c>
      <c r="I806" s="36" t="str">
        <v/>
      </c>
      <c r="J806" s="36" t="str">
        <v/>
      </c>
      <c r="K806" s="36" t="str">
        <v/>
      </c>
      <c r="L806" s="36"/>
      <c r="M806" s="36" t="str">
        <v/>
      </c>
      <c r="N806" s="27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</row>
    <row r="807" spans="1:29" ht="23.25">
      <c r="A807" s="15"/>
      <c r="B807" s="55"/>
      <c r="C807" s="66"/>
      <c r="D807" s="67"/>
      <c r="E807" s="36"/>
      <c r="F807" s="33" t="str">
        <v/>
      </c>
      <c r="G807" s="36"/>
      <c r="H807" s="36" t="str">
        <v/>
      </c>
      <c r="I807" s="36" t="str">
        <v/>
      </c>
      <c r="J807" s="36" t="str">
        <v/>
      </c>
      <c r="K807" s="36" t="str">
        <v/>
      </c>
      <c r="L807" s="36"/>
      <c r="M807" s="36" t="str">
        <v/>
      </c>
      <c r="N807" s="27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</row>
    <row r="808" spans="1:29" ht="23.25">
      <c r="A808" s="15"/>
      <c r="B808" s="55"/>
      <c r="C808" s="66"/>
      <c r="D808" s="67"/>
      <c r="E808" s="36"/>
      <c r="F808" s="33" t="str">
        <v/>
      </c>
      <c r="G808" s="36"/>
      <c r="H808" s="36" t="str">
        <v/>
      </c>
      <c r="I808" s="36" t="str">
        <v/>
      </c>
      <c r="J808" s="36" t="str">
        <v/>
      </c>
      <c r="K808" s="36" t="str">
        <v/>
      </c>
      <c r="L808" s="36"/>
      <c r="M808" s="36" t="str">
        <v/>
      </c>
      <c r="N808" s="27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</row>
    <row r="809" spans="1:29" ht="23.25">
      <c r="A809" s="15"/>
      <c r="B809" s="55"/>
      <c r="C809" s="66"/>
      <c r="D809" s="67"/>
      <c r="E809" s="36"/>
      <c r="F809" s="33" t="str">
        <v/>
      </c>
      <c r="G809" s="36"/>
      <c r="H809" s="36" t="str">
        <v/>
      </c>
      <c r="I809" s="36" t="str">
        <v/>
      </c>
      <c r="J809" s="36" t="str">
        <v/>
      </c>
      <c r="K809" s="36" t="str">
        <v/>
      </c>
      <c r="L809" s="36"/>
      <c r="M809" s="36" t="str">
        <v/>
      </c>
      <c r="N809" s="27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</row>
    <row r="810" spans="1:29" ht="23.25">
      <c r="A810" s="15"/>
      <c r="B810" s="55"/>
      <c r="C810" s="66"/>
      <c r="D810" s="67"/>
      <c r="E810" s="36"/>
      <c r="F810" s="33" t="str">
        <v/>
      </c>
      <c r="G810" s="36"/>
      <c r="H810" s="36" t="str">
        <v/>
      </c>
      <c r="I810" s="36" t="str">
        <v/>
      </c>
      <c r="J810" s="36" t="str">
        <v/>
      </c>
      <c r="K810" s="36" t="str">
        <v/>
      </c>
      <c r="L810" s="36"/>
      <c r="M810" s="36" t="str">
        <v/>
      </c>
      <c r="N810" s="27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</row>
    <row r="811" spans="1:29" ht="23.25">
      <c r="A811" s="15"/>
      <c r="B811" s="55"/>
      <c r="C811" s="66"/>
      <c r="D811" s="67"/>
      <c r="E811" s="36"/>
      <c r="F811" s="33" t="str">
        <v/>
      </c>
      <c r="G811" s="36"/>
      <c r="H811" s="36" t="str">
        <v/>
      </c>
      <c r="I811" s="36" t="str">
        <v/>
      </c>
      <c r="J811" s="36" t="str">
        <v/>
      </c>
      <c r="K811" s="36" t="str">
        <v/>
      </c>
      <c r="L811" s="36"/>
      <c r="M811" s="36" t="str">
        <v/>
      </c>
      <c r="N811" s="27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</row>
    <row r="812" spans="1:29" ht="23.25">
      <c r="A812" s="15"/>
      <c r="B812" s="55"/>
      <c r="C812" s="66"/>
      <c r="D812" s="67"/>
      <c r="E812" s="36"/>
      <c r="F812" s="33" t="str">
        <v/>
      </c>
      <c r="G812" s="36"/>
      <c r="H812" s="36" t="str">
        <v/>
      </c>
      <c r="I812" s="36" t="str">
        <v/>
      </c>
      <c r="J812" s="36" t="str">
        <v/>
      </c>
      <c r="K812" s="36" t="str">
        <v/>
      </c>
      <c r="L812" s="36"/>
      <c r="M812" s="36" t="str">
        <v/>
      </c>
      <c r="N812" s="27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</row>
    <row r="813" spans="1:29" ht="23.25">
      <c r="A813" s="15"/>
      <c r="B813" s="55"/>
      <c r="C813" s="66"/>
      <c r="D813" s="67"/>
      <c r="E813" s="36"/>
      <c r="F813" s="33" t="str">
        <v/>
      </c>
      <c r="G813" s="36"/>
      <c r="H813" s="36" t="str">
        <v/>
      </c>
      <c r="I813" s="36" t="str">
        <v/>
      </c>
      <c r="J813" s="36" t="str">
        <v/>
      </c>
      <c r="K813" s="36" t="str">
        <v/>
      </c>
      <c r="L813" s="36"/>
      <c r="M813" s="36" t="str">
        <v/>
      </c>
      <c r="N813" s="27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</row>
    <row r="814" spans="1:29" ht="23.25">
      <c r="A814" s="15"/>
      <c r="B814" s="55"/>
      <c r="C814" s="66"/>
      <c r="D814" s="67"/>
      <c r="E814" s="36"/>
      <c r="F814" s="33" t="str">
        <v/>
      </c>
      <c r="G814" s="36"/>
      <c r="H814" s="36" t="str">
        <v/>
      </c>
      <c r="I814" s="36" t="str">
        <v/>
      </c>
      <c r="J814" s="36" t="str">
        <v/>
      </c>
      <c r="K814" s="36" t="str">
        <v/>
      </c>
      <c r="L814" s="36"/>
      <c r="M814" s="36" t="str">
        <v/>
      </c>
      <c r="N814" s="27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</row>
    <row r="815" spans="1:29" ht="23.25">
      <c r="A815" s="15"/>
      <c r="B815" s="55"/>
      <c r="C815" s="66"/>
      <c r="D815" s="67"/>
      <c r="E815" s="36"/>
      <c r="F815" s="33" t="str">
        <v/>
      </c>
      <c r="G815" s="36"/>
      <c r="H815" s="36" t="str">
        <v/>
      </c>
      <c r="I815" s="36" t="str">
        <v/>
      </c>
      <c r="J815" s="36" t="str">
        <v/>
      </c>
      <c r="K815" s="36" t="str">
        <v/>
      </c>
      <c r="L815" s="36"/>
      <c r="M815" s="36" t="str">
        <v/>
      </c>
      <c r="N815" s="27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</row>
    <row r="816" spans="1:29" ht="23.25">
      <c r="A816" s="15"/>
      <c r="B816" s="55"/>
      <c r="C816" s="66"/>
      <c r="D816" s="67"/>
      <c r="E816" s="36"/>
      <c r="F816" s="33" t="str">
        <v/>
      </c>
      <c r="G816" s="36"/>
      <c r="H816" s="36" t="str">
        <v/>
      </c>
      <c r="I816" s="36" t="str">
        <v/>
      </c>
      <c r="J816" s="36" t="str">
        <v/>
      </c>
      <c r="K816" s="36" t="str">
        <v/>
      </c>
      <c r="L816" s="36"/>
      <c r="M816" s="36" t="str">
        <v/>
      </c>
      <c r="N816" s="27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</row>
    <row r="817" spans="1:29" ht="23.25">
      <c r="A817" s="15"/>
      <c r="B817" s="55"/>
      <c r="C817" s="66"/>
      <c r="D817" s="67"/>
      <c r="E817" s="36"/>
      <c r="F817" s="33" t="str">
        <v/>
      </c>
      <c r="G817" s="36"/>
      <c r="H817" s="36" t="str">
        <v/>
      </c>
      <c r="I817" s="36" t="str">
        <v/>
      </c>
      <c r="J817" s="36" t="str">
        <v/>
      </c>
      <c r="K817" s="36" t="str">
        <v/>
      </c>
      <c r="L817" s="36"/>
      <c r="M817" s="36" t="str">
        <v/>
      </c>
      <c r="N817" s="27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</row>
    <row r="818" spans="1:29" ht="23.25">
      <c r="A818" s="15"/>
      <c r="B818" s="55"/>
      <c r="C818" s="66"/>
      <c r="D818" s="67"/>
      <c r="E818" s="36"/>
      <c r="F818" s="33" t="str">
        <v/>
      </c>
      <c r="G818" s="36"/>
      <c r="H818" s="36" t="str">
        <v/>
      </c>
      <c r="I818" s="36" t="str">
        <v/>
      </c>
      <c r="J818" s="36" t="str">
        <v/>
      </c>
      <c r="K818" s="36" t="str">
        <v/>
      </c>
      <c r="L818" s="36"/>
      <c r="M818" s="36" t="str">
        <v/>
      </c>
      <c r="N818" s="27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</row>
    <row r="819" spans="1:29" ht="23.25">
      <c r="A819" s="15"/>
      <c r="B819" s="55"/>
      <c r="C819" s="66"/>
      <c r="D819" s="67"/>
      <c r="E819" s="36"/>
      <c r="F819" s="33" t="str">
        <v/>
      </c>
      <c r="G819" s="36"/>
      <c r="H819" s="36" t="str">
        <v/>
      </c>
      <c r="I819" s="36" t="str">
        <v/>
      </c>
      <c r="J819" s="36" t="str">
        <v/>
      </c>
      <c r="K819" s="36" t="str">
        <v/>
      </c>
      <c r="L819" s="36"/>
      <c r="M819" s="36" t="str">
        <v/>
      </c>
      <c r="N819" s="27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</row>
    <row r="820" spans="1:29" ht="23.25">
      <c r="A820" s="15"/>
      <c r="B820" s="55"/>
      <c r="C820" s="66"/>
      <c r="D820" s="67"/>
      <c r="E820" s="36"/>
      <c r="F820" s="33" t="str">
        <v/>
      </c>
      <c r="G820" s="36"/>
      <c r="H820" s="36" t="str">
        <v/>
      </c>
      <c r="I820" s="36" t="str">
        <v/>
      </c>
      <c r="J820" s="36" t="str">
        <v/>
      </c>
      <c r="K820" s="36" t="str">
        <v/>
      </c>
      <c r="L820" s="36"/>
      <c r="M820" s="36" t="str">
        <v/>
      </c>
      <c r="N820" s="27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</row>
    <row r="821" spans="1:29" ht="23.25">
      <c r="A821" s="15"/>
      <c r="B821" s="55"/>
      <c r="C821" s="66"/>
      <c r="D821" s="67"/>
      <c r="E821" s="36"/>
      <c r="F821" s="33" t="str">
        <v/>
      </c>
      <c r="G821" s="36"/>
      <c r="H821" s="36" t="str">
        <v/>
      </c>
      <c r="I821" s="36" t="str">
        <v/>
      </c>
      <c r="J821" s="36" t="str">
        <v/>
      </c>
      <c r="K821" s="36" t="str">
        <v/>
      </c>
      <c r="L821" s="36"/>
      <c r="M821" s="36" t="str">
        <v/>
      </c>
      <c r="N821" s="27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</row>
    <row r="822" spans="1:29" ht="23.25">
      <c r="A822" s="15"/>
      <c r="B822" s="55"/>
      <c r="C822" s="66"/>
      <c r="D822" s="67"/>
      <c r="E822" s="36"/>
      <c r="F822" s="33" t="str">
        <v/>
      </c>
      <c r="G822" s="36"/>
      <c r="H822" s="36" t="str">
        <v/>
      </c>
      <c r="I822" s="36" t="str">
        <v/>
      </c>
      <c r="J822" s="36" t="str">
        <v/>
      </c>
      <c r="K822" s="36" t="str">
        <v/>
      </c>
      <c r="L822" s="36"/>
      <c r="M822" s="36" t="str">
        <v/>
      </c>
      <c r="N822" s="27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</row>
    <row r="823" spans="1:29" ht="23.25">
      <c r="A823" s="15"/>
      <c r="B823" s="55"/>
      <c r="C823" s="66"/>
      <c r="D823" s="67"/>
      <c r="E823" s="36"/>
      <c r="F823" s="33" t="str">
        <v/>
      </c>
      <c r="G823" s="36"/>
      <c r="H823" s="36" t="str">
        <v/>
      </c>
      <c r="I823" s="36" t="str">
        <v/>
      </c>
      <c r="J823" s="36" t="str">
        <v/>
      </c>
      <c r="K823" s="36" t="str">
        <v/>
      </c>
      <c r="L823" s="36"/>
      <c r="M823" s="36" t="str">
        <v/>
      </c>
      <c r="N823" s="27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</row>
    <row r="824" spans="1:29" ht="23.25">
      <c r="A824" s="15"/>
      <c r="B824" s="55"/>
      <c r="C824" s="66"/>
      <c r="D824" s="67"/>
      <c r="E824" s="36"/>
      <c r="F824" s="33" t="str">
        <v/>
      </c>
      <c r="G824" s="36"/>
      <c r="H824" s="36" t="str">
        <v/>
      </c>
      <c r="I824" s="36" t="str">
        <v/>
      </c>
      <c r="J824" s="36" t="str">
        <v/>
      </c>
      <c r="K824" s="36" t="str">
        <v/>
      </c>
      <c r="L824" s="36"/>
      <c r="M824" s="36" t="str">
        <v/>
      </c>
      <c r="N824" s="27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</row>
    <row r="825" spans="1:29" ht="23.25">
      <c r="A825" s="15"/>
      <c r="B825" s="55"/>
      <c r="C825" s="66"/>
      <c r="D825" s="67"/>
      <c r="E825" s="36"/>
      <c r="F825" s="33" t="str">
        <v/>
      </c>
      <c r="G825" s="36"/>
      <c r="H825" s="36" t="str">
        <v/>
      </c>
      <c r="I825" s="36" t="str">
        <v/>
      </c>
      <c r="J825" s="36" t="str">
        <v/>
      </c>
      <c r="K825" s="36" t="str">
        <v/>
      </c>
      <c r="L825" s="36"/>
      <c r="M825" s="36" t="str">
        <v/>
      </c>
      <c r="N825" s="27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</row>
    <row r="826" spans="1:29" ht="23.25">
      <c r="A826" s="15"/>
      <c r="B826" s="55"/>
      <c r="C826" s="66"/>
      <c r="D826" s="67"/>
      <c r="E826" s="36"/>
      <c r="F826" s="33" t="str">
        <v/>
      </c>
      <c r="G826" s="36"/>
      <c r="H826" s="36" t="str">
        <v/>
      </c>
      <c r="I826" s="36" t="str">
        <v/>
      </c>
      <c r="J826" s="36" t="str">
        <v/>
      </c>
      <c r="K826" s="36" t="str">
        <v/>
      </c>
      <c r="L826" s="36"/>
      <c r="M826" s="36" t="str">
        <v/>
      </c>
      <c r="N826" s="27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</row>
    <row r="827" spans="1:29" ht="23.25">
      <c r="A827" s="15"/>
      <c r="B827" s="55"/>
      <c r="C827" s="66"/>
      <c r="D827" s="67"/>
      <c r="E827" s="36"/>
      <c r="F827" s="33" t="str">
        <v/>
      </c>
      <c r="G827" s="36"/>
      <c r="H827" s="36" t="str">
        <v/>
      </c>
      <c r="I827" s="36" t="str">
        <v/>
      </c>
      <c r="J827" s="36" t="str">
        <v/>
      </c>
      <c r="K827" s="36" t="str">
        <v/>
      </c>
      <c r="L827" s="36"/>
      <c r="M827" s="36" t="str">
        <v/>
      </c>
      <c r="N827" s="27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</row>
    <row r="828" spans="1:29" ht="23.25">
      <c r="A828" s="15"/>
      <c r="B828" s="55"/>
      <c r="C828" s="66"/>
      <c r="D828" s="67"/>
      <c r="E828" s="36"/>
      <c r="F828" s="33" t="str">
        <v/>
      </c>
      <c r="G828" s="36"/>
      <c r="H828" s="36" t="str">
        <v/>
      </c>
      <c r="I828" s="36" t="str">
        <v/>
      </c>
      <c r="J828" s="36" t="str">
        <v/>
      </c>
      <c r="K828" s="36" t="str">
        <v/>
      </c>
      <c r="L828" s="36"/>
      <c r="M828" s="36" t="str">
        <v/>
      </c>
      <c r="N828" s="27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</row>
    <row r="829" spans="1:29" ht="23.25">
      <c r="A829" s="15"/>
      <c r="B829" s="55"/>
      <c r="C829" s="66"/>
      <c r="D829" s="67"/>
      <c r="E829" s="36"/>
      <c r="F829" s="33" t="str">
        <v/>
      </c>
      <c r="G829" s="36"/>
      <c r="H829" s="36" t="str">
        <v/>
      </c>
      <c r="I829" s="36" t="str">
        <v/>
      </c>
      <c r="J829" s="36" t="str">
        <v/>
      </c>
      <c r="K829" s="36" t="str">
        <v/>
      </c>
      <c r="L829" s="36"/>
      <c r="M829" s="36" t="str">
        <v/>
      </c>
      <c r="N829" s="27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</row>
    <row r="830" spans="1:29" ht="23.25">
      <c r="A830" s="15"/>
      <c r="B830" s="55"/>
      <c r="C830" s="66"/>
      <c r="D830" s="67"/>
      <c r="E830" s="36"/>
      <c r="F830" s="33" t="str">
        <v/>
      </c>
      <c r="G830" s="36"/>
      <c r="H830" s="36" t="str">
        <v/>
      </c>
      <c r="I830" s="36" t="str">
        <v/>
      </c>
      <c r="J830" s="36" t="str">
        <v/>
      </c>
      <c r="K830" s="36" t="str">
        <v/>
      </c>
      <c r="L830" s="36"/>
      <c r="M830" s="36" t="str">
        <v/>
      </c>
      <c r="N830" s="27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</row>
    <row r="831" spans="1:29" ht="23.25">
      <c r="A831" s="15"/>
      <c r="B831" s="55"/>
      <c r="C831" s="66"/>
      <c r="D831" s="67"/>
      <c r="E831" s="36"/>
      <c r="F831" s="33" t="str">
        <v/>
      </c>
      <c r="G831" s="36"/>
      <c r="H831" s="36" t="str">
        <v/>
      </c>
      <c r="I831" s="36" t="str">
        <v/>
      </c>
      <c r="J831" s="36" t="str">
        <v/>
      </c>
      <c r="K831" s="36" t="str">
        <v/>
      </c>
      <c r="L831" s="36"/>
      <c r="M831" s="36" t="str">
        <v/>
      </c>
      <c r="N831" s="27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</row>
    <row r="832" spans="1:29" ht="23.25">
      <c r="A832" s="15"/>
      <c r="B832" s="55"/>
      <c r="C832" s="66"/>
      <c r="D832" s="67"/>
      <c r="E832" s="36"/>
      <c r="F832" s="33" t="str">
        <v/>
      </c>
      <c r="G832" s="36"/>
      <c r="H832" s="36" t="str">
        <v/>
      </c>
      <c r="I832" s="36" t="str">
        <v/>
      </c>
      <c r="J832" s="36" t="str">
        <v/>
      </c>
      <c r="K832" s="36" t="str">
        <v/>
      </c>
      <c r="L832" s="36"/>
      <c r="M832" s="36" t="str">
        <v/>
      </c>
      <c r="N832" s="27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</row>
    <row r="833" spans="1:29" ht="23.25">
      <c r="A833" s="15"/>
      <c r="B833" s="55"/>
      <c r="C833" s="66"/>
      <c r="D833" s="67"/>
      <c r="E833" s="36"/>
      <c r="F833" s="33" t="str">
        <v/>
      </c>
      <c r="G833" s="36"/>
      <c r="H833" s="36" t="str">
        <v/>
      </c>
      <c r="I833" s="36" t="str">
        <v/>
      </c>
      <c r="J833" s="36" t="str">
        <v/>
      </c>
      <c r="K833" s="36" t="str">
        <v/>
      </c>
      <c r="L833" s="36"/>
      <c r="M833" s="36" t="str">
        <v/>
      </c>
      <c r="N833" s="27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</row>
    <row r="834" spans="1:29" ht="23.25">
      <c r="A834" s="15"/>
      <c r="B834" s="55"/>
      <c r="C834" s="66"/>
      <c r="D834" s="67"/>
      <c r="E834" s="36"/>
      <c r="F834" s="33" t="str">
        <v/>
      </c>
      <c r="G834" s="36"/>
      <c r="H834" s="36" t="str">
        <v/>
      </c>
      <c r="I834" s="36" t="str">
        <v/>
      </c>
      <c r="J834" s="36" t="str">
        <v/>
      </c>
      <c r="K834" s="36" t="str">
        <v/>
      </c>
      <c r="L834" s="36"/>
      <c r="M834" s="36" t="str">
        <v/>
      </c>
      <c r="N834" s="27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</row>
    <row r="835" spans="1:29" ht="23.25">
      <c r="A835" s="15"/>
      <c r="B835" s="55"/>
      <c r="C835" s="66"/>
      <c r="D835" s="67"/>
      <c r="E835" s="36"/>
      <c r="F835" s="33" t="str">
        <v/>
      </c>
      <c r="G835" s="36"/>
      <c r="H835" s="36" t="str">
        <v/>
      </c>
      <c r="I835" s="36" t="str">
        <v/>
      </c>
      <c r="J835" s="36" t="str">
        <v/>
      </c>
      <c r="K835" s="36" t="str">
        <v/>
      </c>
      <c r="L835" s="36"/>
      <c r="M835" s="36" t="str">
        <v/>
      </c>
      <c r="N835" s="27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</row>
    <row r="836" spans="1:29" ht="23.25">
      <c r="A836" s="15"/>
      <c r="B836" s="55"/>
      <c r="C836" s="66"/>
      <c r="D836" s="67"/>
      <c r="E836" s="36"/>
      <c r="F836" s="33" t="str">
        <v/>
      </c>
      <c r="G836" s="36"/>
      <c r="H836" s="36" t="str">
        <v/>
      </c>
      <c r="I836" s="36" t="str">
        <v/>
      </c>
      <c r="J836" s="36" t="str">
        <v/>
      </c>
      <c r="K836" s="36" t="str">
        <v/>
      </c>
      <c r="L836" s="36"/>
      <c r="M836" s="36" t="str">
        <v/>
      </c>
      <c r="N836" s="27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</row>
    <row r="837" spans="1:29" ht="23.25">
      <c r="A837" s="15"/>
      <c r="B837" s="55"/>
      <c r="C837" s="66"/>
      <c r="D837" s="67"/>
      <c r="E837" s="36"/>
      <c r="F837" s="33" t="str">
        <v/>
      </c>
      <c r="G837" s="36"/>
      <c r="H837" s="36" t="str">
        <v/>
      </c>
      <c r="I837" s="36" t="str">
        <v/>
      </c>
      <c r="J837" s="36" t="str">
        <v/>
      </c>
      <c r="K837" s="36" t="str">
        <v/>
      </c>
      <c r="L837" s="36"/>
      <c r="M837" s="36" t="str">
        <v/>
      </c>
      <c r="N837" s="27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</row>
    <row r="838" spans="1:29" ht="23.25">
      <c r="A838" s="15"/>
      <c r="B838" s="55"/>
      <c r="C838" s="66"/>
      <c r="D838" s="67"/>
      <c r="E838" s="36"/>
      <c r="F838" s="33" t="str">
        <v/>
      </c>
      <c r="G838" s="36"/>
      <c r="H838" s="36" t="str">
        <v/>
      </c>
      <c r="I838" s="36" t="str">
        <v/>
      </c>
      <c r="J838" s="36" t="str">
        <v/>
      </c>
      <c r="K838" s="36" t="str">
        <v/>
      </c>
      <c r="L838" s="36"/>
      <c r="M838" s="36" t="str">
        <v/>
      </c>
      <c r="N838" s="27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</row>
    <row r="839" spans="1:29" ht="23.25">
      <c r="A839" s="15"/>
      <c r="B839" s="55"/>
      <c r="C839" s="66"/>
      <c r="D839" s="67"/>
      <c r="E839" s="36"/>
      <c r="F839" s="33" t="str">
        <v/>
      </c>
      <c r="G839" s="36"/>
      <c r="H839" s="36" t="str">
        <v/>
      </c>
      <c r="I839" s="36" t="str">
        <v/>
      </c>
      <c r="J839" s="36" t="str">
        <v/>
      </c>
      <c r="K839" s="36" t="str">
        <v/>
      </c>
      <c r="L839" s="36"/>
      <c r="M839" s="36" t="str">
        <v/>
      </c>
      <c r="N839" s="27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</row>
    <row r="840" spans="1:29" ht="23.25">
      <c r="A840" s="15"/>
      <c r="B840" s="55"/>
      <c r="C840" s="66"/>
      <c r="D840" s="67"/>
      <c r="E840" s="36"/>
      <c r="F840" s="33" t="str">
        <v/>
      </c>
      <c r="G840" s="36"/>
      <c r="H840" s="36" t="str">
        <v/>
      </c>
      <c r="I840" s="36" t="str">
        <v/>
      </c>
      <c r="J840" s="36" t="str">
        <v/>
      </c>
      <c r="K840" s="36" t="str">
        <v/>
      </c>
      <c r="L840" s="36"/>
      <c r="M840" s="36" t="str">
        <v/>
      </c>
      <c r="N840" s="27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</row>
    <row r="841" spans="1:29" ht="23.25">
      <c r="A841" s="15"/>
      <c r="B841" s="55"/>
      <c r="C841" s="66"/>
      <c r="D841" s="67"/>
      <c r="E841" s="36"/>
      <c r="F841" s="33" t="str">
        <v/>
      </c>
      <c r="G841" s="36"/>
      <c r="H841" s="36" t="str">
        <v/>
      </c>
      <c r="I841" s="36" t="str">
        <v/>
      </c>
      <c r="J841" s="36" t="str">
        <v/>
      </c>
      <c r="K841" s="36" t="str">
        <v/>
      </c>
      <c r="L841" s="36"/>
      <c r="M841" s="36" t="str">
        <v/>
      </c>
      <c r="N841" s="27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</row>
    <row r="842" spans="1:29" ht="23.25">
      <c r="A842" s="15"/>
      <c r="B842" s="55"/>
      <c r="C842" s="66"/>
      <c r="D842" s="67"/>
      <c r="E842" s="36"/>
      <c r="F842" s="33" t="str">
        <v/>
      </c>
      <c r="G842" s="36"/>
      <c r="H842" s="36" t="str">
        <v/>
      </c>
      <c r="I842" s="36" t="str">
        <v/>
      </c>
      <c r="J842" s="36" t="str">
        <v/>
      </c>
      <c r="K842" s="36" t="str">
        <v/>
      </c>
      <c r="L842" s="36"/>
      <c r="M842" s="36" t="str">
        <v/>
      </c>
      <c r="N842" s="27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</row>
    <row r="843" spans="1:29" ht="23.25">
      <c r="A843" s="15"/>
      <c r="B843" s="55"/>
      <c r="C843" s="66"/>
      <c r="D843" s="67"/>
      <c r="E843" s="36"/>
      <c r="F843" s="33" t="str">
        <v/>
      </c>
      <c r="G843" s="36"/>
      <c r="H843" s="36" t="str">
        <v/>
      </c>
      <c r="I843" s="36" t="str">
        <v/>
      </c>
      <c r="J843" s="36" t="str">
        <v/>
      </c>
      <c r="K843" s="36" t="str">
        <v/>
      </c>
      <c r="L843" s="36"/>
      <c r="M843" s="36" t="str">
        <v/>
      </c>
      <c r="N843" s="27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</row>
    <row r="844" spans="1:29" ht="23.25">
      <c r="A844" s="15"/>
      <c r="B844" s="55"/>
      <c r="C844" s="66"/>
      <c r="D844" s="67"/>
      <c r="E844" s="36"/>
      <c r="F844" s="33" t="str">
        <v/>
      </c>
      <c r="G844" s="36"/>
      <c r="H844" s="36" t="str">
        <v/>
      </c>
      <c r="I844" s="36" t="str">
        <v/>
      </c>
      <c r="J844" s="36" t="str">
        <v/>
      </c>
      <c r="K844" s="36" t="str">
        <v/>
      </c>
      <c r="L844" s="36"/>
      <c r="M844" s="36" t="str">
        <v/>
      </c>
      <c r="N844" s="27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</row>
    <row r="845" spans="1:29" ht="23.25">
      <c r="A845" s="15"/>
      <c r="B845" s="55"/>
      <c r="C845" s="66"/>
      <c r="D845" s="67"/>
      <c r="E845" s="36"/>
      <c r="F845" s="33" t="str">
        <v/>
      </c>
      <c r="G845" s="36"/>
      <c r="H845" s="36" t="str">
        <v/>
      </c>
      <c r="I845" s="36" t="str">
        <v/>
      </c>
      <c r="J845" s="36" t="str">
        <v/>
      </c>
      <c r="K845" s="36" t="str">
        <v/>
      </c>
      <c r="L845" s="36"/>
      <c r="M845" s="36" t="str">
        <v/>
      </c>
      <c r="N845" s="27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</row>
    <row r="846" spans="1:29" ht="23.25">
      <c r="A846" s="15"/>
      <c r="B846" s="55"/>
      <c r="C846" s="66"/>
      <c r="D846" s="67"/>
      <c r="E846" s="36"/>
      <c r="F846" s="33" t="str">
        <v/>
      </c>
      <c r="G846" s="36"/>
      <c r="H846" s="36" t="str">
        <v/>
      </c>
      <c r="I846" s="36" t="str">
        <v/>
      </c>
      <c r="J846" s="36" t="str">
        <v/>
      </c>
      <c r="K846" s="36" t="str">
        <v/>
      </c>
      <c r="L846" s="36"/>
      <c r="M846" s="36" t="str">
        <v/>
      </c>
      <c r="N846" s="27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</row>
    <row r="847" spans="1:29" ht="23.25">
      <c r="A847" s="15"/>
      <c r="B847" s="55"/>
      <c r="C847" s="66"/>
      <c r="D847" s="67"/>
      <c r="E847" s="36"/>
      <c r="F847" s="33" t="str">
        <v/>
      </c>
      <c r="G847" s="36"/>
      <c r="H847" s="36" t="str">
        <v/>
      </c>
      <c r="I847" s="36" t="str">
        <v/>
      </c>
      <c r="J847" s="36" t="str">
        <v/>
      </c>
      <c r="K847" s="36" t="str">
        <v/>
      </c>
      <c r="L847" s="36"/>
      <c r="M847" s="36" t="str">
        <v/>
      </c>
      <c r="N847" s="27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</row>
    <row r="848" spans="1:29" ht="23.25">
      <c r="A848" s="15"/>
      <c r="B848" s="55"/>
      <c r="C848" s="66"/>
      <c r="D848" s="67"/>
      <c r="E848" s="36"/>
      <c r="F848" s="33" t="str">
        <v/>
      </c>
      <c r="G848" s="36"/>
      <c r="H848" s="36" t="str">
        <v/>
      </c>
      <c r="I848" s="36" t="str">
        <v/>
      </c>
      <c r="J848" s="36" t="str">
        <v/>
      </c>
      <c r="K848" s="36" t="str">
        <v/>
      </c>
      <c r="L848" s="36"/>
      <c r="M848" s="36" t="str">
        <v/>
      </c>
      <c r="N848" s="27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</row>
    <row r="849" spans="1:29" ht="23.25">
      <c r="A849" s="15"/>
      <c r="B849" s="55"/>
      <c r="C849" s="66"/>
      <c r="D849" s="67"/>
      <c r="E849" s="36"/>
      <c r="F849" s="33" t="str">
        <v/>
      </c>
      <c r="G849" s="36"/>
      <c r="H849" s="36" t="str">
        <v/>
      </c>
      <c r="I849" s="36" t="str">
        <v/>
      </c>
      <c r="J849" s="36" t="str">
        <v/>
      </c>
      <c r="K849" s="36" t="str">
        <v/>
      </c>
      <c r="L849" s="36"/>
      <c r="M849" s="36" t="str">
        <v/>
      </c>
      <c r="N849" s="27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</row>
    <row r="850" spans="1:29" ht="23.25">
      <c r="A850" s="15"/>
      <c r="B850" s="55"/>
      <c r="C850" s="66"/>
      <c r="D850" s="67"/>
      <c r="E850" s="36"/>
      <c r="F850" s="33" t="str">
        <v/>
      </c>
      <c r="G850" s="36"/>
      <c r="H850" s="36" t="str">
        <v/>
      </c>
      <c r="I850" s="36" t="str">
        <v/>
      </c>
      <c r="J850" s="36" t="str">
        <v/>
      </c>
      <c r="K850" s="36" t="str">
        <v/>
      </c>
      <c r="L850" s="36"/>
      <c r="M850" s="36" t="str">
        <v/>
      </c>
      <c r="N850" s="27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</row>
    <row r="851" spans="1:29" ht="23.25">
      <c r="A851" s="15"/>
      <c r="B851" s="55"/>
      <c r="C851" s="66"/>
      <c r="D851" s="67"/>
      <c r="E851" s="36"/>
      <c r="F851" s="33" t="str">
        <v/>
      </c>
      <c r="G851" s="36"/>
      <c r="H851" s="36" t="str">
        <v/>
      </c>
      <c r="I851" s="36" t="str">
        <v/>
      </c>
      <c r="J851" s="36" t="str">
        <v/>
      </c>
      <c r="K851" s="36" t="str">
        <v/>
      </c>
      <c r="L851" s="36"/>
      <c r="M851" s="36" t="str">
        <v/>
      </c>
      <c r="N851" s="27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</row>
    <row r="852" spans="1:29" ht="23.25">
      <c r="A852" s="15"/>
      <c r="B852" s="55"/>
      <c r="C852" s="66"/>
      <c r="D852" s="67"/>
      <c r="E852" s="36"/>
      <c r="F852" s="33" t="str">
        <v/>
      </c>
      <c r="G852" s="36"/>
      <c r="H852" s="36" t="str">
        <v/>
      </c>
      <c r="I852" s="36" t="str">
        <v/>
      </c>
      <c r="J852" s="36" t="str">
        <v/>
      </c>
      <c r="K852" s="36" t="str">
        <v/>
      </c>
      <c r="L852" s="36"/>
      <c r="M852" s="36" t="str">
        <v/>
      </c>
      <c r="N852" s="27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</row>
    <row r="853" spans="1:29" ht="23.25">
      <c r="A853" s="15"/>
      <c r="B853" s="55"/>
      <c r="C853" s="66"/>
      <c r="D853" s="67"/>
      <c r="E853" s="36"/>
      <c r="F853" s="33" t="str">
        <v/>
      </c>
      <c r="G853" s="36"/>
      <c r="H853" s="36" t="str">
        <v/>
      </c>
      <c r="I853" s="36" t="str">
        <v/>
      </c>
      <c r="J853" s="36" t="str">
        <v/>
      </c>
      <c r="K853" s="36" t="str">
        <v/>
      </c>
      <c r="L853" s="36"/>
      <c r="M853" s="36" t="str">
        <v/>
      </c>
      <c r="N853" s="27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</row>
    <row r="854" spans="1:29" ht="23.25">
      <c r="A854" s="15"/>
      <c r="B854" s="55"/>
      <c r="C854" s="66"/>
      <c r="D854" s="67"/>
      <c r="E854" s="36"/>
      <c r="F854" s="33" t="str">
        <v/>
      </c>
      <c r="G854" s="36"/>
      <c r="H854" s="36" t="str">
        <v/>
      </c>
      <c r="I854" s="36" t="str">
        <v/>
      </c>
      <c r="J854" s="36" t="str">
        <v/>
      </c>
      <c r="K854" s="36" t="str">
        <v/>
      </c>
      <c r="L854" s="36"/>
      <c r="M854" s="36" t="str">
        <v/>
      </c>
      <c r="N854" s="27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</row>
    <row r="855" spans="1:29" ht="23.25">
      <c r="A855" s="15"/>
      <c r="B855" s="55"/>
      <c r="C855" s="66"/>
      <c r="D855" s="67"/>
      <c r="E855" s="36"/>
      <c r="F855" s="33" t="str">
        <v/>
      </c>
      <c r="G855" s="36"/>
      <c r="H855" s="36" t="str">
        <v/>
      </c>
      <c r="I855" s="36" t="str">
        <v/>
      </c>
      <c r="J855" s="36" t="str">
        <v/>
      </c>
      <c r="K855" s="36" t="str">
        <v/>
      </c>
      <c r="L855" s="36"/>
      <c r="M855" s="36" t="str">
        <v/>
      </c>
      <c r="N855" s="27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</row>
    <row r="856" spans="1:29" ht="23.25">
      <c r="A856" s="15"/>
      <c r="B856" s="55"/>
      <c r="C856" s="66"/>
      <c r="D856" s="67"/>
      <c r="E856" s="36"/>
      <c r="F856" s="33" t="str">
        <v/>
      </c>
      <c r="G856" s="36"/>
      <c r="H856" s="36" t="str">
        <v/>
      </c>
      <c r="I856" s="36" t="str">
        <v/>
      </c>
      <c r="J856" s="36" t="str">
        <v/>
      </c>
      <c r="K856" s="36" t="str">
        <v/>
      </c>
      <c r="L856" s="36"/>
      <c r="M856" s="36" t="str">
        <v/>
      </c>
      <c r="N856" s="27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</row>
    <row r="857" spans="1:29" ht="23.25">
      <c r="A857" s="15"/>
      <c r="B857" s="55"/>
      <c r="C857" s="66"/>
      <c r="D857" s="67"/>
      <c r="E857" s="36"/>
      <c r="F857" s="33" t="str">
        <v/>
      </c>
      <c r="G857" s="36"/>
      <c r="H857" s="36" t="str">
        <v/>
      </c>
      <c r="I857" s="36" t="str">
        <v/>
      </c>
      <c r="J857" s="36" t="str">
        <v/>
      </c>
      <c r="K857" s="36" t="str">
        <v/>
      </c>
      <c r="L857" s="36"/>
      <c r="M857" s="36" t="str">
        <v/>
      </c>
      <c r="N857" s="27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</row>
    <row r="858" spans="1:29" ht="23.25">
      <c r="A858" s="15"/>
      <c r="B858" s="55"/>
      <c r="C858" s="66"/>
      <c r="D858" s="67"/>
      <c r="E858" s="36"/>
      <c r="F858" s="33" t="str">
        <v/>
      </c>
      <c r="G858" s="36"/>
      <c r="H858" s="36" t="str">
        <v/>
      </c>
      <c r="I858" s="36" t="str">
        <v/>
      </c>
      <c r="J858" s="36" t="str">
        <v/>
      </c>
      <c r="K858" s="36" t="str">
        <v/>
      </c>
      <c r="L858" s="36"/>
      <c r="M858" s="36" t="str">
        <v/>
      </c>
      <c r="N858" s="27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</row>
    <row r="859" spans="1:29" ht="23.25">
      <c r="A859" s="15"/>
      <c r="B859" s="55"/>
      <c r="C859" s="66"/>
      <c r="D859" s="67"/>
      <c r="E859" s="36"/>
      <c r="F859" s="33" t="str">
        <v/>
      </c>
      <c r="G859" s="36"/>
      <c r="H859" s="36" t="str">
        <v/>
      </c>
      <c r="I859" s="36" t="str">
        <v/>
      </c>
      <c r="J859" s="36" t="str">
        <v/>
      </c>
      <c r="K859" s="36" t="str">
        <v/>
      </c>
      <c r="L859" s="36"/>
      <c r="M859" s="36" t="str">
        <v/>
      </c>
      <c r="N859" s="27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</row>
    <row r="860" spans="1:29" ht="23.25">
      <c r="A860" s="15"/>
      <c r="B860" s="55"/>
      <c r="C860" s="66"/>
      <c r="D860" s="67"/>
      <c r="E860" s="36"/>
      <c r="F860" s="33" t="str">
        <v/>
      </c>
      <c r="G860" s="36"/>
      <c r="H860" s="36" t="str">
        <v/>
      </c>
      <c r="I860" s="36" t="str">
        <v/>
      </c>
      <c r="J860" s="36" t="str">
        <v/>
      </c>
      <c r="K860" s="36" t="str">
        <v/>
      </c>
      <c r="L860" s="36"/>
      <c r="M860" s="36" t="str">
        <v/>
      </c>
      <c r="N860" s="27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</row>
    <row r="861" spans="1:29" ht="23.25">
      <c r="A861" s="15"/>
      <c r="B861" s="55"/>
      <c r="C861" s="66"/>
      <c r="D861" s="67"/>
      <c r="E861" s="36"/>
      <c r="F861" s="33" t="str">
        <v/>
      </c>
      <c r="G861" s="36"/>
      <c r="H861" s="36" t="str">
        <v/>
      </c>
      <c r="I861" s="36" t="str">
        <v/>
      </c>
      <c r="J861" s="36" t="str">
        <v/>
      </c>
      <c r="K861" s="36" t="str">
        <v/>
      </c>
      <c r="L861" s="36"/>
      <c r="M861" s="36" t="str">
        <v/>
      </c>
      <c r="N861" s="27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</row>
    <row r="862" spans="1:29" ht="23.25">
      <c r="A862" s="15"/>
      <c r="B862" s="55"/>
      <c r="C862" s="66"/>
      <c r="D862" s="67"/>
      <c r="E862" s="36"/>
      <c r="F862" s="33" t="str">
        <v/>
      </c>
      <c r="G862" s="36"/>
      <c r="H862" s="36" t="str">
        <v/>
      </c>
      <c r="I862" s="36" t="str">
        <v/>
      </c>
      <c r="J862" s="36" t="str">
        <v/>
      </c>
      <c r="K862" s="36" t="str">
        <v/>
      </c>
      <c r="L862" s="36"/>
      <c r="M862" s="36" t="str">
        <v/>
      </c>
      <c r="N862" s="27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</row>
    <row r="863" spans="1:29" ht="23.25">
      <c r="A863" s="15"/>
      <c r="B863" s="55"/>
      <c r="C863" s="66"/>
      <c r="D863" s="67"/>
      <c r="E863" s="36"/>
      <c r="F863" s="33" t="str">
        <v/>
      </c>
      <c r="G863" s="36"/>
      <c r="H863" s="36" t="str">
        <v/>
      </c>
      <c r="I863" s="36" t="str">
        <v/>
      </c>
      <c r="J863" s="36" t="str">
        <v/>
      </c>
      <c r="K863" s="36" t="str">
        <v/>
      </c>
      <c r="L863" s="36"/>
      <c r="M863" s="36" t="str">
        <v/>
      </c>
      <c r="N863" s="27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</row>
    <row r="864" spans="1:29" ht="23.25">
      <c r="A864" s="15"/>
      <c r="B864" s="55"/>
      <c r="C864" s="66"/>
      <c r="D864" s="67"/>
      <c r="E864" s="36"/>
      <c r="F864" s="33" t="str">
        <v/>
      </c>
      <c r="G864" s="36"/>
      <c r="H864" s="36" t="str">
        <v/>
      </c>
      <c r="I864" s="36" t="str">
        <v/>
      </c>
      <c r="J864" s="36" t="str">
        <v/>
      </c>
      <c r="K864" s="36" t="str">
        <v/>
      </c>
      <c r="L864" s="36"/>
      <c r="M864" s="36" t="str">
        <v/>
      </c>
      <c r="N864" s="27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</row>
  </sheetData>
  <autoFilter ref="A1:M1" xr:uid="{00000000-0009-0000-0000-000000000000}"/>
  <conditionalFormatting sqref="K2 C3 D3:D48 K4:K24 K26:K251 D50:D63 D65:D73 D75 D77:D107 D109:D143 D145 D147:D154">
    <cfRule type="containsText" dxfId="9" priority="1" operator="containsText" text="Disponible">
      <formula>NOT(ISERROR(SEARCH(("Disponible"),(K2))))</formula>
    </cfRule>
  </conditionalFormatting>
  <printOptions horizontalCentered="1"/>
  <pageMargins left="0.25" right="0.25" top="0.12095730918499353" bottom="0.12095730918499353" header="0" footer="0"/>
  <pageSetup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FF00"/>
    <outlinePr summaryBelow="0" summaryRight="0"/>
  </sheetPr>
  <dimension ref="A1:Q967"/>
  <sheetViews>
    <sheetView showGridLines="0" workbookViewId="0"/>
  </sheetViews>
  <sheetFormatPr baseColWidth="10" defaultColWidth="12.5703125" defaultRowHeight="15.75" customHeight="1"/>
  <cols>
    <col min="1" max="1" width="22.42578125" customWidth="1"/>
    <col min="2" max="2" width="18.85546875" customWidth="1"/>
    <col min="3" max="3" width="21.85546875" customWidth="1"/>
    <col min="4" max="4" width="45.85546875" customWidth="1"/>
  </cols>
  <sheetData>
    <row r="1" spans="1:17" ht="36">
      <c r="A1" s="1" t="s">
        <v>1</v>
      </c>
      <c r="B1" s="1" t="s">
        <v>4</v>
      </c>
      <c r="C1" s="1" t="s">
        <v>3</v>
      </c>
      <c r="D1" s="1" t="s">
        <v>5</v>
      </c>
      <c r="E1" s="1" t="s">
        <v>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23.25" hidden="1">
      <c r="A2" s="5">
        <v>16</v>
      </c>
      <c r="B2" s="6" t="s">
        <v>11</v>
      </c>
      <c r="C2" s="7" t="s">
        <v>12</v>
      </c>
      <c r="D2" s="22" t="str">
        <f>IF(B2="VIS","LOCKERT VISITA",IF(C2="VESTIDOR MUJERES",IF(COUNTIFS(ASIGNACIONES!E:E,A2,ASIGNACIONES!K:K,C2)=0,"LOCKERT DISPONIBLE","LOCKERT ASIGNADO"),IF(COUNTIFS(ASIGNACIONES!E:E,A2,ASIGNACIONES!H:H,B2,ASIGNACIONES!K:K,C2)=0,"LOCKERT DISPONIBLE","LOCKERT ASIGNADO")))</f>
        <v>LOCKERT DISPONIBLE</v>
      </c>
      <c r="E2" s="3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23.25" hidden="1">
      <c r="A3" s="5">
        <v>27</v>
      </c>
      <c r="B3" s="6" t="s">
        <v>11</v>
      </c>
      <c r="C3" s="7" t="s">
        <v>12</v>
      </c>
      <c r="D3" s="22" t="str">
        <f>IF(B3="VIS","LOCKERT VISITA",IF(C3="VESTIDOR MUJERES",IF(COUNTIFS(ASIGNACIONES!E:E,A3,ASIGNACIONES!K:K,C3)=0,"LOCKERT DISPONIBLE","LOCKERT ASIGNADO"),IF(COUNTIFS(ASIGNACIONES!E:E,A3,ASIGNACIONES!H:H,B3,ASIGNACIONES!K:K,C3)=0,"LOCKERT DISPONIBLE","LOCKERT ASIGNADO")))</f>
        <v>LOCKERT DISPONIBLE</v>
      </c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23.25" hidden="1">
      <c r="A4" s="5">
        <v>1</v>
      </c>
      <c r="B4" s="6" t="s">
        <v>47</v>
      </c>
      <c r="C4" s="7" t="s">
        <v>12</v>
      </c>
      <c r="D4" s="22" t="str">
        <f>IF(B4="VIS","LOCKERT VISITA",IF(C4="VESTIDOR MUJERES",IF(COUNTIFS(ASIGNACIONES!E:E,A4,ASIGNACIONES!K:K,C4)=0,"LOCKERT DISPONIBLE","LOCKERT ASIGNADO"),IF(COUNTIFS(ASIGNACIONES!E:E,A4,ASIGNACIONES!H:H,B4,ASIGNACIONES!K:K,C4)=0,"LOCKERT DISPONIBLE","LOCKERT ASIGNADO")))</f>
        <v>LOCKERT DISPONIBLE</v>
      </c>
      <c r="E4" s="3">
        <v>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23.25" hidden="1">
      <c r="A5" s="5">
        <v>5</v>
      </c>
      <c r="B5" s="6" t="s">
        <v>47</v>
      </c>
      <c r="C5" s="7" t="s">
        <v>31</v>
      </c>
      <c r="D5" s="22" t="str">
        <f>IF(B5="VIS","LOCKERT VISITA",IF(C5="VESTIDOR MUJERES",IF(COUNTIFS(ASIGNACIONES!E:E,A5,ASIGNACIONES!K:K,C5)=0,"LOCKERT DISPONIBLE","LOCKERT ASIGNADO"),IF(COUNTIFS(ASIGNACIONES!E:E,A5,ASIGNACIONES!H:H,B5,ASIGNACIONES!K:K,C5)=0,"LOCKERT DISPONIBLE","LOCKERT ASIGNADO")))</f>
        <v>LOCKERT DISPONIBLE</v>
      </c>
      <c r="E5" s="3">
        <v>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23.25" hidden="1">
      <c r="A6" s="5">
        <v>3</v>
      </c>
      <c r="B6" s="6" t="s">
        <v>90</v>
      </c>
      <c r="C6" s="7" t="s">
        <v>12</v>
      </c>
      <c r="D6" s="22" t="str">
        <f>IF(B6="VIS","LOCKERT VISITA",IF(C6="VESTIDOR MUJERES",IF(COUNTIFS(ASIGNACIONES!E:E,A6,ASIGNACIONES!K:K,C6)=0,"LOCKERT DISPONIBLE","LOCKERT ASIGNADO"),IF(COUNTIFS(ASIGNACIONES!E:E,A6,ASIGNACIONES!H:H,B6,ASIGNACIONES!K:K,C6)=0,"LOCKERT DISPONIBLE","LOCKERT ASIGNADO")))</f>
        <v>LOCKERT DISPONIBLE</v>
      </c>
      <c r="E6" s="3">
        <v>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23.25" hidden="1">
      <c r="A7" s="5">
        <v>4</v>
      </c>
      <c r="B7" s="6" t="s">
        <v>90</v>
      </c>
      <c r="C7" s="7" t="s">
        <v>31</v>
      </c>
      <c r="D7" s="22" t="str">
        <f>IF(B7="VIS","LOCKERT VISITA",IF(C7="VESTIDOR MUJERES",IF(COUNTIFS(ASIGNACIONES!E:E,A7,ASIGNACIONES!K:K,C7)=0,"LOCKERT DISPONIBLE","LOCKERT ASIGNADO"),IF(COUNTIFS(ASIGNACIONES!E:E,A7,ASIGNACIONES!H:H,B7,ASIGNACIONES!K:K,C7)=0,"LOCKERT DISPONIBLE","LOCKERT ASIGNADO")))</f>
        <v>LOCKERT DISPONIBLE</v>
      </c>
      <c r="E7" s="3">
        <v>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23.25" hidden="1">
      <c r="A8" s="5">
        <v>6</v>
      </c>
      <c r="B8" s="6" t="s">
        <v>129</v>
      </c>
      <c r="C8" s="7" t="s">
        <v>12</v>
      </c>
      <c r="D8" s="22" t="str">
        <f>IF(B8="VIS","LOCKERT VISITA",IF(C8="VESTIDOR MUJERES",IF(COUNTIFS(ASIGNACIONES!E:E,A8,ASIGNACIONES!K:K,C8)=0,"LOCKERT DISPONIBLE","LOCKERT ASIGNADO"),IF(COUNTIFS(ASIGNACIONES!E:E,A8,ASIGNACIONES!H:H,B8,ASIGNACIONES!K:K,C8)=0,"LOCKERT DISPONIBLE","LOCKERT ASIGNADO")))</f>
        <v>LOCKERT ASIGNADO</v>
      </c>
      <c r="E8" s="3">
        <v>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23.25" hidden="1">
      <c r="A9" s="5">
        <v>8</v>
      </c>
      <c r="B9" s="6" t="s">
        <v>90</v>
      </c>
      <c r="C9" s="7" t="s">
        <v>31</v>
      </c>
      <c r="D9" s="22" t="str">
        <f>IF(B9="VIS","LOCKERT VISITA",IF(C9="VESTIDOR MUJERES",IF(COUNTIFS(ASIGNACIONES!E:E,A9,ASIGNACIONES!K:K,C9)=0,"LOCKERT DISPONIBLE","LOCKERT ASIGNADO"),IF(COUNTIFS(ASIGNACIONES!E:E,A9,ASIGNACIONES!H:H,B9,ASIGNACIONES!K:K,C9)=0,"LOCKERT DISPONIBLE","LOCKERT ASIGNADO")))</f>
        <v>LOCKERT ASIGNADO</v>
      </c>
      <c r="E9" s="3">
        <v>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23.25" hidden="1">
      <c r="A10" s="5">
        <v>9</v>
      </c>
      <c r="B10" s="6" t="s">
        <v>90</v>
      </c>
      <c r="C10" s="7" t="s">
        <v>12</v>
      </c>
      <c r="D10" s="22" t="str">
        <f>IF(B10="VIS","LOCKERT VISITA",IF(C10="VESTIDOR MUJERES",IF(COUNTIFS(ASIGNACIONES!E:E,A10,ASIGNACIONES!K:K,C10)=0,"LOCKERT DISPONIBLE","LOCKERT ASIGNADO"),IF(COUNTIFS(ASIGNACIONES!E:E,A10,ASIGNACIONES!H:H,B10,ASIGNACIONES!K:K,C10)=0,"LOCKERT DISPONIBLE","LOCKERT ASIGNADO")))</f>
        <v>LOCKERT ASIGNADO</v>
      </c>
      <c r="E10" s="3">
        <v>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23.25" hidden="1">
      <c r="A11" s="5">
        <v>13</v>
      </c>
      <c r="B11" s="6" t="s">
        <v>90</v>
      </c>
      <c r="C11" s="7" t="s">
        <v>12</v>
      </c>
      <c r="D11" s="22" t="str">
        <f>IF(B11="VIS","LOCKERT VISITA",IF(C11="VESTIDOR MUJERES",IF(COUNTIFS(ASIGNACIONES!E:E,A11,ASIGNACIONES!K:K,C11)=0,"LOCKERT DISPONIBLE","LOCKERT ASIGNADO"),IF(COUNTIFS(ASIGNACIONES!E:E,A11,ASIGNACIONES!H:H,B11,ASIGNACIONES!K:K,C11)=0,"LOCKERT DISPONIBLE","LOCKERT ASIGNADO")))</f>
        <v>LOCKERT ASIGNADO</v>
      </c>
      <c r="E11" s="3">
        <v>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23.25" hidden="1">
      <c r="A12" s="5">
        <v>14</v>
      </c>
      <c r="B12" s="6" t="s">
        <v>90</v>
      </c>
      <c r="C12" s="7" t="s">
        <v>12</v>
      </c>
      <c r="D12" s="22" t="str">
        <f>IF(B12="VIS","LOCKERT VISITA",IF(C12="VESTIDOR MUJERES",IF(COUNTIFS(ASIGNACIONES!E:E,A12,ASIGNACIONES!K:K,C12)=0,"LOCKERT DISPONIBLE","LOCKERT ASIGNADO"),IF(COUNTIFS(ASIGNACIONES!E:E,A12,ASIGNACIONES!H:H,B12,ASIGNACIONES!K:K,C12)=0,"LOCKERT DISPONIBLE","LOCKERT ASIGNADO")))</f>
        <v>LOCKERT DISPONIBLE</v>
      </c>
      <c r="E12" s="3">
        <v>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23.25" hidden="1">
      <c r="A13" s="5">
        <v>19</v>
      </c>
      <c r="B13" s="6" t="s">
        <v>90</v>
      </c>
      <c r="C13" s="7" t="s">
        <v>12</v>
      </c>
      <c r="D13" s="22" t="str">
        <f>IF(B13="VIS","LOCKERT VISITA",IF(C13="VESTIDOR MUJERES",IF(COUNTIFS(ASIGNACIONES!E:E,A13,ASIGNACIONES!K:K,C13)=0,"LOCKERT DISPONIBLE","LOCKERT ASIGNADO"),IF(COUNTIFS(ASIGNACIONES!E:E,A13,ASIGNACIONES!H:H,B13,ASIGNACIONES!K:K,C13)=0,"LOCKERT DISPONIBLE","LOCKERT ASIGNADO")))</f>
        <v>LOCKERT ASIGNADO</v>
      </c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23.25" hidden="1">
      <c r="A14" s="5">
        <v>22</v>
      </c>
      <c r="B14" s="6" t="s">
        <v>27</v>
      </c>
      <c r="C14" s="7" t="s">
        <v>12</v>
      </c>
      <c r="D14" s="22" t="str">
        <f>IF(B14="VIS","LOCKERT VISITA",IF(C14="VESTIDOR MUJERES",IF(COUNTIFS(ASIGNACIONES!E:E,A14,ASIGNACIONES!K:K,C14)=0,"LOCKERT DISPONIBLE","LOCKERT ASIGNADO"),IF(COUNTIFS(ASIGNACIONES!E:E,A14,ASIGNACIONES!H:H,B14,ASIGNACIONES!K:K,C14)=0,"LOCKERT DISPONIBLE","LOCKERT ASIGNADO")))</f>
        <v>LOCKERT ASIGNADO</v>
      </c>
      <c r="E14" s="3">
        <v>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23.25" hidden="1">
      <c r="A15" s="5">
        <v>24</v>
      </c>
      <c r="B15" s="6" t="s">
        <v>137</v>
      </c>
      <c r="C15" s="7" t="s">
        <v>12</v>
      </c>
      <c r="D15" s="22" t="str">
        <f>IF(B15="VIS","LOCKERT VISITA",IF(C15="VESTIDOR MUJERES",IF(COUNTIFS(ASIGNACIONES!E:E,A15,ASIGNACIONES!K:K,C15)=0,"LOCKERT DISPONIBLE","LOCKERT ASIGNADO"),IF(COUNTIFS(ASIGNACIONES!E:E,A15,ASIGNACIONES!H:H,B15,ASIGNACIONES!K:K,C15)=0,"LOCKERT DISPONIBLE","LOCKERT ASIGNADO")))</f>
        <v>LOCKERT DISPONIBLE</v>
      </c>
      <c r="E15" s="3">
        <v>1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23.25" hidden="1">
      <c r="A16" s="5">
        <v>28</v>
      </c>
      <c r="B16" s="6" t="s">
        <v>90</v>
      </c>
      <c r="C16" s="7" t="s">
        <v>12</v>
      </c>
      <c r="D16" s="22" t="str">
        <f>IF(B16="VIS","LOCKERT VISITA",IF(C16="VESTIDOR MUJERES",IF(COUNTIFS(ASIGNACIONES!E:E,A16,ASIGNACIONES!K:K,C16)=0,"LOCKERT DISPONIBLE","LOCKERT ASIGNADO"),IF(COUNTIFS(ASIGNACIONES!E:E,A16,ASIGNACIONES!H:H,B16,ASIGNACIONES!K:K,C16)=0,"LOCKERT DISPONIBLE","LOCKERT ASIGNADO")))</f>
        <v>LOCKERT ASIGNADO</v>
      </c>
      <c r="E16" s="3">
        <v>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23.25" hidden="1">
      <c r="A17" s="5">
        <v>29</v>
      </c>
      <c r="B17" s="6" t="s">
        <v>90</v>
      </c>
      <c r="C17" s="7" t="s">
        <v>12</v>
      </c>
      <c r="D17" s="22" t="str">
        <f>IF(B17="VIS","LOCKERT VISITA",IF(C17="VESTIDOR MUJERES",IF(COUNTIFS(ASIGNACIONES!E:E,A17,ASIGNACIONES!K:K,C17)=0,"LOCKERT DISPONIBLE","LOCKERT ASIGNADO"),IF(COUNTIFS(ASIGNACIONES!E:E,A17,ASIGNACIONES!H:H,B17,ASIGNACIONES!K:K,C17)=0,"LOCKERT DISPONIBLE","LOCKERT ASIGNADO")))</f>
        <v>LOCKERT ASIGNADO</v>
      </c>
      <c r="E17" s="3">
        <v>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23.25" hidden="1">
      <c r="A18" s="42" t="s">
        <v>95</v>
      </c>
      <c r="B18" s="6" t="s">
        <v>90</v>
      </c>
      <c r="C18" s="7" t="s">
        <v>31</v>
      </c>
      <c r="D18" s="22" t="str">
        <f>IF(B18="VIS","LOCKERT VISITA",IF(C18="VESTIDOR MUJERES",IF(COUNTIFS(ASIGNACIONES!E:E,A18,ASIGNACIONES!K:K,C18)=0,"LOCKERT DISPONIBLE","LOCKERT ASIGNADO"),IF(COUNTIFS(ASIGNACIONES!E:E,A18,ASIGNACIONES!H:H,B18,ASIGNACIONES!K:K,C18)=0,"LOCKERT DISPONIBLE","LOCKERT ASIGNADO")))</f>
        <v>LOCKERT ASIGNADO</v>
      </c>
      <c r="E18" s="3">
        <v>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23.25" hidden="1">
      <c r="A19" s="42" t="s">
        <v>44</v>
      </c>
      <c r="B19" s="6" t="s">
        <v>90</v>
      </c>
      <c r="C19" s="7" t="s">
        <v>31</v>
      </c>
      <c r="D19" s="22" t="str">
        <f>IF(B19="VIS","LOCKERT VISITA",IF(C19="VESTIDOR MUJERES",IF(COUNTIFS(ASIGNACIONES!E:E,A19,ASIGNACIONES!K:K,C19)=0,"LOCKERT DISPONIBLE","LOCKERT ASIGNADO"),IF(COUNTIFS(ASIGNACIONES!E:E,A19,ASIGNACIONES!H:H,B19,ASIGNACIONES!K:K,C19)=0,"LOCKERT DISPONIBLE","LOCKERT ASIGNADO")))</f>
        <v>LOCKERT DISPONIBLE</v>
      </c>
      <c r="E19" s="3">
        <v>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23.25" hidden="1">
      <c r="A20" s="42" t="s">
        <v>400</v>
      </c>
      <c r="B20" s="6" t="s">
        <v>90</v>
      </c>
      <c r="C20" s="7" t="s">
        <v>31</v>
      </c>
      <c r="D20" s="22" t="str">
        <f>IF(B20="VIS","LOCKERT VISITA",IF(C20="VESTIDOR MUJERES",IF(COUNTIFS(ASIGNACIONES!E:E,A20,ASIGNACIONES!K:K,C20)=0,"LOCKERT DISPONIBLE","LOCKERT ASIGNADO"),IF(COUNTIFS(ASIGNACIONES!E:E,A20,ASIGNACIONES!H:H,B20,ASIGNACIONES!K:K,C20)=0,"LOCKERT DISPONIBLE","LOCKERT ASIGNADO")))</f>
        <v>LOCKERT ASIGNADO</v>
      </c>
      <c r="E20" s="3">
        <v>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23.25" hidden="1">
      <c r="A21" s="42" t="s">
        <v>325</v>
      </c>
      <c r="B21" s="6" t="s">
        <v>90</v>
      </c>
      <c r="C21" s="7" t="s">
        <v>31</v>
      </c>
      <c r="D21" s="22" t="str">
        <f>IF(B21="VIS","LOCKERT VISITA",IF(C21="VESTIDOR MUJERES",IF(COUNTIFS(ASIGNACIONES!E:E,A21,ASIGNACIONES!K:K,C21)=0,"LOCKERT DISPONIBLE","LOCKERT ASIGNADO"),IF(COUNTIFS(ASIGNACIONES!E:E,A21,ASIGNACIONES!H:H,B21,ASIGNACIONES!K:K,C21)=0,"LOCKERT DISPONIBLE","LOCKERT ASIGNADO")))</f>
        <v>LOCKERT ASIGNADO</v>
      </c>
      <c r="E21" s="3">
        <v>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23.25" hidden="1">
      <c r="A22" s="5">
        <v>1</v>
      </c>
      <c r="B22" s="6" t="s">
        <v>604</v>
      </c>
      <c r="C22" s="7" t="s">
        <v>15</v>
      </c>
      <c r="D22" s="22" t="str">
        <f>IF(B22="VIS","LOCKERT VISITA",IF(C22="VESTIDOR MUJERES",IF(COUNTIFS(ASIGNACIONES!E:E,A22,ASIGNACIONES!K:K,C22)=0,"LOCKERT DISPONIBLE","LOCKERT ASIGNADO"),IF(COUNTIFS(ASIGNACIONES!E:E,A22,ASIGNACIONES!H:H,B22,ASIGNACIONES!K:K,C22)=0,"LOCKERT DISPONIBLE","LOCKERT ASIGNADO")))</f>
        <v>LOCKERT ASIGNADO</v>
      </c>
      <c r="E22" s="3">
        <v>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23.25" hidden="1">
      <c r="A23" s="5">
        <v>2</v>
      </c>
      <c r="B23" s="6" t="s">
        <v>604</v>
      </c>
      <c r="C23" s="7" t="s">
        <v>15</v>
      </c>
      <c r="D23" s="22" t="str">
        <f>IF(B23="VIS","LOCKERT VISITA",IF(C23="VESTIDOR MUJERES",IF(COUNTIFS(ASIGNACIONES!E:E,A23,ASIGNACIONES!K:K,C23)=0,"LOCKERT DISPONIBLE","LOCKERT ASIGNADO"),IF(COUNTIFS(ASIGNACIONES!E:E,A23,ASIGNACIONES!H:H,B23,ASIGNACIONES!K:K,C23)=0,"LOCKERT DISPONIBLE","LOCKERT ASIGNADO")))</f>
        <v>LOCKERT ASIGNADO</v>
      </c>
      <c r="E23" s="3">
        <v>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23.25" hidden="1">
      <c r="A24" s="5">
        <v>3</v>
      </c>
      <c r="B24" s="6" t="s">
        <v>604</v>
      </c>
      <c r="C24" s="7" t="s">
        <v>15</v>
      </c>
      <c r="D24" s="22" t="str">
        <f>IF(B24="VIS","LOCKERT VISITA",IF(C24="VESTIDOR MUJERES",IF(COUNTIFS(ASIGNACIONES!E:E,A24,ASIGNACIONES!K:K,C24)=0,"LOCKERT DISPONIBLE","LOCKERT ASIGNADO"),IF(COUNTIFS(ASIGNACIONES!E:E,A24,ASIGNACIONES!H:H,B24,ASIGNACIONES!K:K,C24)=0,"LOCKERT DISPONIBLE","LOCKERT ASIGNADO")))</f>
        <v>LOCKERT ASIGNADO</v>
      </c>
      <c r="E24" s="3">
        <v>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23.25" hidden="1">
      <c r="A25" s="5">
        <v>4</v>
      </c>
      <c r="B25" s="6" t="s">
        <v>604</v>
      </c>
      <c r="C25" s="7" t="s">
        <v>15</v>
      </c>
      <c r="D25" s="22" t="str">
        <f>IF(B25="VIS","LOCKERT VISITA",IF(C25="VESTIDOR MUJERES",IF(COUNTIFS(ASIGNACIONES!E:E,A25,ASIGNACIONES!K:K,C25)=0,"LOCKERT DISPONIBLE","LOCKERT ASIGNADO"),IF(COUNTIFS(ASIGNACIONES!E:E,A25,ASIGNACIONES!H:H,B25,ASIGNACIONES!K:K,C25)=0,"LOCKERT DISPONIBLE","LOCKERT ASIGNADO")))</f>
        <v>LOCKERT ASIGNADO</v>
      </c>
      <c r="E25" s="3">
        <v>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23.25" hidden="1">
      <c r="A26" s="5">
        <v>4</v>
      </c>
      <c r="B26" s="6" t="s">
        <v>604</v>
      </c>
      <c r="C26" s="7" t="s">
        <v>12</v>
      </c>
      <c r="D26" s="22" t="str">
        <f>IF(B26="VIS","LOCKERT VISITA",IF(C26="VESTIDOR MUJERES",IF(COUNTIFS(ASIGNACIONES!E:E,A26,ASIGNACIONES!K:K,C26)=0,"LOCKERT DISPONIBLE","LOCKERT ASIGNADO"),IF(COUNTIFS(ASIGNACIONES!E:E,A26,ASIGNACIONES!H:H,B26,ASIGNACIONES!K:K,C26)=0,"LOCKERT DISPONIBLE","LOCKERT ASIGNADO")))</f>
        <v>LOCKERT DISPONIBLE</v>
      </c>
      <c r="E26" s="3">
        <v>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23.25" hidden="1">
      <c r="A27" s="5">
        <v>5</v>
      </c>
      <c r="B27" s="6" t="s">
        <v>604</v>
      </c>
      <c r="C27" s="7" t="s">
        <v>15</v>
      </c>
      <c r="D27" s="22" t="str">
        <f>IF(B27="VIS","LOCKERT VISITA",IF(C27="VESTIDOR MUJERES",IF(COUNTIFS(ASIGNACIONES!E:E,A27,ASIGNACIONES!K:K,C27)=0,"LOCKERT DISPONIBLE","LOCKERT ASIGNADO"),IF(COUNTIFS(ASIGNACIONES!E:E,A27,ASIGNACIONES!H:H,B27,ASIGNACIONES!K:K,C27)=0,"LOCKERT DISPONIBLE","LOCKERT ASIGNADO")))</f>
        <v>LOCKERT ASIGNADO</v>
      </c>
      <c r="E27" s="3">
        <v>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23.25" hidden="1">
      <c r="A28" s="5">
        <v>11</v>
      </c>
      <c r="B28" s="6" t="s">
        <v>604</v>
      </c>
      <c r="C28" s="7" t="s">
        <v>12</v>
      </c>
      <c r="D28" s="22" t="str">
        <f>IF(B28="VIS","LOCKERT VISITA",IF(C28="VESTIDOR MUJERES",IF(COUNTIFS(ASIGNACIONES!E:E,A28,ASIGNACIONES!K:K,C28)=0,"LOCKERT DISPONIBLE","LOCKERT ASIGNADO"),IF(COUNTIFS(ASIGNACIONES!E:E,A28,ASIGNACIONES!H:H,B28,ASIGNACIONES!K:K,C28)=0,"LOCKERT DISPONIBLE","LOCKERT ASIGNADO")))</f>
        <v>LOCKERT DISPONIBLE</v>
      </c>
      <c r="E28" s="3">
        <v>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23.25" hidden="1">
      <c r="A29" s="5">
        <v>23</v>
      </c>
      <c r="B29" s="6" t="s">
        <v>137</v>
      </c>
      <c r="C29" s="7" t="s">
        <v>12</v>
      </c>
      <c r="D29" s="22" t="str">
        <f>IF(B29="VIS","LOCKERT VISITA",IF(C29="VESTIDOR MUJERES",IF(COUNTIFS(ASIGNACIONES!E:E,A29,ASIGNACIONES!K:K,C29)=0,"LOCKERT DISPONIBLE","LOCKERT ASIGNADO"),IF(COUNTIFS(ASIGNACIONES!E:E,A29,ASIGNACIONES!H:H,B29,ASIGNACIONES!K:K,C29)=0,"LOCKERT DISPONIBLE","LOCKERT ASIGNADO")))</f>
        <v>LOCKERT DISPONIBLE</v>
      </c>
      <c r="E29" s="3">
        <v>1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23.25" hidden="1">
      <c r="A30" s="5">
        <v>1</v>
      </c>
      <c r="B30" s="6" t="s">
        <v>38</v>
      </c>
      <c r="C30" s="7" t="s">
        <v>15</v>
      </c>
      <c r="D30" s="22" t="str">
        <f>IF(B30="VIS","LOCKERT VISITA",IF(C30="VESTIDOR MUJERES",IF(COUNTIFS(ASIGNACIONES!E:E,A30,ASIGNACIONES!K:K,C30)=0,"LOCKERT DISPONIBLE","LOCKERT ASIGNADO"),IF(COUNTIFS(ASIGNACIONES!E:E,A30,ASIGNACIONES!H:H,B30,ASIGNACIONES!K:K,C30)=0,"LOCKERT DISPONIBLE","LOCKERT ASIGNADO")))</f>
        <v>LOCKERT ASIGNADO</v>
      </c>
      <c r="E30" s="3">
        <v>1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23.25" hidden="1">
      <c r="A31" s="5">
        <v>2</v>
      </c>
      <c r="B31" s="6" t="s">
        <v>38</v>
      </c>
      <c r="C31" s="7" t="s">
        <v>15</v>
      </c>
      <c r="D31" s="22" t="str">
        <f>IF(B31="VIS","LOCKERT VISITA",IF(C31="VESTIDOR MUJERES",IF(COUNTIFS(ASIGNACIONES!E:E,A31,ASIGNACIONES!K:K,C31)=0,"LOCKERT DISPONIBLE","LOCKERT ASIGNADO"),IF(COUNTIFS(ASIGNACIONES!E:E,A31,ASIGNACIONES!H:H,B31,ASIGNACIONES!K:K,C31)=0,"LOCKERT DISPONIBLE","LOCKERT ASIGNADO")))</f>
        <v>LOCKERT ASIGNADO</v>
      </c>
      <c r="E31" s="3">
        <v>1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23.25" hidden="1">
      <c r="A32" s="5">
        <v>3</v>
      </c>
      <c r="B32" s="6" t="s">
        <v>38</v>
      </c>
      <c r="C32" s="7" t="s">
        <v>15</v>
      </c>
      <c r="D32" s="22" t="str">
        <f>IF(B32="VIS","LOCKERT VISITA",IF(C32="VESTIDOR MUJERES",IF(COUNTIFS(ASIGNACIONES!E:E,A32,ASIGNACIONES!K:K,C32)=0,"LOCKERT DISPONIBLE","LOCKERT ASIGNADO"),IF(COUNTIFS(ASIGNACIONES!E:E,A32,ASIGNACIONES!H:H,B32,ASIGNACIONES!K:K,C32)=0,"LOCKERT DISPONIBLE","LOCKERT ASIGNADO")))</f>
        <v>LOCKERT ASIGNADO</v>
      </c>
      <c r="E32" s="3">
        <v>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23.25" hidden="1">
      <c r="A33" s="5">
        <v>4</v>
      </c>
      <c r="B33" s="6" t="s">
        <v>38</v>
      </c>
      <c r="C33" s="7" t="s">
        <v>15</v>
      </c>
      <c r="D33" s="22" t="str">
        <f>IF(B33="VIS","LOCKERT VISITA",IF(C33="VESTIDOR MUJERES",IF(COUNTIFS(ASIGNACIONES!E:E,A33,ASIGNACIONES!K:K,C33)=0,"LOCKERT DISPONIBLE","LOCKERT ASIGNADO"),IF(COUNTIFS(ASIGNACIONES!E:E,A33,ASIGNACIONES!H:H,B33,ASIGNACIONES!K:K,C33)=0,"LOCKERT DISPONIBLE","LOCKERT ASIGNADO")))</f>
        <v>LOCKERT ASIGNADO</v>
      </c>
      <c r="E33" s="3">
        <v>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23.25" hidden="1">
      <c r="A34" s="5">
        <v>5</v>
      </c>
      <c r="B34" s="6" t="s">
        <v>38</v>
      </c>
      <c r="C34" s="7" t="s">
        <v>15</v>
      </c>
      <c r="D34" s="22" t="str">
        <f>IF(B34="VIS","LOCKERT VISITA",IF(C34="VESTIDOR MUJERES",IF(COUNTIFS(ASIGNACIONES!E:E,A34,ASIGNACIONES!K:K,C34)=0,"LOCKERT DISPONIBLE","LOCKERT ASIGNADO"),IF(COUNTIFS(ASIGNACIONES!E:E,A34,ASIGNACIONES!H:H,B34,ASIGNACIONES!K:K,C34)=0,"LOCKERT DISPONIBLE","LOCKERT ASIGNADO")))</f>
        <v>LOCKERT ASIGNADO</v>
      </c>
      <c r="E34" s="3">
        <v>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23.25" hidden="1">
      <c r="A35" s="5">
        <v>6</v>
      </c>
      <c r="B35" s="6" t="s">
        <v>38</v>
      </c>
      <c r="C35" s="7" t="s">
        <v>15</v>
      </c>
      <c r="D35" s="22" t="str">
        <f>IF(B35="VIS","LOCKERT VISITA",IF(C35="VESTIDOR MUJERES",IF(COUNTIFS(ASIGNACIONES!E:E,A35,ASIGNACIONES!K:K,C35)=0,"LOCKERT DISPONIBLE","LOCKERT ASIGNADO"),IF(COUNTIFS(ASIGNACIONES!E:E,A35,ASIGNACIONES!H:H,B35,ASIGNACIONES!K:K,C35)=0,"LOCKERT DISPONIBLE","LOCKERT ASIGNADO")))</f>
        <v>LOCKERT ASIGNADO</v>
      </c>
      <c r="E35" s="3">
        <v>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ht="23.25" hidden="1">
      <c r="A36" s="5">
        <v>7</v>
      </c>
      <c r="B36" s="6" t="s">
        <v>38</v>
      </c>
      <c r="C36" s="7" t="s">
        <v>15</v>
      </c>
      <c r="D36" s="22" t="str">
        <f>IF(B36="VIS","LOCKERT VISITA",IF(C36="VESTIDOR MUJERES",IF(COUNTIFS(ASIGNACIONES!E:E,A36,ASIGNACIONES!K:K,C36)=0,"LOCKERT DISPONIBLE","LOCKERT ASIGNADO"),IF(COUNTIFS(ASIGNACIONES!E:E,A36,ASIGNACIONES!H:H,B36,ASIGNACIONES!K:K,C36)=0,"LOCKERT DISPONIBLE","LOCKERT ASIGNADO")))</f>
        <v>LOCKERT ASIGNADO</v>
      </c>
      <c r="E36" s="3">
        <v>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23.25" hidden="1">
      <c r="A37" s="5">
        <v>8</v>
      </c>
      <c r="B37" s="6" t="s">
        <v>38</v>
      </c>
      <c r="C37" s="7" t="s">
        <v>15</v>
      </c>
      <c r="D37" s="22" t="str">
        <f>IF(B37="VIS","LOCKERT VISITA",IF(C37="VESTIDOR MUJERES",IF(COUNTIFS(ASIGNACIONES!E:E,A37,ASIGNACIONES!K:K,C37)=0,"LOCKERT DISPONIBLE","LOCKERT ASIGNADO"),IF(COUNTIFS(ASIGNACIONES!E:E,A37,ASIGNACIONES!H:H,B37,ASIGNACIONES!K:K,C37)=0,"LOCKERT DISPONIBLE","LOCKERT ASIGNADO")))</f>
        <v>LOCKERT ASIGNADO</v>
      </c>
      <c r="E37" s="3">
        <v>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23.25" hidden="1">
      <c r="A38" s="5">
        <v>9</v>
      </c>
      <c r="B38" s="6" t="s">
        <v>38</v>
      </c>
      <c r="C38" s="7" t="s">
        <v>15</v>
      </c>
      <c r="D38" s="22" t="str">
        <f>IF(B38="VIS","LOCKERT VISITA",IF(C38="VESTIDOR MUJERES",IF(COUNTIFS(ASIGNACIONES!E:E,A38,ASIGNACIONES!K:K,C38)=0,"LOCKERT DISPONIBLE","LOCKERT ASIGNADO"),IF(COUNTIFS(ASIGNACIONES!E:E,A38,ASIGNACIONES!H:H,B38,ASIGNACIONES!K:K,C38)=0,"LOCKERT DISPONIBLE","LOCKERT ASIGNADO")))</f>
        <v>LOCKERT ASIGNADO</v>
      </c>
      <c r="E38" s="3">
        <v>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23.25" hidden="1">
      <c r="A39" s="5">
        <v>10</v>
      </c>
      <c r="B39" s="6" t="s">
        <v>38</v>
      </c>
      <c r="C39" s="7" t="s">
        <v>15</v>
      </c>
      <c r="D39" s="22" t="str">
        <f>IF(B39="VIS","LOCKERT VISITA",IF(C39="VESTIDOR MUJERES",IF(COUNTIFS(ASIGNACIONES!E:E,A39,ASIGNACIONES!K:K,C39)=0,"LOCKERT DISPONIBLE","LOCKERT ASIGNADO"),IF(COUNTIFS(ASIGNACIONES!E:E,A39,ASIGNACIONES!H:H,B39,ASIGNACIONES!K:K,C39)=0,"LOCKERT DISPONIBLE","LOCKERT ASIGNADO")))</f>
        <v>LOCKERT ASIGNADO</v>
      </c>
      <c r="E39" s="3">
        <v>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23.25" hidden="1">
      <c r="A40" s="5">
        <v>11</v>
      </c>
      <c r="B40" s="6" t="s">
        <v>38</v>
      </c>
      <c r="C40" s="7" t="s">
        <v>15</v>
      </c>
      <c r="D40" s="22" t="str">
        <f>IF(B40="VIS","LOCKERT VISITA",IF(C40="VESTIDOR MUJERES",IF(COUNTIFS(ASIGNACIONES!E:E,A40,ASIGNACIONES!K:K,C40)=0,"LOCKERT DISPONIBLE","LOCKERT ASIGNADO"),IF(COUNTIFS(ASIGNACIONES!E:E,A40,ASIGNACIONES!H:H,B40,ASIGNACIONES!K:K,C40)=0,"LOCKERT DISPONIBLE","LOCKERT ASIGNADO")))</f>
        <v>LOCKERT ASIGNADO</v>
      </c>
      <c r="E40" s="3">
        <v>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23.25" hidden="1">
      <c r="A41" s="5">
        <v>12</v>
      </c>
      <c r="B41" s="6" t="s">
        <v>38</v>
      </c>
      <c r="C41" s="7" t="s">
        <v>15</v>
      </c>
      <c r="D41" s="22" t="str">
        <f>IF(B41="VIS","LOCKERT VISITA",IF(C41="VESTIDOR MUJERES",IF(COUNTIFS(ASIGNACIONES!E:E,A41,ASIGNACIONES!K:K,C41)=0,"LOCKERT DISPONIBLE","LOCKERT ASIGNADO"),IF(COUNTIFS(ASIGNACIONES!E:E,A41,ASIGNACIONES!H:H,B41,ASIGNACIONES!K:K,C41)=0,"LOCKERT DISPONIBLE","LOCKERT ASIGNADO")))</f>
        <v>LOCKERT ASIGNADO</v>
      </c>
      <c r="E41" s="3">
        <v>1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23.25" hidden="1">
      <c r="A42" s="5">
        <v>13</v>
      </c>
      <c r="B42" s="6" t="s">
        <v>38</v>
      </c>
      <c r="C42" s="7" t="s">
        <v>15</v>
      </c>
      <c r="D42" s="22" t="str">
        <f>IF(B42="VIS","LOCKERT VISITA",IF(C42="VESTIDOR MUJERES",IF(COUNTIFS(ASIGNACIONES!E:E,A42,ASIGNACIONES!K:K,C42)=0,"LOCKERT DISPONIBLE","LOCKERT ASIGNADO"),IF(COUNTIFS(ASIGNACIONES!E:E,A42,ASIGNACIONES!H:H,B42,ASIGNACIONES!K:K,C42)=0,"LOCKERT DISPONIBLE","LOCKERT ASIGNADO")))</f>
        <v>LOCKERT DISPONIBLE</v>
      </c>
      <c r="E42" s="3">
        <v>1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23.25" hidden="1">
      <c r="A43" s="5">
        <v>14</v>
      </c>
      <c r="B43" s="6" t="s">
        <v>38</v>
      </c>
      <c r="C43" s="7" t="s">
        <v>15</v>
      </c>
      <c r="D43" s="22" t="str">
        <f>IF(B43="VIS","LOCKERT VISITA",IF(C43="VESTIDOR MUJERES",IF(COUNTIFS(ASIGNACIONES!E:E,A43,ASIGNACIONES!K:K,C43)=0,"LOCKERT DISPONIBLE","LOCKERT ASIGNADO"),IF(COUNTIFS(ASIGNACIONES!E:E,A43,ASIGNACIONES!H:H,B43,ASIGNACIONES!K:K,C43)=0,"LOCKERT DISPONIBLE","LOCKERT ASIGNADO")))</f>
        <v>LOCKERT ASIGNADO</v>
      </c>
      <c r="E43" s="3">
        <v>1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23.25" hidden="1">
      <c r="A44" s="5">
        <v>15</v>
      </c>
      <c r="B44" s="6" t="s">
        <v>38</v>
      </c>
      <c r="C44" s="7" t="s">
        <v>15</v>
      </c>
      <c r="D44" s="22" t="str">
        <f>IF(B44="VIS","LOCKERT VISITA",IF(C44="VESTIDOR MUJERES",IF(COUNTIFS(ASIGNACIONES!E:E,A44,ASIGNACIONES!K:K,C44)=0,"LOCKERT DISPONIBLE","LOCKERT ASIGNADO"),IF(COUNTIFS(ASIGNACIONES!E:E,A44,ASIGNACIONES!H:H,B44,ASIGNACIONES!K:K,C44)=0,"LOCKERT DISPONIBLE","LOCKERT ASIGNADO")))</f>
        <v>LOCKERT ASIGNADO</v>
      </c>
      <c r="E44" s="3">
        <v>1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23.25" hidden="1">
      <c r="A45" s="5">
        <v>16</v>
      </c>
      <c r="B45" s="6" t="s">
        <v>38</v>
      </c>
      <c r="C45" s="7" t="s">
        <v>15</v>
      </c>
      <c r="D45" s="22" t="str">
        <f>IF(B45="VIS","LOCKERT VISITA",IF(C45="VESTIDOR MUJERES",IF(COUNTIFS(ASIGNACIONES!E:E,A45,ASIGNACIONES!K:K,C45)=0,"LOCKERT DISPONIBLE","LOCKERT ASIGNADO"),IF(COUNTIFS(ASIGNACIONES!E:E,A45,ASIGNACIONES!H:H,B45,ASIGNACIONES!K:K,C45)=0,"LOCKERT DISPONIBLE","LOCKERT ASIGNADO")))</f>
        <v>LOCKERT ASIGNADO</v>
      </c>
      <c r="E45" s="3">
        <v>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23.25" hidden="1">
      <c r="A46" s="5">
        <v>17</v>
      </c>
      <c r="B46" s="6" t="s">
        <v>38</v>
      </c>
      <c r="C46" s="7" t="s">
        <v>15</v>
      </c>
      <c r="D46" s="22" t="str">
        <f>IF(B46="VIS","LOCKERT VISITA",IF(C46="VESTIDOR MUJERES",IF(COUNTIFS(ASIGNACIONES!E:E,A46,ASIGNACIONES!K:K,C46)=0,"LOCKERT DISPONIBLE","LOCKERT ASIGNADO"),IF(COUNTIFS(ASIGNACIONES!E:E,A46,ASIGNACIONES!H:H,B46,ASIGNACIONES!K:K,C46)=0,"LOCKERT DISPONIBLE","LOCKERT ASIGNADO")))</f>
        <v>LOCKERT ASIGNADO</v>
      </c>
      <c r="E46" s="3">
        <v>1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23.25" hidden="1">
      <c r="A47" s="5">
        <v>18</v>
      </c>
      <c r="B47" s="6" t="s">
        <v>38</v>
      </c>
      <c r="C47" s="7" t="s">
        <v>15</v>
      </c>
      <c r="D47" s="22" t="str">
        <f>IF(B47="VIS","LOCKERT VISITA",IF(C47="VESTIDOR MUJERES",IF(COUNTIFS(ASIGNACIONES!E:E,A47,ASIGNACIONES!K:K,C47)=0,"LOCKERT DISPONIBLE","LOCKERT ASIGNADO"),IF(COUNTIFS(ASIGNACIONES!E:E,A47,ASIGNACIONES!H:H,B47,ASIGNACIONES!K:K,C47)=0,"LOCKERT DISPONIBLE","LOCKERT ASIGNADO")))</f>
        <v>LOCKERT ASIGNADO</v>
      </c>
      <c r="E47" s="3">
        <v>1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ht="23.25" hidden="1">
      <c r="A48" s="5">
        <v>19</v>
      </c>
      <c r="B48" s="6" t="s">
        <v>38</v>
      </c>
      <c r="C48" s="7" t="s">
        <v>15</v>
      </c>
      <c r="D48" s="22" t="str">
        <f>IF(B48="VIS","LOCKERT VISITA",IF(C48="VESTIDOR MUJERES",IF(COUNTIFS(ASIGNACIONES!E:E,A48,ASIGNACIONES!K:K,C48)=0,"LOCKERT DISPONIBLE","LOCKERT ASIGNADO"),IF(COUNTIFS(ASIGNACIONES!E:E,A48,ASIGNACIONES!H:H,B48,ASIGNACIONES!K:K,C48)=0,"LOCKERT DISPONIBLE","LOCKERT ASIGNADO")))</f>
        <v>LOCKERT ASIGNADO</v>
      </c>
      <c r="E48" s="3">
        <v>1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23.25" hidden="1">
      <c r="A49" s="5">
        <v>20</v>
      </c>
      <c r="B49" s="6" t="s">
        <v>38</v>
      </c>
      <c r="C49" s="7" t="s">
        <v>15</v>
      </c>
      <c r="D49" s="22" t="str">
        <f>IF(B49="VIS","LOCKERT VISITA",IF(C49="VESTIDOR MUJERES",IF(COUNTIFS(ASIGNACIONES!E:E,A49,ASIGNACIONES!K:K,C49)=0,"LOCKERT DISPONIBLE","LOCKERT ASIGNADO"),IF(COUNTIFS(ASIGNACIONES!E:E,A49,ASIGNACIONES!H:H,B49,ASIGNACIONES!K:K,C49)=0,"LOCKERT DISPONIBLE","LOCKERT ASIGNADO")))</f>
        <v>LOCKERT ASIGNADO</v>
      </c>
      <c r="E49" s="3">
        <v>1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23.25" hidden="1">
      <c r="A50" s="5">
        <v>21</v>
      </c>
      <c r="B50" s="6" t="s">
        <v>38</v>
      </c>
      <c r="C50" s="7" t="s">
        <v>12</v>
      </c>
      <c r="D50" s="22" t="str">
        <f>IF(B50="VIS","LOCKERT VISITA",IF(C50="VESTIDOR MUJERES",IF(COUNTIFS(ASIGNACIONES!E:E,A50,ASIGNACIONES!K:K,C50)=0,"LOCKERT DISPONIBLE","LOCKERT ASIGNADO"),IF(COUNTIFS(ASIGNACIONES!E:E,A50,ASIGNACIONES!H:H,B50,ASIGNACIONES!K:K,C50)=0,"LOCKERT DISPONIBLE","LOCKERT ASIGNADO")))</f>
        <v>LOCKERT ASIGNADO</v>
      </c>
      <c r="E50" s="3">
        <v>1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23.25" hidden="1">
      <c r="A51" s="5">
        <v>21</v>
      </c>
      <c r="B51" s="6" t="s">
        <v>38</v>
      </c>
      <c r="C51" s="7" t="s">
        <v>15</v>
      </c>
      <c r="D51" s="22" t="str">
        <f>IF(B51="VIS","LOCKERT VISITA",IF(C51="VESTIDOR MUJERES",IF(COUNTIFS(ASIGNACIONES!E:E,A51,ASIGNACIONES!K:K,C51)=0,"LOCKERT DISPONIBLE","LOCKERT ASIGNADO"),IF(COUNTIFS(ASIGNACIONES!E:E,A51,ASIGNACIONES!H:H,B51,ASIGNACIONES!K:K,C51)=0,"LOCKERT DISPONIBLE","LOCKERT ASIGNADO")))</f>
        <v>LOCKERT ASIGNADO</v>
      </c>
      <c r="E51" s="3">
        <v>1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23.25" hidden="1">
      <c r="A52" s="5">
        <v>22</v>
      </c>
      <c r="B52" s="6" t="s">
        <v>38</v>
      </c>
      <c r="C52" s="7" t="s">
        <v>15</v>
      </c>
      <c r="D52" s="22" t="str">
        <f>IF(B52="VIS","LOCKERT VISITA",IF(C52="VESTIDOR MUJERES",IF(COUNTIFS(ASIGNACIONES!E:E,A52,ASIGNACIONES!K:K,C52)=0,"LOCKERT DISPONIBLE","LOCKERT ASIGNADO"),IF(COUNTIFS(ASIGNACIONES!E:E,A52,ASIGNACIONES!H:H,B52,ASIGNACIONES!K:K,C52)=0,"LOCKERT DISPONIBLE","LOCKERT ASIGNADO")))</f>
        <v>LOCKERT ASIGNADO</v>
      </c>
      <c r="E52" s="3">
        <v>1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23.25" hidden="1">
      <c r="A53" s="5">
        <v>23</v>
      </c>
      <c r="B53" s="6" t="s">
        <v>38</v>
      </c>
      <c r="C53" s="7" t="s">
        <v>15</v>
      </c>
      <c r="D53" s="22" t="str">
        <f>IF(B53="VIS","LOCKERT VISITA",IF(C53="VESTIDOR MUJERES",IF(COUNTIFS(ASIGNACIONES!E:E,A53,ASIGNACIONES!K:K,C53)=0,"LOCKERT DISPONIBLE","LOCKERT ASIGNADO"),IF(COUNTIFS(ASIGNACIONES!E:E,A53,ASIGNACIONES!H:H,B53,ASIGNACIONES!K:K,C53)=0,"LOCKERT DISPONIBLE","LOCKERT ASIGNADO")))</f>
        <v>LOCKERT DISPONIBLE</v>
      </c>
      <c r="E53" s="3">
        <v>1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23.25" hidden="1">
      <c r="A54" s="5">
        <v>24</v>
      </c>
      <c r="B54" s="6" t="s">
        <v>38</v>
      </c>
      <c r="C54" s="7" t="s">
        <v>15</v>
      </c>
      <c r="D54" s="22" t="str">
        <f>IF(B54="VIS","LOCKERT VISITA",IF(C54="VESTIDOR MUJERES",IF(COUNTIFS(ASIGNACIONES!E:E,A54,ASIGNACIONES!K:K,C54)=0,"LOCKERT DISPONIBLE","LOCKERT ASIGNADO"),IF(COUNTIFS(ASIGNACIONES!E:E,A54,ASIGNACIONES!H:H,B54,ASIGNACIONES!K:K,C54)=0,"LOCKERT DISPONIBLE","LOCKERT ASIGNADO")))</f>
        <v>LOCKERT ASIGNADO</v>
      </c>
      <c r="E54" s="3">
        <v>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23.25" hidden="1">
      <c r="A55" s="5">
        <v>25</v>
      </c>
      <c r="B55" s="6" t="s">
        <v>38</v>
      </c>
      <c r="C55" s="7" t="s">
        <v>15</v>
      </c>
      <c r="D55" s="22" t="str">
        <f>IF(B55="VIS","LOCKERT VISITA",IF(C55="VESTIDOR MUJERES",IF(COUNTIFS(ASIGNACIONES!E:E,A55,ASIGNACIONES!K:K,C55)=0,"LOCKERT DISPONIBLE","LOCKERT ASIGNADO"),IF(COUNTIFS(ASIGNACIONES!E:E,A55,ASIGNACIONES!H:H,B55,ASIGNACIONES!K:K,C55)=0,"LOCKERT DISPONIBLE","LOCKERT ASIGNADO")))</f>
        <v>LOCKERT ASIGNADO</v>
      </c>
      <c r="E55" s="3">
        <v>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23.25" hidden="1">
      <c r="A56" s="5">
        <v>26</v>
      </c>
      <c r="B56" s="6" t="s">
        <v>38</v>
      </c>
      <c r="C56" s="7" t="s">
        <v>15</v>
      </c>
      <c r="D56" s="22" t="str">
        <f>IF(B56="VIS","LOCKERT VISITA",IF(C56="VESTIDOR MUJERES",IF(COUNTIFS(ASIGNACIONES!E:E,A56,ASIGNACIONES!K:K,C56)=0,"LOCKERT DISPONIBLE","LOCKERT ASIGNADO"),IF(COUNTIFS(ASIGNACIONES!E:E,A56,ASIGNACIONES!H:H,B56,ASIGNACIONES!K:K,C56)=0,"LOCKERT DISPONIBLE","LOCKERT ASIGNADO")))</f>
        <v>LOCKERT ASIGNADO</v>
      </c>
      <c r="E56" s="3">
        <v>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23.25" hidden="1">
      <c r="A57" s="5">
        <v>27</v>
      </c>
      <c r="B57" s="6" t="s">
        <v>38</v>
      </c>
      <c r="C57" s="7" t="s">
        <v>15</v>
      </c>
      <c r="D57" s="22" t="str">
        <f>IF(B57="VIS","LOCKERT VISITA",IF(C57="VESTIDOR MUJERES",IF(COUNTIFS(ASIGNACIONES!E:E,A57,ASIGNACIONES!K:K,C57)=0,"LOCKERT DISPONIBLE","LOCKERT ASIGNADO"),IF(COUNTIFS(ASIGNACIONES!E:E,A57,ASIGNACIONES!H:H,B57,ASIGNACIONES!K:K,C57)=0,"LOCKERT DISPONIBLE","LOCKERT ASIGNADO")))</f>
        <v>LOCKERT ASIGNADO</v>
      </c>
      <c r="E57" s="3">
        <v>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23.25" hidden="1">
      <c r="A58" s="5">
        <v>28</v>
      </c>
      <c r="B58" s="6" t="s">
        <v>38</v>
      </c>
      <c r="C58" s="7" t="s">
        <v>15</v>
      </c>
      <c r="D58" s="22" t="str">
        <f>IF(B58="VIS","LOCKERT VISITA",IF(C58="VESTIDOR MUJERES",IF(COUNTIFS(ASIGNACIONES!E:E,A58,ASIGNACIONES!K:K,C58)=0,"LOCKERT DISPONIBLE","LOCKERT ASIGNADO"),IF(COUNTIFS(ASIGNACIONES!E:E,A58,ASIGNACIONES!H:H,B58,ASIGNACIONES!K:K,C58)=0,"LOCKERT DISPONIBLE","LOCKERT ASIGNADO")))</f>
        <v>LOCKERT ASIGNADO</v>
      </c>
      <c r="E58" s="3">
        <v>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23.25" hidden="1">
      <c r="A59" s="5">
        <v>29</v>
      </c>
      <c r="B59" s="6" t="s">
        <v>38</v>
      </c>
      <c r="C59" s="7" t="s">
        <v>15</v>
      </c>
      <c r="D59" s="22" t="str">
        <f>IF(B59="VIS","LOCKERT VISITA",IF(C59="VESTIDOR MUJERES",IF(COUNTIFS(ASIGNACIONES!E:E,A59,ASIGNACIONES!K:K,C59)=0,"LOCKERT DISPONIBLE","LOCKERT ASIGNADO"),IF(COUNTIFS(ASIGNACIONES!E:E,A59,ASIGNACIONES!H:H,B59,ASIGNACIONES!K:K,C59)=0,"LOCKERT DISPONIBLE","LOCKERT ASIGNADO")))</f>
        <v>LOCKERT ASIGNADO</v>
      </c>
      <c r="E59" s="3">
        <v>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23.25" hidden="1">
      <c r="A60" s="5">
        <v>30</v>
      </c>
      <c r="B60" s="6" t="s">
        <v>38</v>
      </c>
      <c r="C60" s="7" t="s">
        <v>15</v>
      </c>
      <c r="D60" s="22" t="str">
        <f>IF(B60="VIS","LOCKERT VISITA",IF(C60="VESTIDOR MUJERES",IF(COUNTIFS(ASIGNACIONES!E:E,A60,ASIGNACIONES!K:K,C60)=0,"LOCKERT DISPONIBLE","LOCKERT ASIGNADO"),IF(COUNTIFS(ASIGNACIONES!E:E,A60,ASIGNACIONES!H:H,B60,ASIGNACIONES!K:K,C60)=0,"LOCKERT DISPONIBLE","LOCKERT ASIGNADO")))</f>
        <v>LOCKERT ASIGNADO</v>
      </c>
      <c r="E60" s="3">
        <v>1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23.25" hidden="1">
      <c r="A61" s="5">
        <v>31</v>
      </c>
      <c r="B61" s="6" t="s">
        <v>38</v>
      </c>
      <c r="C61" s="7" t="s">
        <v>15</v>
      </c>
      <c r="D61" s="22" t="str">
        <f>IF(B61="VIS","LOCKERT VISITA",IF(C61="VESTIDOR MUJERES",IF(COUNTIFS(ASIGNACIONES!E:E,A61,ASIGNACIONES!K:K,C61)=0,"LOCKERT DISPONIBLE","LOCKERT ASIGNADO"),IF(COUNTIFS(ASIGNACIONES!E:E,A61,ASIGNACIONES!H:H,B61,ASIGNACIONES!K:K,C61)=0,"LOCKERT DISPONIBLE","LOCKERT ASIGNADO")))</f>
        <v>LOCKERT ASIGNADO</v>
      </c>
      <c r="E61" s="3">
        <v>1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23.25" hidden="1">
      <c r="A62" s="5">
        <v>32</v>
      </c>
      <c r="B62" s="6" t="s">
        <v>38</v>
      </c>
      <c r="C62" s="7" t="s">
        <v>15</v>
      </c>
      <c r="D62" s="22" t="str">
        <f>IF(B62="VIS","LOCKERT VISITA",IF(C62="VESTIDOR MUJERES",IF(COUNTIFS(ASIGNACIONES!E:E,A62,ASIGNACIONES!K:K,C62)=0,"LOCKERT DISPONIBLE","LOCKERT ASIGNADO"),IF(COUNTIFS(ASIGNACIONES!E:E,A62,ASIGNACIONES!H:H,B62,ASIGNACIONES!K:K,C62)=0,"LOCKERT DISPONIBLE","LOCKERT ASIGNADO")))</f>
        <v>LOCKERT ASIGNADO</v>
      </c>
      <c r="E62" s="3">
        <v>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23.25" hidden="1">
      <c r="A63" s="5">
        <v>33</v>
      </c>
      <c r="B63" s="6" t="s">
        <v>38</v>
      </c>
      <c r="C63" s="7" t="s">
        <v>15</v>
      </c>
      <c r="D63" s="22" t="str">
        <f>IF(B63="VIS","LOCKERT VISITA",IF(C63="VESTIDOR MUJERES",IF(COUNTIFS(ASIGNACIONES!E:E,A63,ASIGNACIONES!K:K,C63)=0,"LOCKERT DISPONIBLE","LOCKERT ASIGNADO"),IF(COUNTIFS(ASIGNACIONES!E:E,A63,ASIGNACIONES!H:H,B63,ASIGNACIONES!K:K,C63)=0,"LOCKERT DISPONIBLE","LOCKERT ASIGNADO")))</f>
        <v>LOCKERT ASIGNADO</v>
      </c>
      <c r="E63" s="3">
        <v>1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23.25" hidden="1">
      <c r="A64" s="5">
        <v>34</v>
      </c>
      <c r="B64" s="6" t="s">
        <v>38</v>
      </c>
      <c r="C64" s="7" t="s">
        <v>15</v>
      </c>
      <c r="D64" s="22" t="str">
        <f>IF(B64="VIS","LOCKERT VISITA",IF(C64="VESTIDOR MUJERES",IF(COUNTIFS(ASIGNACIONES!E:E,A64,ASIGNACIONES!K:K,C64)=0,"LOCKERT DISPONIBLE","LOCKERT ASIGNADO"),IF(COUNTIFS(ASIGNACIONES!E:E,A64,ASIGNACIONES!H:H,B64,ASIGNACIONES!K:K,C64)=0,"LOCKERT DISPONIBLE","LOCKERT ASIGNADO")))</f>
        <v>LOCKERT ASIGNADO</v>
      </c>
      <c r="E64" s="3">
        <v>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23.25" hidden="1">
      <c r="A65" s="5">
        <v>35</v>
      </c>
      <c r="B65" s="6" t="s">
        <v>38</v>
      </c>
      <c r="C65" s="7" t="s">
        <v>15</v>
      </c>
      <c r="D65" s="22" t="str">
        <f>IF(B65="VIS","LOCKERT VISITA",IF(C65="VESTIDOR MUJERES",IF(COUNTIFS(ASIGNACIONES!E:E,A65,ASIGNACIONES!K:K,C65)=0,"LOCKERT DISPONIBLE","LOCKERT ASIGNADO"),IF(COUNTIFS(ASIGNACIONES!E:E,A65,ASIGNACIONES!H:H,B65,ASIGNACIONES!K:K,C65)=0,"LOCKERT DISPONIBLE","LOCKERT ASIGNADO")))</f>
        <v>LOCKERT ASIGNADO</v>
      </c>
      <c r="E65" s="3">
        <v>1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23.25" hidden="1">
      <c r="A66" s="5">
        <v>36</v>
      </c>
      <c r="B66" s="6" t="s">
        <v>38</v>
      </c>
      <c r="C66" s="7" t="s">
        <v>15</v>
      </c>
      <c r="D66" s="22" t="str">
        <f>IF(B66="VIS","LOCKERT VISITA",IF(C66="VESTIDOR MUJERES",IF(COUNTIFS(ASIGNACIONES!E:E,A66,ASIGNACIONES!K:K,C66)=0,"LOCKERT DISPONIBLE","LOCKERT ASIGNADO"),IF(COUNTIFS(ASIGNACIONES!E:E,A66,ASIGNACIONES!H:H,B66,ASIGNACIONES!K:K,C66)=0,"LOCKERT DISPONIBLE","LOCKERT ASIGNADO")))</f>
        <v>LOCKERT ASIGNADO</v>
      </c>
      <c r="E66" s="3">
        <v>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23.25" hidden="1">
      <c r="A67" s="5">
        <v>37</v>
      </c>
      <c r="B67" s="6" t="s">
        <v>38</v>
      </c>
      <c r="C67" s="7" t="s">
        <v>15</v>
      </c>
      <c r="D67" s="22" t="str">
        <f>IF(B67="VIS","LOCKERT VISITA",IF(C67="VESTIDOR MUJERES",IF(COUNTIFS(ASIGNACIONES!E:E,A67,ASIGNACIONES!K:K,C67)=0,"LOCKERT DISPONIBLE","LOCKERT ASIGNADO"),IF(COUNTIFS(ASIGNACIONES!E:E,A67,ASIGNACIONES!H:H,B67,ASIGNACIONES!K:K,C67)=0,"LOCKERT DISPONIBLE","LOCKERT ASIGNADO")))</f>
        <v>LOCKERT ASIGNADO</v>
      </c>
      <c r="E67" s="3">
        <v>1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ht="23.25" hidden="1">
      <c r="A68" s="5">
        <v>38</v>
      </c>
      <c r="B68" s="6" t="s">
        <v>38</v>
      </c>
      <c r="C68" s="7" t="s">
        <v>15</v>
      </c>
      <c r="D68" s="22" t="str">
        <f>IF(B68="VIS","LOCKERT VISITA",IF(C68="VESTIDOR MUJERES",IF(COUNTIFS(ASIGNACIONES!E:E,A68,ASIGNACIONES!K:K,C68)=0,"LOCKERT DISPONIBLE","LOCKERT ASIGNADO"),IF(COUNTIFS(ASIGNACIONES!E:E,A68,ASIGNACIONES!H:H,B68,ASIGNACIONES!K:K,C68)=0,"LOCKERT DISPONIBLE","LOCKERT ASIGNADO")))</f>
        <v>LOCKERT ASIGNADO</v>
      </c>
      <c r="E68" s="3">
        <v>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23.25" hidden="1">
      <c r="A69" s="5">
        <v>39</v>
      </c>
      <c r="B69" s="6" t="s">
        <v>38</v>
      </c>
      <c r="C69" s="7" t="s">
        <v>15</v>
      </c>
      <c r="D69" s="22" t="str">
        <f>IF(B69="VIS","LOCKERT VISITA",IF(C69="VESTIDOR MUJERES",IF(COUNTIFS(ASIGNACIONES!E:E,A69,ASIGNACIONES!K:K,C69)=0,"LOCKERT DISPONIBLE","LOCKERT ASIGNADO"),IF(COUNTIFS(ASIGNACIONES!E:E,A69,ASIGNACIONES!H:H,B69,ASIGNACIONES!K:K,C69)=0,"LOCKERT DISPONIBLE","LOCKERT ASIGNADO")))</f>
        <v>LOCKERT ASIGNADO</v>
      </c>
      <c r="E69" s="3">
        <v>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ht="23.25" hidden="1">
      <c r="A70" s="5">
        <v>40</v>
      </c>
      <c r="B70" s="6" t="s">
        <v>38</v>
      </c>
      <c r="C70" s="7" t="s">
        <v>15</v>
      </c>
      <c r="D70" s="22" t="str">
        <f>IF(B70="VIS","LOCKERT VISITA",IF(C70="VESTIDOR MUJERES",IF(COUNTIFS(ASIGNACIONES!E:E,A70,ASIGNACIONES!K:K,C70)=0,"LOCKERT DISPONIBLE","LOCKERT ASIGNADO"),IF(COUNTIFS(ASIGNACIONES!E:E,A70,ASIGNACIONES!H:H,B70,ASIGNACIONES!K:K,C70)=0,"LOCKERT DISPONIBLE","LOCKERT ASIGNADO")))</f>
        <v>LOCKERT ASIGNADO</v>
      </c>
      <c r="E70" s="3">
        <v>1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23.25" hidden="1">
      <c r="A71" s="5">
        <v>41</v>
      </c>
      <c r="B71" s="6" t="s">
        <v>38</v>
      </c>
      <c r="C71" s="7" t="s">
        <v>15</v>
      </c>
      <c r="D71" s="22" t="str">
        <f>IF(B71="VIS","LOCKERT VISITA",IF(C71="VESTIDOR MUJERES",IF(COUNTIFS(ASIGNACIONES!E:E,A71,ASIGNACIONES!K:K,C71)=0,"LOCKERT DISPONIBLE","LOCKERT ASIGNADO"),IF(COUNTIFS(ASIGNACIONES!E:E,A71,ASIGNACIONES!H:H,B71,ASIGNACIONES!K:K,C71)=0,"LOCKERT DISPONIBLE","LOCKERT ASIGNADO")))</f>
        <v>LOCKERT ASIGNADO</v>
      </c>
      <c r="E71" s="3">
        <v>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ht="23.25" hidden="1">
      <c r="A72" s="5">
        <v>42</v>
      </c>
      <c r="B72" s="6" t="s">
        <v>38</v>
      </c>
      <c r="C72" s="7" t="s">
        <v>15</v>
      </c>
      <c r="D72" s="22" t="str">
        <f>IF(B72="VIS","LOCKERT VISITA",IF(C72="VESTIDOR MUJERES",IF(COUNTIFS(ASIGNACIONES!E:E,A72,ASIGNACIONES!K:K,C72)=0,"LOCKERT DISPONIBLE","LOCKERT ASIGNADO"),IF(COUNTIFS(ASIGNACIONES!E:E,A72,ASIGNACIONES!H:H,B72,ASIGNACIONES!K:K,C72)=0,"LOCKERT DISPONIBLE","LOCKERT ASIGNADO")))</f>
        <v>LOCKERT ASIGNADO</v>
      </c>
      <c r="E72" s="3">
        <v>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23.25" hidden="1">
      <c r="A73" s="5">
        <v>43</v>
      </c>
      <c r="B73" s="6" t="s">
        <v>38</v>
      </c>
      <c r="C73" s="7" t="s">
        <v>15</v>
      </c>
      <c r="D73" s="22" t="str">
        <f>IF(B73="VIS","LOCKERT VISITA",IF(C73="VESTIDOR MUJERES",IF(COUNTIFS(ASIGNACIONES!E:E,A73,ASIGNACIONES!K:K,C73)=0,"LOCKERT DISPONIBLE","LOCKERT ASIGNADO"),IF(COUNTIFS(ASIGNACIONES!E:E,A73,ASIGNACIONES!H:H,B73,ASIGNACIONES!K:K,C73)=0,"LOCKERT DISPONIBLE","LOCKERT ASIGNADO")))</f>
        <v>LOCKERT ASIGNADO</v>
      </c>
      <c r="E73" s="3">
        <v>1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23.25" hidden="1">
      <c r="A74" s="5">
        <v>44</v>
      </c>
      <c r="B74" s="6" t="s">
        <v>38</v>
      </c>
      <c r="C74" s="7" t="s">
        <v>15</v>
      </c>
      <c r="D74" s="22" t="str">
        <f>IF(B74="VIS","LOCKERT VISITA",IF(C74="VESTIDOR MUJERES",IF(COUNTIFS(ASIGNACIONES!E:E,A74,ASIGNACIONES!K:K,C74)=0,"LOCKERT DISPONIBLE","LOCKERT ASIGNADO"),IF(COUNTIFS(ASIGNACIONES!E:E,A74,ASIGNACIONES!H:H,B74,ASIGNACIONES!K:K,C74)=0,"LOCKERT DISPONIBLE","LOCKERT ASIGNADO")))</f>
        <v>LOCKERT ASIGNADO</v>
      </c>
      <c r="E74" s="3">
        <v>1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23.25" hidden="1">
      <c r="A75" s="5">
        <v>45</v>
      </c>
      <c r="B75" s="6" t="s">
        <v>38</v>
      </c>
      <c r="C75" s="7" t="s">
        <v>15</v>
      </c>
      <c r="D75" s="22" t="str">
        <f>IF(B75="VIS","LOCKERT VISITA",IF(C75="VESTIDOR MUJERES",IF(COUNTIFS(ASIGNACIONES!E:E,A75,ASIGNACIONES!K:K,C75)=0,"LOCKERT DISPONIBLE","LOCKERT ASIGNADO"),IF(COUNTIFS(ASIGNACIONES!E:E,A75,ASIGNACIONES!H:H,B75,ASIGNACIONES!K:K,C75)=0,"LOCKERT DISPONIBLE","LOCKERT ASIGNADO")))</f>
        <v>LOCKERT ASIGNADO</v>
      </c>
      <c r="E75" s="3">
        <v>1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23.25" hidden="1">
      <c r="A76" s="5">
        <v>46</v>
      </c>
      <c r="B76" s="6" t="s">
        <v>38</v>
      </c>
      <c r="C76" s="7" t="s">
        <v>15</v>
      </c>
      <c r="D76" s="22" t="str">
        <f>IF(B76="VIS","LOCKERT VISITA",IF(C76="VESTIDOR MUJERES",IF(COUNTIFS(ASIGNACIONES!E:E,A76,ASIGNACIONES!K:K,C76)=0,"LOCKERT DISPONIBLE","LOCKERT ASIGNADO"),IF(COUNTIFS(ASIGNACIONES!E:E,A76,ASIGNACIONES!H:H,B76,ASIGNACIONES!K:K,C76)=0,"LOCKERT DISPONIBLE","LOCKERT ASIGNADO")))</f>
        <v>LOCKERT ASIGNADO</v>
      </c>
      <c r="E76" s="3">
        <v>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23.25" hidden="1">
      <c r="A77" s="5">
        <v>47</v>
      </c>
      <c r="B77" s="6" t="s">
        <v>38</v>
      </c>
      <c r="C77" s="7" t="s">
        <v>15</v>
      </c>
      <c r="D77" s="22" t="str">
        <f>IF(B77="VIS","LOCKERT VISITA",IF(C77="VESTIDOR MUJERES",IF(COUNTIFS(ASIGNACIONES!E:E,A77,ASIGNACIONES!K:K,C77)=0,"LOCKERT DISPONIBLE","LOCKERT ASIGNADO"),IF(COUNTIFS(ASIGNACIONES!E:E,A77,ASIGNACIONES!H:H,B77,ASIGNACIONES!K:K,C77)=0,"LOCKERT DISPONIBLE","LOCKERT ASIGNADO")))</f>
        <v>LOCKERT ASIGNADO</v>
      </c>
      <c r="E77" s="3">
        <v>1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23.25" hidden="1">
      <c r="A78" s="5">
        <v>48</v>
      </c>
      <c r="B78" s="6" t="s">
        <v>38</v>
      </c>
      <c r="C78" s="7" t="s">
        <v>15</v>
      </c>
      <c r="D78" s="22" t="str">
        <f>IF(B78="VIS","LOCKERT VISITA",IF(C78="VESTIDOR MUJERES",IF(COUNTIFS(ASIGNACIONES!E:E,A78,ASIGNACIONES!K:K,C78)=0,"LOCKERT DISPONIBLE","LOCKERT ASIGNADO"),IF(COUNTIFS(ASIGNACIONES!E:E,A78,ASIGNACIONES!H:H,B78,ASIGNACIONES!K:K,C78)=0,"LOCKERT DISPONIBLE","LOCKERT ASIGNADO")))</f>
        <v>LOCKERT ASIGNADO</v>
      </c>
      <c r="E78" s="3">
        <v>1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23.25" hidden="1">
      <c r="A79" s="5">
        <v>49</v>
      </c>
      <c r="B79" s="6" t="s">
        <v>38</v>
      </c>
      <c r="C79" s="7" t="s">
        <v>15</v>
      </c>
      <c r="D79" s="22" t="str">
        <f>IF(B79="VIS","LOCKERT VISITA",IF(C79="VESTIDOR MUJERES",IF(COUNTIFS(ASIGNACIONES!E:E,A79,ASIGNACIONES!K:K,C79)=0,"LOCKERT DISPONIBLE","LOCKERT ASIGNADO"),IF(COUNTIFS(ASIGNACIONES!E:E,A79,ASIGNACIONES!H:H,B79,ASIGNACIONES!K:K,C79)=0,"LOCKERT DISPONIBLE","LOCKERT ASIGNADO")))</f>
        <v>LOCKERT ASIGNADO</v>
      </c>
      <c r="E79" s="3">
        <v>1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23.25" hidden="1">
      <c r="A80" s="5">
        <v>50</v>
      </c>
      <c r="B80" s="6" t="s">
        <v>38</v>
      </c>
      <c r="C80" s="7" t="s">
        <v>15</v>
      </c>
      <c r="D80" s="22" t="str">
        <f>IF(B80="VIS","LOCKERT VISITA",IF(C80="VESTIDOR MUJERES",IF(COUNTIFS(ASIGNACIONES!E:E,A80,ASIGNACIONES!K:K,C80)=0,"LOCKERT DISPONIBLE","LOCKERT ASIGNADO"),IF(COUNTIFS(ASIGNACIONES!E:E,A80,ASIGNACIONES!H:H,B80,ASIGNACIONES!K:K,C80)=0,"LOCKERT DISPONIBLE","LOCKERT ASIGNADO")))</f>
        <v>LOCKERT ASIGNADO</v>
      </c>
      <c r="E80" s="3">
        <v>1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23.25" hidden="1">
      <c r="A81" s="5">
        <v>51</v>
      </c>
      <c r="B81" s="6" t="s">
        <v>38</v>
      </c>
      <c r="C81" s="7" t="s">
        <v>15</v>
      </c>
      <c r="D81" s="22" t="str">
        <f>IF(B81="VIS","LOCKERT VISITA",IF(C81="VESTIDOR MUJERES",IF(COUNTIFS(ASIGNACIONES!E:E,A81,ASIGNACIONES!K:K,C81)=0,"LOCKERT DISPONIBLE","LOCKERT ASIGNADO"),IF(COUNTIFS(ASIGNACIONES!E:E,A81,ASIGNACIONES!H:H,B81,ASIGNACIONES!K:K,C81)=0,"LOCKERT DISPONIBLE","LOCKERT ASIGNADO")))</f>
        <v>LOCKERT ASIGNADO</v>
      </c>
      <c r="E81" s="3">
        <v>1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23.25" hidden="1">
      <c r="A82" s="5">
        <v>52</v>
      </c>
      <c r="B82" s="6" t="s">
        <v>38</v>
      </c>
      <c r="C82" s="7" t="s">
        <v>15</v>
      </c>
      <c r="D82" s="22" t="str">
        <f>IF(B82="VIS","LOCKERT VISITA",IF(C82="VESTIDOR MUJERES",IF(COUNTIFS(ASIGNACIONES!E:E,A82,ASIGNACIONES!K:K,C82)=0,"LOCKERT DISPONIBLE","LOCKERT ASIGNADO"),IF(COUNTIFS(ASIGNACIONES!E:E,A82,ASIGNACIONES!H:H,B82,ASIGNACIONES!K:K,C82)=0,"LOCKERT DISPONIBLE","LOCKERT ASIGNADO")))</f>
        <v>LOCKERT ASIGNADO</v>
      </c>
      <c r="E82" s="3">
        <v>1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23.25" hidden="1">
      <c r="A83" s="5">
        <v>53</v>
      </c>
      <c r="B83" s="6" t="s">
        <v>38</v>
      </c>
      <c r="C83" s="7" t="s">
        <v>15</v>
      </c>
      <c r="D83" s="22" t="str">
        <f>IF(B83="VIS","LOCKERT VISITA",IF(C83="VESTIDOR MUJERES",IF(COUNTIFS(ASIGNACIONES!E:E,A83,ASIGNACIONES!K:K,C83)=0,"LOCKERT DISPONIBLE","LOCKERT ASIGNADO"),IF(COUNTIFS(ASIGNACIONES!E:E,A83,ASIGNACIONES!H:H,B83,ASIGNACIONES!K:K,C83)=0,"LOCKERT DISPONIBLE","LOCKERT ASIGNADO")))</f>
        <v>LOCKERT ASIGNADO</v>
      </c>
      <c r="E83" s="3">
        <v>1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23.25" hidden="1">
      <c r="A84" s="5">
        <v>54</v>
      </c>
      <c r="B84" s="6" t="s">
        <v>38</v>
      </c>
      <c r="C84" s="7" t="s">
        <v>15</v>
      </c>
      <c r="D84" s="22" t="str">
        <f>IF(B84="VIS","LOCKERT VISITA",IF(C84="VESTIDOR MUJERES",IF(COUNTIFS(ASIGNACIONES!E:E,A84,ASIGNACIONES!K:K,C84)=0,"LOCKERT DISPONIBLE","LOCKERT ASIGNADO"),IF(COUNTIFS(ASIGNACIONES!E:E,A84,ASIGNACIONES!H:H,B84,ASIGNACIONES!K:K,C84)=0,"LOCKERT DISPONIBLE","LOCKERT ASIGNADO")))</f>
        <v>LOCKERT DISPONIBLE</v>
      </c>
      <c r="E84" s="3">
        <v>1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23.25" hidden="1">
      <c r="A85" s="5">
        <v>55</v>
      </c>
      <c r="B85" s="6" t="s">
        <v>38</v>
      </c>
      <c r="C85" s="7" t="s">
        <v>15</v>
      </c>
      <c r="D85" s="22" t="str">
        <f>IF(B85="VIS","LOCKERT VISITA",IF(C85="VESTIDOR MUJERES",IF(COUNTIFS(ASIGNACIONES!E:E,A85,ASIGNACIONES!K:K,C85)=0,"LOCKERT DISPONIBLE","LOCKERT ASIGNADO"),IF(COUNTIFS(ASIGNACIONES!E:E,A85,ASIGNACIONES!H:H,B85,ASIGNACIONES!K:K,C85)=0,"LOCKERT DISPONIBLE","LOCKERT ASIGNADO")))</f>
        <v>LOCKERT ASIGNADO</v>
      </c>
      <c r="E85" s="3">
        <v>1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23.25" hidden="1">
      <c r="A86" s="5">
        <v>56</v>
      </c>
      <c r="B86" s="6" t="s">
        <v>38</v>
      </c>
      <c r="C86" s="7" t="s">
        <v>15</v>
      </c>
      <c r="D86" s="22" t="str">
        <f>IF(B86="VIS","LOCKERT VISITA",IF(C86="VESTIDOR MUJERES",IF(COUNTIFS(ASIGNACIONES!E:E,A86,ASIGNACIONES!K:K,C86)=0,"LOCKERT DISPONIBLE","LOCKERT ASIGNADO"),IF(COUNTIFS(ASIGNACIONES!E:E,A86,ASIGNACIONES!H:H,B86,ASIGNACIONES!K:K,C86)=0,"LOCKERT DISPONIBLE","LOCKERT ASIGNADO")))</f>
        <v>LOCKERT ASIGNADO</v>
      </c>
      <c r="E86" s="3">
        <v>1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23.25" hidden="1">
      <c r="A87" s="5">
        <v>57</v>
      </c>
      <c r="B87" s="6" t="s">
        <v>38</v>
      </c>
      <c r="C87" s="7" t="s">
        <v>15</v>
      </c>
      <c r="D87" s="22" t="str">
        <f>IF(B87="VIS","LOCKERT VISITA",IF(C87="VESTIDOR MUJERES",IF(COUNTIFS(ASIGNACIONES!E:E,A87,ASIGNACIONES!K:K,C87)=0,"LOCKERT DISPONIBLE","LOCKERT ASIGNADO"),IF(COUNTIFS(ASIGNACIONES!E:E,A87,ASIGNACIONES!H:H,B87,ASIGNACIONES!K:K,C87)=0,"LOCKERT DISPONIBLE","LOCKERT ASIGNADO")))</f>
        <v>LOCKERT ASIGNADO</v>
      </c>
      <c r="E87" s="3">
        <v>1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23.25" hidden="1">
      <c r="A88" s="5">
        <v>58</v>
      </c>
      <c r="B88" s="6" t="s">
        <v>38</v>
      </c>
      <c r="C88" s="7" t="s">
        <v>15</v>
      </c>
      <c r="D88" s="22" t="str">
        <f>IF(B88="VIS","LOCKERT VISITA",IF(C88="VESTIDOR MUJERES",IF(COUNTIFS(ASIGNACIONES!E:E,A88,ASIGNACIONES!K:K,C88)=0,"LOCKERT DISPONIBLE","LOCKERT ASIGNADO"),IF(COUNTIFS(ASIGNACIONES!E:E,A88,ASIGNACIONES!H:H,B88,ASIGNACIONES!K:K,C88)=0,"LOCKERT DISPONIBLE","LOCKERT ASIGNADO")))</f>
        <v>LOCKERT ASIGNADO</v>
      </c>
      <c r="E88" s="3">
        <v>1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23.25" hidden="1">
      <c r="A89" s="5">
        <v>59</v>
      </c>
      <c r="B89" s="6" t="s">
        <v>38</v>
      </c>
      <c r="C89" s="7" t="s">
        <v>15</v>
      </c>
      <c r="D89" s="22" t="str">
        <f>IF(B89="VIS","LOCKERT VISITA",IF(C89="VESTIDOR MUJERES",IF(COUNTIFS(ASIGNACIONES!E:E,A89,ASIGNACIONES!K:K,C89)=0,"LOCKERT DISPONIBLE","LOCKERT ASIGNADO"),IF(COUNTIFS(ASIGNACIONES!E:E,A89,ASIGNACIONES!H:H,B89,ASIGNACIONES!K:K,C89)=0,"LOCKERT DISPONIBLE","LOCKERT ASIGNADO")))</f>
        <v>LOCKERT DISPONIBLE</v>
      </c>
      <c r="E89" s="3">
        <v>1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23.25" hidden="1">
      <c r="A90" s="5">
        <v>60</v>
      </c>
      <c r="B90" s="6" t="s">
        <v>38</v>
      </c>
      <c r="C90" s="7" t="s">
        <v>15</v>
      </c>
      <c r="D90" s="22" t="str">
        <f>IF(B90="VIS","LOCKERT VISITA",IF(C90="VESTIDOR MUJERES",IF(COUNTIFS(ASIGNACIONES!E:E,A90,ASIGNACIONES!K:K,C90)=0,"LOCKERT DISPONIBLE","LOCKERT ASIGNADO"),IF(COUNTIFS(ASIGNACIONES!E:E,A90,ASIGNACIONES!H:H,B90,ASIGNACIONES!K:K,C90)=0,"LOCKERT DISPONIBLE","LOCKERT ASIGNADO")))</f>
        <v>LOCKERT DISPONIBLE</v>
      </c>
      <c r="E90" s="3">
        <v>1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23.25" hidden="1">
      <c r="A91" s="5">
        <v>61</v>
      </c>
      <c r="B91" s="6" t="s">
        <v>38</v>
      </c>
      <c r="C91" s="7" t="s">
        <v>15</v>
      </c>
      <c r="D91" s="22" t="str">
        <f>IF(B91="VIS","LOCKERT VISITA",IF(C91="VESTIDOR MUJERES",IF(COUNTIFS(ASIGNACIONES!E:E,A91,ASIGNACIONES!K:K,C91)=0,"LOCKERT DISPONIBLE","LOCKERT ASIGNADO"),IF(COUNTIFS(ASIGNACIONES!E:E,A91,ASIGNACIONES!H:H,B91,ASIGNACIONES!K:K,C91)=0,"LOCKERT DISPONIBLE","LOCKERT ASIGNADO")))</f>
        <v>LOCKERT DISPONIBLE</v>
      </c>
      <c r="E91" s="3">
        <v>1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23.25" hidden="1">
      <c r="A92" s="5">
        <v>62</v>
      </c>
      <c r="B92" s="6" t="s">
        <v>38</v>
      </c>
      <c r="C92" s="7" t="s">
        <v>15</v>
      </c>
      <c r="D92" s="22" t="str">
        <f>IF(B92="VIS","LOCKERT VISITA",IF(C92="VESTIDOR MUJERES",IF(COUNTIFS(ASIGNACIONES!E:E,A92,ASIGNACIONES!K:K,C92)=0,"LOCKERT DISPONIBLE","LOCKERT ASIGNADO"),IF(COUNTIFS(ASIGNACIONES!E:E,A92,ASIGNACIONES!H:H,B92,ASIGNACIONES!K:K,C92)=0,"LOCKERT DISPONIBLE","LOCKERT ASIGNADO")))</f>
        <v>LOCKERT DISPONIBLE</v>
      </c>
      <c r="E92" s="3">
        <v>1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23.25" hidden="1">
      <c r="A93" s="5">
        <v>63</v>
      </c>
      <c r="B93" s="6" t="s">
        <v>38</v>
      </c>
      <c r="C93" s="7" t="s">
        <v>15</v>
      </c>
      <c r="D93" s="22" t="str">
        <f>IF(B93="VIS","LOCKERT VISITA",IF(C93="VESTIDOR MUJERES",IF(COUNTIFS(ASIGNACIONES!E:E,A93,ASIGNACIONES!K:K,C93)=0,"LOCKERT DISPONIBLE","LOCKERT ASIGNADO"),IF(COUNTIFS(ASIGNACIONES!E:E,A93,ASIGNACIONES!H:H,B93,ASIGNACIONES!K:K,C93)=0,"LOCKERT DISPONIBLE","LOCKERT ASIGNADO")))</f>
        <v>LOCKERT DISPONIBLE</v>
      </c>
      <c r="E93" s="3">
        <v>1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23.25" hidden="1">
      <c r="A94" s="5">
        <v>64</v>
      </c>
      <c r="B94" s="6" t="s">
        <v>38</v>
      </c>
      <c r="C94" s="7" t="s">
        <v>15</v>
      </c>
      <c r="D94" s="22" t="str">
        <f>IF(B94="VIS","LOCKERT VISITA",IF(C94="VESTIDOR MUJERES",IF(COUNTIFS(ASIGNACIONES!E:E,A94,ASIGNACIONES!K:K,C94)=0,"LOCKERT DISPONIBLE","LOCKERT ASIGNADO"),IF(COUNTIFS(ASIGNACIONES!E:E,A94,ASIGNACIONES!H:H,B94,ASIGNACIONES!K:K,C94)=0,"LOCKERT DISPONIBLE","LOCKERT ASIGNADO")))</f>
        <v>LOCKERT ASIGNADO</v>
      </c>
      <c r="E94" s="3">
        <v>1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23.25">
      <c r="A95" s="5">
        <v>1</v>
      </c>
      <c r="B95" s="6" t="s">
        <v>46</v>
      </c>
      <c r="C95" s="7" t="s">
        <v>15</v>
      </c>
      <c r="D95" s="22" t="str">
        <f>IF(B95="VIS","LOCKERT VISITA",IF(C95="VESTIDOR MUJERES",IF(COUNTIFS(ASIGNACIONES!E:E,A95,ASIGNACIONES!K:K,C95)=0,"LOCKERT DISPONIBLE","LOCKERT ASIGNADO"),IF(COUNTIFS(ASIGNACIONES!E:E,A95,ASIGNACIONES!H:H,B95,ASIGNACIONES!K:K,C95)=0,"LOCKERT DISPONIBLE","LOCKERT ASIGNADO")))</f>
        <v>LOCKERT DISPONIBLE</v>
      </c>
      <c r="E95" s="3">
        <v>1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23.25">
      <c r="A96" s="5">
        <v>2</v>
      </c>
      <c r="B96" s="6" t="s">
        <v>46</v>
      </c>
      <c r="C96" s="7" t="s">
        <v>15</v>
      </c>
      <c r="D96" s="22" t="str">
        <f>IF(B96="VIS","LOCKERT VISITA",IF(C96="VESTIDOR MUJERES",IF(COUNTIFS(ASIGNACIONES!E:E,A96,ASIGNACIONES!K:K,C96)=0,"LOCKERT DISPONIBLE","LOCKERT ASIGNADO"),IF(COUNTIFS(ASIGNACIONES!E:E,A96,ASIGNACIONES!H:H,B96,ASIGNACIONES!K:K,C96)=0,"LOCKERT DISPONIBLE","LOCKERT ASIGNADO")))</f>
        <v>LOCKERT ASIGNADO</v>
      </c>
      <c r="E96" s="3">
        <v>1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23.25">
      <c r="A97" s="5">
        <v>3</v>
      </c>
      <c r="B97" s="6" t="s">
        <v>46</v>
      </c>
      <c r="C97" s="7" t="s">
        <v>15</v>
      </c>
      <c r="D97" s="22" t="str">
        <f>IF(B97="VIS","LOCKERT VISITA",IF(C97="VESTIDOR MUJERES",IF(COUNTIFS(ASIGNACIONES!E:E,A97,ASIGNACIONES!K:K,C97)=0,"LOCKERT DISPONIBLE","LOCKERT ASIGNADO"),IF(COUNTIFS(ASIGNACIONES!E:E,A97,ASIGNACIONES!H:H,B97,ASIGNACIONES!K:K,C97)=0,"LOCKERT DISPONIBLE","LOCKERT ASIGNADO")))</f>
        <v>LOCKERT ASIGNADO</v>
      </c>
      <c r="E97" s="3">
        <v>1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23.25">
      <c r="A98" s="5">
        <v>4</v>
      </c>
      <c r="B98" s="6" t="s">
        <v>46</v>
      </c>
      <c r="C98" s="7" t="s">
        <v>15</v>
      </c>
      <c r="D98" s="22" t="str">
        <f>IF(B98="VIS","LOCKERT VISITA",IF(C98="VESTIDOR MUJERES",IF(COUNTIFS(ASIGNACIONES!E:E,A98,ASIGNACIONES!K:K,C98)=0,"LOCKERT DISPONIBLE","LOCKERT ASIGNADO"),IF(COUNTIFS(ASIGNACIONES!E:E,A98,ASIGNACIONES!H:H,B98,ASIGNACIONES!K:K,C98)=0,"LOCKERT DISPONIBLE","LOCKERT ASIGNADO")))</f>
        <v>LOCKERT ASIGNADO</v>
      </c>
      <c r="E98" s="3">
        <v>1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23.25">
      <c r="A99" s="5">
        <v>5</v>
      </c>
      <c r="B99" s="6" t="s">
        <v>46</v>
      </c>
      <c r="C99" s="7" t="s">
        <v>15</v>
      </c>
      <c r="D99" s="22" t="str">
        <f>IF(B99="VIS","LOCKERT VISITA",IF(C99="VESTIDOR MUJERES",IF(COUNTIFS(ASIGNACIONES!E:E,A99,ASIGNACIONES!K:K,C99)=0,"LOCKERT DISPONIBLE","LOCKERT ASIGNADO"),IF(COUNTIFS(ASIGNACIONES!E:E,A99,ASIGNACIONES!H:H,B99,ASIGNACIONES!K:K,C99)=0,"LOCKERT DISPONIBLE","LOCKERT ASIGNADO")))</f>
        <v>LOCKERT ASIGNADO</v>
      </c>
      <c r="E99" s="3">
        <v>1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23.25">
      <c r="A100" s="5">
        <v>6</v>
      </c>
      <c r="B100" s="6" t="s">
        <v>46</v>
      </c>
      <c r="C100" s="7" t="s">
        <v>15</v>
      </c>
      <c r="D100" s="22" t="str">
        <f>IF(B100="VIS","LOCKERT VISITA",IF(C100="VESTIDOR MUJERES",IF(COUNTIFS(ASIGNACIONES!E:E,A100,ASIGNACIONES!K:K,C100)=0,"LOCKERT DISPONIBLE","LOCKERT ASIGNADO"),IF(COUNTIFS(ASIGNACIONES!E:E,A100,ASIGNACIONES!H:H,B100,ASIGNACIONES!K:K,C100)=0,"LOCKERT DISPONIBLE","LOCKERT ASIGNADO")))</f>
        <v>LOCKERT ASIGNADO</v>
      </c>
      <c r="E100" s="3">
        <v>1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ht="23.25" hidden="1">
      <c r="A101" s="5">
        <v>7</v>
      </c>
      <c r="B101" s="6" t="s">
        <v>46</v>
      </c>
      <c r="C101" s="7" t="s">
        <v>12</v>
      </c>
      <c r="D101" s="22" t="str">
        <f>IF(B101="VIS","LOCKERT VISITA",IF(C101="VESTIDOR MUJERES",IF(COUNTIFS(ASIGNACIONES!E:E,A101,ASIGNACIONES!K:K,C101)=0,"LOCKERT DISPONIBLE","LOCKERT ASIGNADO"),IF(COUNTIFS(ASIGNACIONES!E:E,A101,ASIGNACIONES!H:H,B101,ASIGNACIONES!K:K,C101)=0,"LOCKERT DISPONIBLE","LOCKERT ASIGNADO")))</f>
        <v>LOCKERT DISPONIBLE</v>
      </c>
      <c r="E101" s="3">
        <v>1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ht="23.25">
      <c r="A102" s="5">
        <v>7</v>
      </c>
      <c r="B102" s="6" t="s">
        <v>46</v>
      </c>
      <c r="C102" s="7" t="s">
        <v>15</v>
      </c>
      <c r="D102" s="22" t="str">
        <f>IF(B102="VIS","LOCKERT VISITA",IF(C102="VESTIDOR MUJERES",IF(COUNTIFS(ASIGNACIONES!E:E,A102,ASIGNACIONES!K:K,C102)=0,"LOCKERT DISPONIBLE","LOCKERT ASIGNADO"),IF(COUNTIFS(ASIGNACIONES!E:E,A102,ASIGNACIONES!H:H,B102,ASIGNACIONES!K:K,C102)=0,"LOCKERT DISPONIBLE","LOCKERT ASIGNADO")))</f>
        <v>LOCKERT ASIGNADO</v>
      </c>
      <c r="E102" s="3">
        <v>1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23.25">
      <c r="A103" s="5">
        <v>8</v>
      </c>
      <c r="B103" s="6" t="s">
        <v>46</v>
      </c>
      <c r="C103" s="7" t="s">
        <v>15</v>
      </c>
      <c r="D103" s="22" t="str">
        <f>IF(B103="VIS","LOCKERT VISITA",IF(C103="VESTIDOR MUJERES",IF(COUNTIFS(ASIGNACIONES!E:E,A103,ASIGNACIONES!K:K,C103)=0,"LOCKERT DISPONIBLE","LOCKERT ASIGNADO"),IF(COUNTIFS(ASIGNACIONES!E:E,A103,ASIGNACIONES!H:H,B103,ASIGNACIONES!K:K,C103)=0,"LOCKERT DISPONIBLE","LOCKERT ASIGNADO")))</f>
        <v>LOCKERT ASIGNADO</v>
      </c>
      <c r="E103" s="3">
        <v>1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23.25">
      <c r="A104" s="5">
        <v>9</v>
      </c>
      <c r="B104" s="6" t="s">
        <v>46</v>
      </c>
      <c r="C104" s="7" t="s">
        <v>15</v>
      </c>
      <c r="D104" s="22" t="str">
        <f>IF(B104="VIS","LOCKERT VISITA",IF(C104="VESTIDOR MUJERES",IF(COUNTIFS(ASIGNACIONES!E:E,A104,ASIGNACIONES!K:K,C104)=0,"LOCKERT DISPONIBLE","LOCKERT ASIGNADO"),IF(COUNTIFS(ASIGNACIONES!E:E,A104,ASIGNACIONES!H:H,B104,ASIGNACIONES!K:K,C104)=0,"LOCKERT DISPONIBLE","LOCKERT ASIGNADO")))</f>
        <v>LOCKERT ASIGNADO</v>
      </c>
      <c r="E104" s="3">
        <v>1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23.25">
      <c r="A105" s="5">
        <v>10</v>
      </c>
      <c r="B105" s="6" t="s">
        <v>46</v>
      </c>
      <c r="C105" s="7" t="s">
        <v>15</v>
      </c>
      <c r="D105" s="22" t="str">
        <f>IF(B105="VIS","LOCKERT VISITA",IF(C105="VESTIDOR MUJERES",IF(COUNTIFS(ASIGNACIONES!E:E,A105,ASIGNACIONES!K:K,C105)=0,"LOCKERT DISPONIBLE","LOCKERT ASIGNADO"),IF(COUNTIFS(ASIGNACIONES!E:E,A105,ASIGNACIONES!H:H,B105,ASIGNACIONES!K:K,C105)=0,"LOCKERT DISPONIBLE","LOCKERT ASIGNADO")))</f>
        <v>LOCKERT ASIGNADO</v>
      </c>
      <c r="E105" s="3">
        <v>1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23.25">
      <c r="A106" s="5">
        <v>11</v>
      </c>
      <c r="B106" s="6" t="s">
        <v>46</v>
      </c>
      <c r="C106" s="7" t="s">
        <v>15</v>
      </c>
      <c r="D106" s="22" t="str">
        <f>IF(B106="VIS","LOCKERT VISITA",IF(C106="VESTIDOR MUJERES",IF(COUNTIFS(ASIGNACIONES!E:E,A106,ASIGNACIONES!K:K,C106)=0,"LOCKERT DISPONIBLE","LOCKERT ASIGNADO"),IF(COUNTIFS(ASIGNACIONES!E:E,A106,ASIGNACIONES!H:H,B106,ASIGNACIONES!K:K,C106)=0,"LOCKERT DISPONIBLE","LOCKERT ASIGNADO")))</f>
        <v>LOCKERT ASIGNADO</v>
      </c>
      <c r="E106" s="3">
        <v>1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23.25">
      <c r="A107" s="5">
        <v>12</v>
      </c>
      <c r="B107" s="6" t="s">
        <v>46</v>
      </c>
      <c r="C107" s="7" t="s">
        <v>15</v>
      </c>
      <c r="D107" s="22" t="str">
        <f>IF(B107="VIS","LOCKERT VISITA",IF(C107="VESTIDOR MUJERES",IF(COUNTIFS(ASIGNACIONES!E:E,A107,ASIGNACIONES!K:K,C107)=0,"LOCKERT DISPONIBLE","LOCKERT ASIGNADO"),IF(COUNTIFS(ASIGNACIONES!E:E,A107,ASIGNACIONES!H:H,B107,ASIGNACIONES!K:K,C107)=0,"LOCKERT DISPONIBLE","LOCKERT ASIGNADO")))</f>
        <v>LOCKERT ASIGNADO</v>
      </c>
      <c r="E107" s="3">
        <v>1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23.25">
      <c r="A108" s="5">
        <v>13</v>
      </c>
      <c r="B108" s="6" t="s">
        <v>46</v>
      </c>
      <c r="C108" s="7" t="s">
        <v>15</v>
      </c>
      <c r="D108" s="22" t="str">
        <f>IF(B108="VIS","LOCKERT VISITA",IF(C108="VESTIDOR MUJERES",IF(COUNTIFS(ASIGNACIONES!E:E,A108,ASIGNACIONES!K:K,C108)=0,"LOCKERT DISPONIBLE","LOCKERT ASIGNADO"),IF(COUNTIFS(ASIGNACIONES!E:E,A108,ASIGNACIONES!H:H,B108,ASIGNACIONES!K:K,C108)=0,"LOCKERT DISPONIBLE","LOCKERT ASIGNADO")))</f>
        <v>LOCKERT ASIGNADO</v>
      </c>
      <c r="E108" s="3">
        <v>1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23.25">
      <c r="A109" s="5">
        <v>14</v>
      </c>
      <c r="B109" s="6" t="s">
        <v>46</v>
      </c>
      <c r="C109" s="7" t="s">
        <v>15</v>
      </c>
      <c r="D109" s="22" t="str">
        <f>IF(B109="VIS","LOCKERT VISITA",IF(C109="VESTIDOR MUJERES",IF(COUNTIFS(ASIGNACIONES!E:E,A109,ASIGNACIONES!K:K,C109)=0,"LOCKERT DISPONIBLE","LOCKERT ASIGNADO"),IF(COUNTIFS(ASIGNACIONES!E:E,A109,ASIGNACIONES!H:H,B109,ASIGNACIONES!K:K,C109)=0,"LOCKERT DISPONIBLE","LOCKERT ASIGNADO")))</f>
        <v>LOCKERT ASIGNADO</v>
      </c>
      <c r="E109" s="3">
        <v>1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23.25">
      <c r="A110" s="5">
        <v>15</v>
      </c>
      <c r="B110" s="6" t="s">
        <v>46</v>
      </c>
      <c r="C110" s="7" t="s">
        <v>15</v>
      </c>
      <c r="D110" s="22" t="str">
        <f>IF(B110="VIS","LOCKERT VISITA",IF(C110="VESTIDOR MUJERES",IF(COUNTIFS(ASIGNACIONES!E:E,A110,ASIGNACIONES!K:K,C110)=0,"LOCKERT DISPONIBLE","LOCKERT ASIGNADO"),IF(COUNTIFS(ASIGNACIONES!E:E,A110,ASIGNACIONES!H:H,B110,ASIGNACIONES!K:K,C110)=0,"LOCKERT DISPONIBLE","LOCKERT ASIGNADO")))</f>
        <v>LOCKERT ASIGNADO</v>
      </c>
      <c r="E110" s="3">
        <v>1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23.25">
      <c r="A111" s="5">
        <v>16</v>
      </c>
      <c r="B111" s="6" t="s">
        <v>46</v>
      </c>
      <c r="C111" s="7" t="s">
        <v>15</v>
      </c>
      <c r="D111" s="22" t="str">
        <f>IF(B111="VIS","LOCKERT VISITA",IF(C111="VESTIDOR MUJERES",IF(COUNTIFS(ASIGNACIONES!E:E,A111,ASIGNACIONES!K:K,C111)=0,"LOCKERT DISPONIBLE","LOCKERT ASIGNADO"),IF(COUNTIFS(ASIGNACIONES!E:E,A111,ASIGNACIONES!H:H,B111,ASIGNACIONES!K:K,C111)=0,"LOCKERT DISPONIBLE","LOCKERT ASIGNADO")))</f>
        <v>LOCKERT ASIGNADO</v>
      </c>
      <c r="E111" s="3">
        <v>1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23.25">
      <c r="A112" s="5">
        <v>17</v>
      </c>
      <c r="B112" s="6" t="s">
        <v>46</v>
      </c>
      <c r="C112" s="7" t="s">
        <v>15</v>
      </c>
      <c r="D112" s="22" t="str">
        <f>IF(B112="VIS","LOCKERT VISITA",IF(C112="VESTIDOR MUJERES",IF(COUNTIFS(ASIGNACIONES!E:E,A112,ASIGNACIONES!K:K,C112)=0,"LOCKERT DISPONIBLE","LOCKERT ASIGNADO"),IF(COUNTIFS(ASIGNACIONES!E:E,A112,ASIGNACIONES!H:H,B112,ASIGNACIONES!K:K,C112)=0,"LOCKERT DISPONIBLE","LOCKERT ASIGNADO")))</f>
        <v>LOCKERT DISPONIBLE</v>
      </c>
      <c r="E112" s="3">
        <v>1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23.25">
      <c r="A113" s="5">
        <v>18</v>
      </c>
      <c r="B113" s="6" t="s">
        <v>46</v>
      </c>
      <c r="C113" s="7" t="s">
        <v>15</v>
      </c>
      <c r="D113" s="22" t="str">
        <f>IF(B113="VIS","LOCKERT VISITA",IF(C113="VESTIDOR MUJERES",IF(COUNTIFS(ASIGNACIONES!E:E,A113,ASIGNACIONES!K:K,C113)=0,"LOCKERT DISPONIBLE","LOCKERT ASIGNADO"),IF(COUNTIFS(ASIGNACIONES!E:E,A113,ASIGNACIONES!H:H,B113,ASIGNACIONES!K:K,C113)=0,"LOCKERT DISPONIBLE","LOCKERT ASIGNADO")))</f>
        <v>LOCKERT ASIGNADO</v>
      </c>
      <c r="E113" s="3">
        <v>1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23.25">
      <c r="A114" s="5">
        <v>19</v>
      </c>
      <c r="B114" s="6" t="s">
        <v>46</v>
      </c>
      <c r="C114" s="7" t="s">
        <v>15</v>
      </c>
      <c r="D114" s="22" t="str">
        <f>IF(B114="VIS","LOCKERT VISITA",IF(C114="VESTIDOR MUJERES",IF(COUNTIFS(ASIGNACIONES!E:E,A114,ASIGNACIONES!K:K,C114)=0,"LOCKERT DISPONIBLE","LOCKERT ASIGNADO"),IF(COUNTIFS(ASIGNACIONES!E:E,A114,ASIGNACIONES!H:H,B114,ASIGNACIONES!K:K,C114)=0,"LOCKERT DISPONIBLE","LOCKERT ASIGNADO")))</f>
        <v>LOCKERT ASIGNADO</v>
      </c>
      <c r="E114" s="3">
        <v>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23.25">
      <c r="A115" s="5">
        <v>20</v>
      </c>
      <c r="B115" s="6" t="s">
        <v>46</v>
      </c>
      <c r="C115" s="7" t="s">
        <v>15</v>
      </c>
      <c r="D115" s="22" t="str">
        <f>IF(B115="VIS","LOCKERT VISITA",IF(C115="VESTIDOR MUJERES",IF(COUNTIFS(ASIGNACIONES!E:E,A115,ASIGNACIONES!K:K,C115)=0,"LOCKERT DISPONIBLE","LOCKERT ASIGNADO"),IF(COUNTIFS(ASIGNACIONES!E:E,A115,ASIGNACIONES!H:H,B115,ASIGNACIONES!K:K,C115)=0,"LOCKERT DISPONIBLE","LOCKERT ASIGNADO")))</f>
        <v>LOCKERT ASIGNADO</v>
      </c>
      <c r="E115" s="3">
        <v>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23.25">
      <c r="A116" s="5">
        <v>21</v>
      </c>
      <c r="B116" s="6" t="s">
        <v>46</v>
      </c>
      <c r="C116" s="7" t="s">
        <v>15</v>
      </c>
      <c r="D116" s="22" t="str">
        <f>IF(B116="VIS","LOCKERT VISITA",IF(C116="VESTIDOR MUJERES",IF(COUNTIFS(ASIGNACIONES!E:E,A116,ASIGNACIONES!K:K,C116)=0,"LOCKERT DISPONIBLE","LOCKERT ASIGNADO"),IF(COUNTIFS(ASIGNACIONES!E:E,A116,ASIGNACIONES!H:H,B116,ASIGNACIONES!K:K,C116)=0,"LOCKERT DISPONIBLE","LOCKERT ASIGNADO")))</f>
        <v>LOCKERT ASIGNADO</v>
      </c>
      <c r="E116" s="3">
        <v>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23.25">
      <c r="A117" s="5">
        <v>22</v>
      </c>
      <c r="B117" s="6" t="s">
        <v>46</v>
      </c>
      <c r="C117" s="7" t="s">
        <v>15</v>
      </c>
      <c r="D117" s="22" t="str">
        <f>IF(B117="VIS","LOCKERT VISITA",IF(C117="VESTIDOR MUJERES",IF(COUNTIFS(ASIGNACIONES!E:E,A117,ASIGNACIONES!K:K,C117)=0,"LOCKERT DISPONIBLE","LOCKERT ASIGNADO"),IF(COUNTIFS(ASIGNACIONES!E:E,A117,ASIGNACIONES!H:H,B117,ASIGNACIONES!K:K,C117)=0,"LOCKERT DISPONIBLE","LOCKERT ASIGNADO")))</f>
        <v>LOCKERT ASIGNADO</v>
      </c>
      <c r="E117" s="3">
        <v>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23.25">
      <c r="A118" s="5">
        <v>23</v>
      </c>
      <c r="B118" s="6" t="s">
        <v>46</v>
      </c>
      <c r="C118" s="7" t="s">
        <v>15</v>
      </c>
      <c r="D118" s="22" t="str">
        <f>IF(B118="VIS","LOCKERT VISITA",IF(C118="VESTIDOR MUJERES",IF(COUNTIFS(ASIGNACIONES!E:E,A118,ASIGNACIONES!K:K,C118)=0,"LOCKERT DISPONIBLE","LOCKERT ASIGNADO"),IF(COUNTIFS(ASIGNACIONES!E:E,A118,ASIGNACIONES!H:H,B118,ASIGNACIONES!K:K,C118)=0,"LOCKERT DISPONIBLE","LOCKERT ASIGNADO")))</f>
        <v>LOCKERT ASIGNADO</v>
      </c>
      <c r="E118" s="3">
        <v>1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23.25">
      <c r="A119" s="5">
        <v>24</v>
      </c>
      <c r="B119" s="6" t="s">
        <v>46</v>
      </c>
      <c r="C119" s="7" t="s">
        <v>15</v>
      </c>
      <c r="D119" s="22" t="str">
        <f>IF(B119="VIS","LOCKERT VISITA",IF(C119="VESTIDOR MUJERES",IF(COUNTIFS(ASIGNACIONES!E:E,A119,ASIGNACIONES!K:K,C119)=0,"LOCKERT DISPONIBLE","LOCKERT ASIGNADO"),IF(COUNTIFS(ASIGNACIONES!E:E,A119,ASIGNACIONES!H:H,B119,ASIGNACIONES!K:K,C119)=0,"LOCKERT DISPONIBLE","LOCKERT ASIGNADO")))</f>
        <v>LOCKERT ASIGNADO</v>
      </c>
      <c r="E119" s="3">
        <v>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23.25" hidden="1">
      <c r="A120" s="5">
        <v>24</v>
      </c>
      <c r="B120" s="6" t="s">
        <v>46</v>
      </c>
      <c r="C120" s="7" t="s">
        <v>31</v>
      </c>
      <c r="D120" s="22" t="str">
        <f>IF(B120="VIS","LOCKERT VISITA",IF(C120="VESTIDOR MUJERES",IF(COUNTIFS(ASIGNACIONES!E:E,A120,ASIGNACIONES!K:K,C120)=0,"LOCKERT DISPONIBLE","LOCKERT ASIGNADO"),IF(COUNTIFS(ASIGNACIONES!E:E,A120,ASIGNACIONES!H:H,B120,ASIGNACIONES!K:K,C120)=0,"LOCKERT DISPONIBLE","LOCKERT ASIGNADO")))</f>
        <v>LOCKERT DISPONIBLE</v>
      </c>
      <c r="E120" s="3">
        <v>1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23.25">
      <c r="A121" s="5">
        <v>25</v>
      </c>
      <c r="B121" s="6" t="s">
        <v>46</v>
      </c>
      <c r="C121" s="7" t="s">
        <v>15</v>
      </c>
      <c r="D121" s="22" t="str">
        <f>IF(B121="VIS","LOCKERT VISITA",IF(C121="VESTIDOR MUJERES",IF(COUNTIFS(ASIGNACIONES!E:E,A121,ASIGNACIONES!K:K,C121)=0,"LOCKERT DISPONIBLE","LOCKERT ASIGNADO"),IF(COUNTIFS(ASIGNACIONES!E:E,A121,ASIGNACIONES!H:H,B121,ASIGNACIONES!K:K,C121)=0,"LOCKERT DISPONIBLE","LOCKERT ASIGNADO")))</f>
        <v>LOCKERT ASIGNADO</v>
      </c>
      <c r="E121" s="3">
        <v>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23.25" hidden="1">
      <c r="A122" s="5">
        <v>1</v>
      </c>
      <c r="B122" s="6" t="s">
        <v>149</v>
      </c>
      <c r="C122" s="7" t="s">
        <v>15</v>
      </c>
      <c r="D122" s="22" t="str">
        <f>IF(B122="VIS","LOCKERT VISITA",IF(C122="VESTIDOR MUJERES",IF(COUNTIFS(ASIGNACIONES!E:E,A122,ASIGNACIONES!K:K,C122)=0,"LOCKERT DISPONIBLE","LOCKERT ASIGNADO"),IF(COUNTIFS(ASIGNACIONES!E:E,A122,ASIGNACIONES!H:H,B122,ASIGNACIONES!K:K,C122)=0,"LOCKERT DISPONIBLE","LOCKERT ASIGNADO")))</f>
        <v>LOCKERT ASIGNADO</v>
      </c>
      <c r="E122" s="3">
        <v>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23.25" hidden="1">
      <c r="A123" s="5">
        <v>2</v>
      </c>
      <c r="B123" s="6" t="s">
        <v>149</v>
      </c>
      <c r="C123" s="7" t="s">
        <v>15</v>
      </c>
      <c r="D123" s="22" t="str">
        <f>IF(B123="VIS","LOCKERT VISITA",IF(C123="VESTIDOR MUJERES",IF(COUNTIFS(ASIGNACIONES!E:E,A123,ASIGNACIONES!K:K,C123)=0,"LOCKERT DISPONIBLE","LOCKERT ASIGNADO"),IF(COUNTIFS(ASIGNACIONES!E:E,A123,ASIGNACIONES!H:H,B123,ASIGNACIONES!K:K,C123)=0,"LOCKERT DISPONIBLE","LOCKERT ASIGNADO")))</f>
        <v>LOCKERT ASIGNADO</v>
      </c>
      <c r="E123" s="3">
        <v>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23.25" hidden="1">
      <c r="A124" s="5">
        <v>3</v>
      </c>
      <c r="B124" s="6" t="s">
        <v>149</v>
      </c>
      <c r="C124" s="7" t="s">
        <v>15</v>
      </c>
      <c r="D124" s="22" t="str">
        <f>IF(B124="VIS","LOCKERT VISITA",IF(C124="VESTIDOR MUJERES",IF(COUNTIFS(ASIGNACIONES!E:E,A124,ASIGNACIONES!K:K,C124)=0,"LOCKERT DISPONIBLE","LOCKERT ASIGNADO"),IF(COUNTIFS(ASIGNACIONES!E:E,A124,ASIGNACIONES!H:H,B124,ASIGNACIONES!K:K,C124)=0,"LOCKERT DISPONIBLE","LOCKERT ASIGNADO")))</f>
        <v>LOCKERT ASIGNADO</v>
      </c>
      <c r="E124" s="3">
        <v>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23.25" hidden="1">
      <c r="A125" s="5">
        <v>4</v>
      </c>
      <c r="B125" s="6" t="s">
        <v>149</v>
      </c>
      <c r="C125" s="7" t="s">
        <v>15</v>
      </c>
      <c r="D125" s="22" t="str">
        <f>IF(B125="VIS","LOCKERT VISITA",IF(C125="VESTIDOR MUJERES",IF(COUNTIFS(ASIGNACIONES!E:E,A125,ASIGNACIONES!K:K,C125)=0,"LOCKERT DISPONIBLE","LOCKERT ASIGNADO"),IF(COUNTIFS(ASIGNACIONES!E:E,A125,ASIGNACIONES!H:H,B125,ASIGNACIONES!K:K,C125)=0,"LOCKERT DISPONIBLE","LOCKERT ASIGNADO")))</f>
        <v>LOCKERT ASIGNADO</v>
      </c>
      <c r="E125" s="3">
        <v>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23.25" hidden="1">
      <c r="A126" s="5">
        <v>5</v>
      </c>
      <c r="B126" s="6" t="s">
        <v>149</v>
      </c>
      <c r="C126" s="7" t="s">
        <v>15</v>
      </c>
      <c r="D126" s="22" t="str">
        <f>IF(B126="VIS","LOCKERT VISITA",IF(C126="VESTIDOR MUJERES",IF(COUNTIFS(ASIGNACIONES!E:E,A126,ASIGNACIONES!K:K,C126)=0,"LOCKERT DISPONIBLE","LOCKERT ASIGNADO"),IF(COUNTIFS(ASIGNACIONES!E:E,A126,ASIGNACIONES!H:H,B126,ASIGNACIONES!K:K,C126)=0,"LOCKERT DISPONIBLE","LOCKERT ASIGNADO")))</f>
        <v>LOCKERT ASIGNADO</v>
      </c>
      <c r="E126" s="3">
        <v>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23.25" hidden="1">
      <c r="A127" s="5">
        <v>6</v>
      </c>
      <c r="B127" s="6" t="s">
        <v>149</v>
      </c>
      <c r="C127" s="7" t="s">
        <v>15</v>
      </c>
      <c r="D127" s="22" t="str">
        <f>IF(B127="VIS","LOCKERT VISITA",IF(C127="VESTIDOR MUJERES",IF(COUNTIFS(ASIGNACIONES!E:E,A127,ASIGNACIONES!K:K,C127)=0,"LOCKERT DISPONIBLE","LOCKERT ASIGNADO"),IF(COUNTIFS(ASIGNACIONES!E:E,A127,ASIGNACIONES!H:H,B127,ASIGNACIONES!K:K,C127)=0,"LOCKERT DISPONIBLE","LOCKERT ASIGNADO")))</f>
        <v>LOCKERT ASIGNADO</v>
      </c>
      <c r="E127" s="3">
        <v>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23.25" hidden="1">
      <c r="A128" s="5">
        <v>7</v>
      </c>
      <c r="B128" s="6" t="s">
        <v>149</v>
      </c>
      <c r="C128" s="7" t="s">
        <v>15</v>
      </c>
      <c r="D128" s="22" t="str">
        <f>IF(B128="VIS","LOCKERT VISITA",IF(C128="VESTIDOR MUJERES",IF(COUNTIFS(ASIGNACIONES!E:E,A128,ASIGNACIONES!K:K,C128)=0,"LOCKERT DISPONIBLE","LOCKERT ASIGNADO"),IF(COUNTIFS(ASIGNACIONES!E:E,A128,ASIGNACIONES!H:H,B128,ASIGNACIONES!K:K,C128)=0,"LOCKERT DISPONIBLE","LOCKERT ASIGNADO")))</f>
        <v>LOCKERT ASIGNADO</v>
      </c>
      <c r="E128" s="3">
        <v>1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23.25" hidden="1">
      <c r="A129" s="5">
        <v>8</v>
      </c>
      <c r="B129" s="6" t="s">
        <v>149</v>
      </c>
      <c r="C129" s="7" t="s">
        <v>15</v>
      </c>
      <c r="D129" s="22" t="str">
        <f>IF(B129="VIS","LOCKERT VISITA",IF(C129="VESTIDOR MUJERES",IF(COUNTIFS(ASIGNACIONES!E:E,A129,ASIGNACIONES!K:K,C129)=0,"LOCKERT DISPONIBLE","LOCKERT ASIGNADO"),IF(COUNTIFS(ASIGNACIONES!E:E,A129,ASIGNACIONES!H:H,B129,ASIGNACIONES!K:K,C129)=0,"LOCKERT DISPONIBLE","LOCKERT ASIGNADO")))</f>
        <v>LOCKERT ASIGNADO</v>
      </c>
      <c r="E129" s="3">
        <v>1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23.25" hidden="1">
      <c r="A130" s="5">
        <v>9</v>
      </c>
      <c r="B130" s="6" t="s">
        <v>149</v>
      </c>
      <c r="C130" s="7" t="s">
        <v>15</v>
      </c>
      <c r="D130" s="22" t="str">
        <f>IF(B130="VIS","LOCKERT VISITA",IF(C130="VESTIDOR MUJERES",IF(COUNTIFS(ASIGNACIONES!E:E,A130,ASIGNACIONES!K:K,C130)=0,"LOCKERT DISPONIBLE","LOCKERT ASIGNADO"),IF(COUNTIFS(ASIGNACIONES!E:E,A130,ASIGNACIONES!H:H,B130,ASIGNACIONES!K:K,C130)=0,"LOCKERT DISPONIBLE","LOCKERT ASIGNADO")))</f>
        <v>LOCKERT ASIGNADO</v>
      </c>
      <c r="E130" s="3">
        <v>1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23.25" hidden="1">
      <c r="A131" s="5">
        <v>10</v>
      </c>
      <c r="B131" s="6" t="s">
        <v>149</v>
      </c>
      <c r="C131" s="7" t="s">
        <v>15</v>
      </c>
      <c r="D131" s="22" t="str">
        <f>IF(B131="VIS","LOCKERT VISITA",IF(C131="VESTIDOR MUJERES",IF(COUNTIFS(ASIGNACIONES!E:E,A131,ASIGNACIONES!K:K,C131)=0,"LOCKERT DISPONIBLE","LOCKERT ASIGNADO"),IF(COUNTIFS(ASIGNACIONES!E:E,A131,ASIGNACIONES!H:H,B131,ASIGNACIONES!K:K,C131)=0,"LOCKERT DISPONIBLE","LOCKERT ASIGNADO")))</f>
        <v>LOCKERT ASIGNADO</v>
      </c>
      <c r="E131" s="3">
        <v>1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23.25" hidden="1">
      <c r="A132" s="5">
        <v>11</v>
      </c>
      <c r="B132" s="6" t="s">
        <v>149</v>
      </c>
      <c r="C132" s="7" t="s">
        <v>15</v>
      </c>
      <c r="D132" s="22" t="str">
        <f>IF(B132="VIS","LOCKERT VISITA",IF(C132="VESTIDOR MUJERES",IF(COUNTIFS(ASIGNACIONES!E:E,A132,ASIGNACIONES!K:K,C132)=0,"LOCKERT DISPONIBLE","LOCKERT ASIGNADO"),IF(COUNTIFS(ASIGNACIONES!E:E,A132,ASIGNACIONES!H:H,B132,ASIGNACIONES!K:K,C132)=0,"LOCKERT DISPONIBLE","LOCKERT ASIGNADO")))</f>
        <v>LOCKERT ASIGNADO</v>
      </c>
      <c r="E132" s="3">
        <v>1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23.25" hidden="1">
      <c r="A133" s="5">
        <v>11</v>
      </c>
      <c r="B133" s="6" t="s">
        <v>149</v>
      </c>
      <c r="C133" s="7" t="s">
        <v>31</v>
      </c>
      <c r="D133" s="22" t="str">
        <f>IF(B133="VIS","LOCKERT VISITA",IF(C133="VESTIDOR MUJERES",IF(COUNTIFS(ASIGNACIONES!E:E,A133,ASIGNACIONES!K:K,C133)=0,"LOCKERT DISPONIBLE","LOCKERT ASIGNADO"),IF(COUNTIFS(ASIGNACIONES!E:E,A133,ASIGNACIONES!H:H,B133,ASIGNACIONES!K:K,C133)=0,"LOCKERT DISPONIBLE","LOCKERT ASIGNADO")))</f>
        <v>LOCKERT DISPONIBLE</v>
      </c>
      <c r="E133" s="3">
        <v>1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23.25" hidden="1">
      <c r="A134" s="5">
        <v>12</v>
      </c>
      <c r="B134" s="6" t="s">
        <v>149</v>
      </c>
      <c r="C134" s="7" t="s">
        <v>15</v>
      </c>
      <c r="D134" s="22" t="str">
        <f>IF(B134="VIS","LOCKERT VISITA",IF(C134="VESTIDOR MUJERES",IF(COUNTIFS(ASIGNACIONES!E:E,A134,ASIGNACIONES!K:K,C134)=0,"LOCKERT DISPONIBLE","LOCKERT ASIGNADO"),IF(COUNTIFS(ASIGNACIONES!E:E,A134,ASIGNACIONES!H:H,B134,ASIGNACIONES!K:K,C134)=0,"LOCKERT DISPONIBLE","LOCKERT ASIGNADO")))</f>
        <v>LOCKERT ASIGNADO</v>
      </c>
      <c r="E134" s="3">
        <v>1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23.25" hidden="1">
      <c r="A135" s="5">
        <v>12</v>
      </c>
      <c r="B135" s="6" t="s">
        <v>149</v>
      </c>
      <c r="C135" s="7" t="s">
        <v>31</v>
      </c>
      <c r="D135" s="22" t="str">
        <f>IF(B135="VIS","LOCKERT VISITA",IF(C135="VESTIDOR MUJERES",IF(COUNTIFS(ASIGNACIONES!E:E,A135,ASIGNACIONES!K:K,C135)=0,"LOCKERT DISPONIBLE","LOCKERT ASIGNADO"),IF(COUNTIFS(ASIGNACIONES!E:E,A135,ASIGNACIONES!H:H,B135,ASIGNACIONES!K:K,C135)=0,"LOCKERT DISPONIBLE","LOCKERT ASIGNADO")))</f>
        <v>LOCKERT ASIGNADO</v>
      </c>
      <c r="E135" s="3">
        <v>1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23.25" hidden="1">
      <c r="A136" s="5">
        <v>13</v>
      </c>
      <c r="B136" s="6" t="s">
        <v>149</v>
      </c>
      <c r="C136" s="7" t="s">
        <v>15</v>
      </c>
      <c r="D136" s="22" t="str">
        <f>IF(B136="VIS","LOCKERT VISITA",IF(C136="VESTIDOR MUJERES",IF(COUNTIFS(ASIGNACIONES!E:E,A136,ASIGNACIONES!K:K,C136)=0,"LOCKERT DISPONIBLE","LOCKERT ASIGNADO"),IF(COUNTIFS(ASIGNACIONES!E:E,A136,ASIGNACIONES!H:H,B136,ASIGNACIONES!K:K,C136)=0,"LOCKERT DISPONIBLE","LOCKERT ASIGNADO")))</f>
        <v>LOCKERT ASIGNADO</v>
      </c>
      <c r="E136" s="3">
        <v>1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23.25" hidden="1">
      <c r="A137" s="5">
        <v>14</v>
      </c>
      <c r="B137" s="6" t="s">
        <v>149</v>
      </c>
      <c r="C137" s="7" t="s">
        <v>15</v>
      </c>
      <c r="D137" s="22" t="str">
        <f>IF(B137="VIS","LOCKERT VISITA",IF(C137="VESTIDOR MUJERES",IF(COUNTIFS(ASIGNACIONES!E:E,A137,ASIGNACIONES!K:K,C137)=0,"LOCKERT DISPONIBLE","LOCKERT ASIGNADO"),IF(COUNTIFS(ASIGNACIONES!E:E,A137,ASIGNACIONES!H:H,B137,ASIGNACIONES!K:K,C137)=0,"LOCKERT DISPONIBLE","LOCKERT ASIGNADO")))</f>
        <v>LOCKERT ASIGNADO</v>
      </c>
      <c r="E137" s="3">
        <v>1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23.25" hidden="1">
      <c r="A138" s="5">
        <v>15</v>
      </c>
      <c r="B138" s="6" t="s">
        <v>149</v>
      </c>
      <c r="C138" s="7" t="s">
        <v>15</v>
      </c>
      <c r="D138" s="22" t="str">
        <f>IF(B138="VIS","LOCKERT VISITA",IF(C138="VESTIDOR MUJERES",IF(COUNTIFS(ASIGNACIONES!E:E,A138,ASIGNACIONES!K:K,C138)=0,"LOCKERT DISPONIBLE","LOCKERT ASIGNADO"),IF(COUNTIFS(ASIGNACIONES!E:E,A138,ASIGNACIONES!H:H,B138,ASIGNACIONES!K:K,C138)=0,"LOCKERT DISPONIBLE","LOCKERT ASIGNADO")))</f>
        <v>LOCKERT ASIGNADO</v>
      </c>
      <c r="E138" s="3">
        <v>1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23.25" hidden="1">
      <c r="A139" s="5">
        <v>16</v>
      </c>
      <c r="B139" s="6" t="s">
        <v>149</v>
      </c>
      <c r="C139" s="7" t="s">
        <v>15</v>
      </c>
      <c r="D139" s="22" t="str">
        <f>IF(B139="VIS","LOCKERT VISITA",IF(C139="VESTIDOR MUJERES",IF(COUNTIFS(ASIGNACIONES!E:E,A139,ASIGNACIONES!K:K,C139)=0,"LOCKERT DISPONIBLE","LOCKERT ASIGNADO"),IF(COUNTIFS(ASIGNACIONES!E:E,A139,ASIGNACIONES!H:H,B139,ASIGNACIONES!K:K,C139)=0,"LOCKERT DISPONIBLE","LOCKERT ASIGNADO")))</f>
        <v>LOCKERT ASIGNADO</v>
      </c>
      <c r="E139" s="3">
        <v>1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23.25" hidden="1">
      <c r="A140" s="5">
        <v>17</v>
      </c>
      <c r="B140" s="6" t="s">
        <v>149</v>
      </c>
      <c r="C140" s="7" t="s">
        <v>12</v>
      </c>
      <c r="D140" s="22" t="str">
        <f>IF(B140="VIS","LOCKERT VISITA",IF(C140="VESTIDOR MUJERES",IF(COUNTIFS(ASIGNACIONES!E:E,A140,ASIGNACIONES!K:K,C140)=0,"LOCKERT DISPONIBLE","LOCKERT ASIGNADO"),IF(COUNTIFS(ASIGNACIONES!E:E,A140,ASIGNACIONES!H:H,B140,ASIGNACIONES!K:K,C140)=0,"LOCKERT DISPONIBLE","LOCKERT ASIGNADO")))</f>
        <v>LOCKERT DISPONIBLE</v>
      </c>
      <c r="E140" s="3">
        <v>1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23.25" hidden="1">
      <c r="A141" s="5">
        <v>17</v>
      </c>
      <c r="B141" s="6" t="s">
        <v>149</v>
      </c>
      <c r="C141" s="7" t="s">
        <v>15</v>
      </c>
      <c r="D141" s="22" t="str">
        <f>IF(B141="VIS","LOCKERT VISITA",IF(C141="VESTIDOR MUJERES",IF(COUNTIFS(ASIGNACIONES!E:E,A141,ASIGNACIONES!K:K,C141)=0,"LOCKERT DISPONIBLE","LOCKERT ASIGNADO"),IF(COUNTIFS(ASIGNACIONES!E:E,A141,ASIGNACIONES!H:H,B141,ASIGNACIONES!K:K,C141)=0,"LOCKERT DISPONIBLE","LOCKERT ASIGNADO")))</f>
        <v>LOCKERT ASIGNADO</v>
      </c>
      <c r="E141" s="3">
        <v>1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23.25" hidden="1">
      <c r="A142" s="5">
        <v>18</v>
      </c>
      <c r="B142" s="6" t="s">
        <v>149</v>
      </c>
      <c r="C142" s="7" t="s">
        <v>15</v>
      </c>
      <c r="D142" s="22" t="str">
        <f>IF(B142="VIS","LOCKERT VISITA",IF(C142="VESTIDOR MUJERES",IF(COUNTIFS(ASIGNACIONES!E:E,A142,ASIGNACIONES!K:K,C142)=0,"LOCKERT DISPONIBLE","LOCKERT ASIGNADO"),IF(COUNTIFS(ASIGNACIONES!E:E,A142,ASIGNACIONES!H:H,B142,ASIGNACIONES!K:K,C142)=0,"LOCKERT DISPONIBLE","LOCKERT ASIGNADO")))</f>
        <v>LOCKERT ASIGNADO</v>
      </c>
      <c r="E142" s="3">
        <v>1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23.25" hidden="1">
      <c r="A143" s="5">
        <v>19</v>
      </c>
      <c r="B143" s="6" t="s">
        <v>149</v>
      </c>
      <c r="C143" s="7" t="s">
        <v>15</v>
      </c>
      <c r="D143" s="22" t="str">
        <f>IF(B143="VIS","LOCKERT VISITA",IF(C143="VESTIDOR MUJERES",IF(COUNTIFS(ASIGNACIONES!E:E,A143,ASIGNACIONES!K:K,C143)=0,"LOCKERT DISPONIBLE","LOCKERT ASIGNADO"),IF(COUNTIFS(ASIGNACIONES!E:E,A143,ASIGNACIONES!H:H,B143,ASIGNACIONES!K:K,C143)=0,"LOCKERT DISPONIBLE","LOCKERT ASIGNADO")))</f>
        <v>LOCKERT DISPONIBLE</v>
      </c>
      <c r="E143" s="3">
        <v>1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23.25" hidden="1">
      <c r="A144" s="5">
        <v>20</v>
      </c>
      <c r="B144" s="6" t="s">
        <v>149</v>
      </c>
      <c r="C144" s="7" t="s">
        <v>15</v>
      </c>
      <c r="D144" s="22" t="str">
        <f>IF(B144="VIS","LOCKERT VISITA",IF(C144="VESTIDOR MUJERES",IF(COUNTIFS(ASIGNACIONES!E:E,A144,ASIGNACIONES!K:K,C144)=0,"LOCKERT DISPONIBLE","LOCKERT ASIGNADO"),IF(COUNTIFS(ASIGNACIONES!E:E,A144,ASIGNACIONES!H:H,B144,ASIGNACIONES!K:K,C144)=0,"LOCKERT DISPONIBLE","LOCKERT ASIGNADO")))</f>
        <v>LOCKERT ASIGNADO</v>
      </c>
      <c r="E144" s="3">
        <v>1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23.25" hidden="1">
      <c r="A145" s="5">
        <v>21</v>
      </c>
      <c r="B145" s="6" t="s">
        <v>149</v>
      </c>
      <c r="C145" s="7" t="s">
        <v>15</v>
      </c>
      <c r="D145" s="22" t="str">
        <f>IF(B145="VIS","LOCKERT VISITA",IF(C145="VESTIDOR MUJERES",IF(COUNTIFS(ASIGNACIONES!E:E,A145,ASIGNACIONES!K:K,C145)=0,"LOCKERT DISPONIBLE","LOCKERT ASIGNADO"),IF(COUNTIFS(ASIGNACIONES!E:E,A145,ASIGNACIONES!H:H,B145,ASIGNACIONES!K:K,C145)=0,"LOCKERT DISPONIBLE","LOCKERT ASIGNADO")))</f>
        <v>LOCKERT ASIGNADO</v>
      </c>
      <c r="E145" s="3">
        <v>1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23.25" hidden="1">
      <c r="A146" s="5">
        <v>22</v>
      </c>
      <c r="B146" s="6" t="s">
        <v>149</v>
      </c>
      <c r="C146" s="7" t="s">
        <v>15</v>
      </c>
      <c r="D146" s="22" t="str">
        <f>IF(B146="VIS","LOCKERT VISITA",IF(C146="VESTIDOR MUJERES",IF(COUNTIFS(ASIGNACIONES!E:E,A146,ASIGNACIONES!K:K,C146)=0,"LOCKERT DISPONIBLE","LOCKERT ASIGNADO"),IF(COUNTIFS(ASIGNACIONES!E:E,A146,ASIGNACIONES!H:H,B146,ASIGNACIONES!K:K,C146)=0,"LOCKERT DISPONIBLE","LOCKERT ASIGNADO")))</f>
        <v>LOCKERT DISPONIBLE</v>
      </c>
      <c r="E146" s="3">
        <v>1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23.25" hidden="1">
      <c r="A147" s="5" t="s">
        <v>2186</v>
      </c>
      <c r="B147" s="6" t="s">
        <v>38</v>
      </c>
      <c r="C147" s="7" t="s">
        <v>15</v>
      </c>
      <c r="D147" s="22" t="str">
        <f>IF(B147="VIS","LOCKERT VISITA",IF(C147="VESTIDOR MUJERES",IF(COUNTIFS(ASIGNACIONES!E:E,A147,ASIGNACIONES!K:K,C147)=0,"LOCKERT DISPONIBLE","LOCKERT ASIGNADO"),IF(COUNTIFS(ASIGNACIONES!E:E,A147,ASIGNACIONES!H:H,B147,ASIGNACIONES!K:K,C147)=0,"LOCKERT DISPONIBLE","LOCKERT ASIGNADO")))</f>
        <v>LOCKERT ASIGNADO</v>
      </c>
      <c r="E147" s="3">
        <v>1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23.25" hidden="1">
      <c r="A148" s="5">
        <v>26</v>
      </c>
      <c r="B148" s="6" t="s">
        <v>129</v>
      </c>
      <c r="C148" s="7" t="s">
        <v>12</v>
      </c>
      <c r="D148" s="22" t="str">
        <f>IF(B148="VIS","LOCKERT VISITA",IF(C148="VESTIDOR MUJERES",IF(COUNTIFS(ASIGNACIONES!E:E,A148,ASIGNACIONES!K:K,C148)=0,"LOCKERT DISPONIBLE","LOCKERT ASIGNADO"),IF(COUNTIFS(ASIGNACIONES!E:E,A148,ASIGNACIONES!H:H,B148,ASIGNACIONES!K:K,C148)=0,"LOCKERT DISPONIBLE","LOCKERT ASIGNADO")))</f>
        <v>LOCKERT ASIGNADO</v>
      </c>
      <c r="E148" s="3">
        <v>1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23.25" hidden="1">
      <c r="A149" s="5">
        <v>1</v>
      </c>
      <c r="B149" s="6" t="s">
        <v>67</v>
      </c>
      <c r="C149" s="7" t="s">
        <v>15</v>
      </c>
      <c r="D149" s="22" t="str">
        <f>IF(B149="VIS","LOCKERT VISITA",IF(C149="VESTIDOR MUJERES",IF(COUNTIFS(ASIGNACIONES!E:E,A149,ASIGNACIONES!K:K,C149)=0,"LOCKERT DISPONIBLE","LOCKERT ASIGNADO"),IF(COUNTIFS(ASIGNACIONES!E:E,A149,ASIGNACIONES!H:H,B149,ASIGNACIONES!K:K,C149)=0,"LOCKERT DISPONIBLE","LOCKERT ASIGNADO")))</f>
        <v>LOCKERT ASIGNADO</v>
      </c>
      <c r="E149" s="3">
        <v>1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23.25" hidden="1">
      <c r="A150" s="5">
        <v>1</v>
      </c>
      <c r="B150" s="6" t="s">
        <v>67</v>
      </c>
      <c r="C150" s="7" t="s">
        <v>31</v>
      </c>
      <c r="D150" s="22" t="str">
        <f>IF(B150="VIS","LOCKERT VISITA",IF(C150="VESTIDOR MUJERES",IF(COUNTIFS(ASIGNACIONES!E:E,A150,ASIGNACIONES!K:K,C150)=0,"LOCKERT DISPONIBLE","LOCKERT ASIGNADO"),IF(COUNTIFS(ASIGNACIONES!E:E,A150,ASIGNACIONES!H:H,B150,ASIGNACIONES!K:K,C150)=0,"LOCKERT DISPONIBLE","LOCKERT ASIGNADO")))</f>
        <v>LOCKERT ASIGNADO</v>
      </c>
      <c r="E150" s="3">
        <v>1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23.25" hidden="1">
      <c r="A151" s="5">
        <v>2</v>
      </c>
      <c r="B151" s="6" t="s">
        <v>67</v>
      </c>
      <c r="C151" s="7" t="s">
        <v>15</v>
      </c>
      <c r="D151" s="22" t="str">
        <f>IF(B151="VIS","LOCKERT VISITA",IF(C151="VESTIDOR MUJERES",IF(COUNTIFS(ASIGNACIONES!E:E,A151,ASIGNACIONES!K:K,C151)=0,"LOCKERT DISPONIBLE","LOCKERT ASIGNADO"),IF(COUNTIFS(ASIGNACIONES!E:E,A151,ASIGNACIONES!H:H,B151,ASIGNACIONES!K:K,C151)=0,"LOCKERT DISPONIBLE","LOCKERT ASIGNADO")))</f>
        <v>LOCKERT ASIGNADO</v>
      </c>
      <c r="E151" s="3">
        <v>1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23.25" hidden="1">
      <c r="A152" s="5">
        <v>2</v>
      </c>
      <c r="B152" s="6" t="s">
        <v>67</v>
      </c>
      <c r="C152" s="7" t="s">
        <v>31</v>
      </c>
      <c r="D152" s="22" t="str">
        <f>IF(B152="VIS","LOCKERT VISITA",IF(C152="VESTIDOR MUJERES",IF(COUNTIFS(ASIGNACIONES!E:E,A152,ASIGNACIONES!K:K,C152)=0,"LOCKERT DISPONIBLE","LOCKERT ASIGNADO"),IF(COUNTIFS(ASIGNACIONES!E:E,A152,ASIGNACIONES!H:H,B152,ASIGNACIONES!K:K,C152)=0,"LOCKERT DISPONIBLE","LOCKERT ASIGNADO")))</f>
        <v>LOCKERT ASIGNADO</v>
      </c>
      <c r="E152" s="3">
        <v>1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23.25" hidden="1">
      <c r="A153" s="5">
        <v>3</v>
      </c>
      <c r="B153" s="6" t="s">
        <v>67</v>
      </c>
      <c r="C153" s="7" t="s">
        <v>15</v>
      </c>
      <c r="D153" s="22" t="str">
        <f>IF(B153="VIS","LOCKERT VISITA",IF(C153="VESTIDOR MUJERES",IF(COUNTIFS(ASIGNACIONES!E:E,A153,ASIGNACIONES!K:K,C153)=0,"LOCKERT DISPONIBLE","LOCKERT ASIGNADO"),IF(COUNTIFS(ASIGNACIONES!E:E,A153,ASIGNACIONES!H:H,B153,ASIGNACIONES!K:K,C153)=0,"LOCKERT DISPONIBLE","LOCKERT ASIGNADO")))</f>
        <v>LOCKERT ASIGNADO</v>
      </c>
      <c r="E153" s="3">
        <v>1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23.25" hidden="1">
      <c r="A154" s="5">
        <v>4</v>
      </c>
      <c r="B154" s="6" t="s">
        <v>67</v>
      </c>
      <c r="C154" s="7" t="s">
        <v>15</v>
      </c>
      <c r="D154" s="22" t="str">
        <f>IF(B154="VIS","LOCKERT VISITA",IF(C154="VESTIDOR MUJERES",IF(COUNTIFS(ASIGNACIONES!E:E,A154,ASIGNACIONES!K:K,C154)=0,"LOCKERT DISPONIBLE","LOCKERT ASIGNADO"),IF(COUNTIFS(ASIGNACIONES!E:E,A154,ASIGNACIONES!H:H,B154,ASIGNACIONES!K:K,C154)=0,"LOCKERT DISPONIBLE","LOCKERT ASIGNADO")))</f>
        <v>LOCKERT ASIGNADO</v>
      </c>
      <c r="E154" s="3">
        <v>1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23.25" hidden="1">
      <c r="A155" s="5">
        <v>5</v>
      </c>
      <c r="B155" s="6" t="s">
        <v>67</v>
      </c>
      <c r="C155" s="7" t="s">
        <v>15</v>
      </c>
      <c r="D155" s="22" t="str">
        <f>IF(B155="VIS","LOCKERT VISITA",IF(C155="VESTIDOR MUJERES",IF(COUNTIFS(ASIGNACIONES!E:E,A155,ASIGNACIONES!K:K,C155)=0,"LOCKERT DISPONIBLE","LOCKERT ASIGNADO"),IF(COUNTIFS(ASIGNACIONES!E:E,A155,ASIGNACIONES!H:H,B155,ASIGNACIONES!K:K,C155)=0,"LOCKERT DISPONIBLE","LOCKERT ASIGNADO")))</f>
        <v>LOCKERT DISPONIBLE</v>
      </c>
      <c r="E155" s="3">
        <v>1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23.25" hidden="1">
      <c r="A156" s="5">
        <v>6</v>
      </c>
      <c r="B156" s="6" t="s">
        <v>67</v>
      </c>
      <c r="C156" s="7" t="s">
        <v>15</v>
      </c>
      <c r="D156" s="22" t="str">
        <f>IF(B156="VIS","LOCKERT VISITA",IF(C156="VESTIDOR MUJERES",IF(COUNTIFS(ASIGNACIONES!E:E,A156,ASIGNACIONES!K:K,C156)=0,"LOCKERT DISPONIBLE","LOCKERT ASIGNADO"),IF(COUNTIFS(ASIGNACIONES!E:E,A156,ASIGNACIONES!H:H,B156,ASIGNACIONES!K:K,C156)=0,"LOCKERT DISPONIBLE","LOCKERT ASIGNADO")))</f>
        <v>LOCKERT ASIGNADO</v>
      </c>
      <c r="E156" s="3">
        <v>1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23.25" hidden="1">
      <c r="A157" s="5">
        <v>6</v>
      </c>
      <c r="B157" s="6" t="s">
        <v>67</v>
      </c>
      <c r="C157" s="7" t="s">
        <v>31</v>
      </c>
      <c r="D157" s="22" t="str">
        <f>IF(B157="VIS","LOCKERT VISITA",IF(C157="VESTIDOR MUJERES",IF(COUNTIFS(ASIGNACIONES!E:E,A157,ASIGNACIONES!K:K,C157)=0,"LOCKERT DISPONIBLE","LOCKERT ASIGNADO"),IF(COUNTIFS(ASIGNACIONES!E:E,A157,ASIGNACIONES!H:H,B157,ASIGNACIONES!K:K,C157)=0,"LOCKERT DISPONIBLE","LOCKERT ASIGNADO")))</f>
        <v>LOCKERT DISPONIBLE</v>
      </c>
      <c r="E157" s="3">
        <v>1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23.25" hidden="1">
      <c r="A158" s="5">
        <v>7</v>
      </c>
      <c r="B158" s="6" t="s">
        <v>67</v>
      </c>
      <c r="C158" s="7" t="s">
        <v>15</v>
      </c>
      <c r="D158" s="22" t="str">
        <f>IF(B158="VIS","LOCKERT VISITA",IF(C158="VESTIDOR MUJERES",IF(COUNTIFS(ASIGNACIONES!E:E,A158,ASIGNACIONES!K:K,C158)=0,"LOCKERT DISPONIBLE","LOCKERT ASIGNADO"),IF(COUNTIFS(ASIGNACIONES!E:E,A158,ASIGNACIONES!H:H,B158,ASIGNACIONES!K:K,C158)=0,"LOCKERT DISPONIBLE","LOCKERT ASIGNADO")))</f>
        <v>LOCKERT DISPONIBLE</v>
      </c>
      <c r="E158" s="3">
        <v>1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23.25" hidden="1">
      <c r="A159" s="5">
        <v>8</v>
      </c>
      <c r="B159" s="6" t="s">
        <v>67</v>
      </c>
      <c r="C159" s="7" t="s">
        <v>15</v>
      </c>
      <c r="D159" s="22" t="str">
        <f>IF(B159="VIS","LOCKERT VISITA",IF(C159="VESTIDOR MUJERES",IF(COUNTIFS(ASIGNACIONES!E:E,A159,ASIGNACIONES!K:K,C159)=0,"LOCKERT DISPONIBLE","LOCKERT ASIGNADO"),IF(COUNTIFS(ASIGNACIONES!E:E,A159,ASIGNACIONES!H:H,B159,ASIGNACIONES!K:K,C159)=0,"LOCKERT DISPONIBLE","LOCKERT ASIGNADO")))</f>
        <v>LOCKERT ASIGNADO</v>
      </c>
      <c r="E159" s="3">
        <v>1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23.25" hidden="1">
      <c r="A160" s="5">
        <v>9</v>
      </c>
      <c r="B160" s="6" t="s">
        <v>67</v>
      </c>
      <c r="C160" s="7" t="s">
        <v>15</v>
      </c>
      <c r="D160" s="22" t="str">
        <f>IF(B160="VIS","LOCKERT VISITA",IF(C160="VESTIDOR MUJERES",IF(COUNTIFS(ASIGNACIONES!E:E,A160,ASIGNACIONES!K:K,C160)=0,"LOCKERT DISPONIBLE","LOCKERT ASIGNADO"),IF(COUNTIFS(ASIGNACIONES!E:E,A160,ASIGNACIONES!H:H,B160,ASIGNACIONES!K:K,C160)=0,"LOCKERT DISPONIBLE","LOCKERT ASIGNADO")))</f>
        <v>LOCKERT ASIGNADO</v>
      </c>
      <c r="E160" s="3">
        <v>1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23.25" hidden="1">
      <c r="A161" s="5">
        <v>10</v>
      </c>
      <c r="B161" s="6" t="s">
        <v>67</v>
      </c>
      <c r="C161" s="7" t="s">
        <v>15</v>
      </c>
      <c r="D161" s="22" t="str">
        <f>IF(B161="VIS","LOCKERT VISITA",IF(C161="VESTIDOR MUJERES",IF(COUNTIFS(ASIGNACIONES!E:E,A161,ASIGNACIONES!K:K,C161)=0,"LOCKERT DISPONIBLE","LOCKERT ASIGNADO"),IF(COUNTIFS(ASIGNACIONES!E:E,A161,ASIGNACIONES!H:H,B161,ASIGNACIONES!K:K,C161)=0,"LOCKERT DISPONIBLE","LOCKERT ASIGNADO")))</f>
        <v>LOCKERT DISPONIBLE</v>
      </c>
      <c r="E161" s="3">
        <v>1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23.25" hidden="1">
      <c r="A162" s="5">
        <v>11</v>
      </c>
      <c r="B162" s="6" t="s">
        <v>67</v>
      </c>
      <c r="C162" s="7" t="s">
        <v>15</v>
      </c>
      <c r="D162" s="22" t="str">
        <f>IF(B162="VIS","LOCKERT VISITA",IF(C162="VESTIDOR MUJERES",IF(COUNTIFS(ASIGNACIONES!E:E,A162,ASIGNACIONES!K:K,C162)=0,"LOCKERT DISPONIBLE","LOCKERT ASIGNADO"),IF(COUNTIFS(ASIGNACIONES!E:E,A162,ASIGNACIONES!H:H,B162,ASIGNACIONES!K:K,C162)=0,"LOCKERT DISPONIBLE","LOCKERT ASIGNADO")))</f>
        <v>LOCKERT ASIGNADO</v>
      </c>
      <c r="E162" s="3">
        <v>1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23.25" hidden="1">
      <c r="A163" s="5">
        <v>12</v>
      </c>
      <c r="B163" s="6" t="s">
        <v>67</v>
      </c>
      <c r="C163" s="7" t="s">
        <v>15</v>
      </c>
      <c r="D163" s="22" t="str">
        <f>IF(B163="VIS","LOCKERT VISITA",IF(C163="VESTIDOR MUJERES",IF(COUNTIFS(ASIGNACIONES!E:E,A163,ASIGNACIONES!K:K,C163)=0,"LOCKERT DISPONIBLE","LOCKERT ASIGNADO"),IF(COUNTIFS(ASIGNACIONES!E:E,A163,ASIGNACIONES!H:H,B163,ASIGNACIONES!K:K,C163)=0,"LOCKERT DISPONIBLE","LOCKERT ASIGNADO")))</f>
        <v>LOCKERT ASIGNADO</v>
      </c>
      <c r="E163" s="3">
        <v>1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23.25" hidden="1">
      <c r="A164" s="5">
        <v>13</v>
      </c>
      <c r="B164" s="6" t="s">
        <v>67</v>
      </c>
      <c r="C164" s="7" t="s">
        <v>15</v>
      </c>
      <c r="D164" s="22" t="str">
        <f>IF(B164="VIS","LOCKERT VISITA",IF(C164="VESTIDOR MUJERES",IF(COUNTIFS(ASIGNACIONES!E:E,A164,ASIGNACIONES!K:K,C164)=0,"LOCKERT DISPONIBLE","LOCKERT ASIGNADO"),IF(COUNTIFS(ASIGNACIONES!E:E,A164,ASIGNACIONES!H:H,B164,ASIGNACIONES!K:K,C164)=0,"LOCKERT DISPONIBLE","LOCKERT ASIGNADO")))</f>
        <v>LOCKERT ASIGNADO</v>
      </c>
      <c r="E164" s="3">
        <v>1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23.25" hidden="1">
      <c r="A165" s="5">
        <v>14</v>
      </c>
      <c r="B165" s="6" t="s">
        <v>67</v>
      </c>
      <c r="C165" s="7" t="s">
        <v>15</v>
      </c>
      <c r="D165" s="22" t="str">
        <f>IF(B165="VIS","LOCKERT VISITA",IF(C165="VESTIDOR MUJERES",IF(COUNTIFS(ASIGNACIONES!E:E,A165,ASIGNACIONES!K:K,C165)=0,"LOCKERT DISPONIBLE","LOCKERT ASIGNADO"),IF(COUNTIFS(ASIGNACIONES!E:E,A165,ASIGNACIONES!H:H,B165,ASIGNACIONES!K:K,C165)=0,"LOCKERT DISPONIBLE","LOCKERT ASIGNADO")))</f>
        <v>LOCKERT ASIGNADO</v>
      </c>
      <c r="E165" s="3">
        <v>1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23.25" hidden="1">
      <c r="A166" s="5">
        <v>15</v>
      </c>
      <c r="B166" s="6" t="s">
        <v>67</v>
      </c>
      <c r="C166" s="7" t="s">
        <v>15</v>
      </c>
      <c r="D166" s="22" t="str">
        <f>IF(B166="VIS","LOCKERT VISITA",IF(C166="VESTIDOR MUJERES",IF(COUNTIFS(ASIGNACIONES!E:E,A166,ASIGNACIONES!K:K,C166)=0,"LOCKERT DISPONIBLE","LOCKERT ASIGNADO"),IF(COUNTIFS(ASIGNACIONES!E:E,A166,ASIGNACIONES!H:H,B166,ASIGNACIONES!K:K,C166)=0,"LOCKERT DISPONIBLE","LOCKERT ASIGNADO")))</f>
        <v>LOCKERT ASIGNADO</v>
      </c>
      <c r="E166" s="3">
        <v>1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23.25" hidden="1">
      <c r="A167" s="5">
        <v>16</v>
      </c>
      <c r="B167" s="6" t="s">
        <v>67</v>
      </c>
      <c r="C167" s="7" t="s">
        <v>15</v>
      </c>
      <c r="D167" s="22" t="str">
        <f>IF(B167="VIS","LOCKERT VISITA",IF(C167="VESTIDOR MUJERES",IF(COUNTIFS(ASIGNACIONES!E:E,A167,ASIGNACIONES!K:K,C167)=0,"LOCKERT DISPONIBLE","LOCKERT ASIGNADO"),IF(COUNTIFS(ASIGNACIONES!E:E,A167,ASIGNACIONES!H:H,B167,ASIGNACIONES!K:K,C167)=0,"LOCKERT DISPONIBLE","LOCKERT ASIGNADO")))</f>
        <v>LOCKERT ASIGNADO</v>
      </c>
      <c r="E167" s="3">
        <v>1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23.25" hidden="1">
      <c r="A168" s="5">
        <v>17</v>
      </c>
      <c r="B168" s="6" t="s">
        <v>67</v>
      </c>
      <c r="C168" s="7" t="s">
        <v>15</v>
      </c>
      <c r="D168" s="22" t="str">
        <f>IF(B168="VIS","LOCKERT VISITA",IF(C168="VESTIDOR MUJERES",IF(COUNTIFS(ASIGNACIONES!E:E,A168,ASIGNACIONES!K:K,C168)=0,"LOCKERT DISPONIBLE","LOCKERT ASIGNADO"),IF(COUNTIFS(ASIGNACIONES!E:E,A168,ASIGNACIONES!H:H,B168,ASIGNACIONES!K:K,C168)=0,"LOCKERT DISPONIBLE","LOCKERT ASIGNADO")))</f>
        <v>LOCKERT ASIGNADO</v>
      </c>
      <c r="E168" s="3">
        <v>1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23.25" hidden="1">
      <c r="A169" s="5">
        <v>18</v>
      </c>
      <c r="B169" s="6" t="s">
        <v>67</v>
      </c>
      <c r="C169" s="7" t="s">
        <v>12</v>
      </c>
      <c r="D169" s="22" t="str">
        <f>IF(B169="VIS","LOCKERT VISITA",IF(C169="VESTIDOR MUJERES",IF(COUNTIFS(ASIGNACIONES!E:E,A169,ASIGNACIONES!K:K,C169)=0,"LOCKERT DISPONIBLE","LOCKERT ASIGNADO"),IF(COUNTIFS(ASIGNACIONES!E:E,A169,ASIGNACIONES!H:H,B169,ASIGNACIONES!K:K,C169)=0,"LOCKERT DISPONIBLE","LOCKERT ASIGNADO")))</f>
        <v>LOCKERT DISPONIBLE</v>
      </c>
      <c r="E169" s="3">
        <v>1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23.25" hidden="1">
      <c r="A170" s="5">
        <v>18</v>
      </c>
      <c r="B170" s="6" t="s">
        <v>67</v>
      </c>
      <c r="C170" s="7" t="s">
        <v>15</v>
      </c>
      <c r="D170" s="22" t="str">
        <f>IF(B170="VIS","LOCKERT VISITA",IF(C170="VESTIDOR MUJERES",IF(COUNTIFS(ASIGNACIONES!E:E,A170,ASIGNACIONES!K:K,C170)=0,"LOCKERT DISPONIBLE","LOCKERT ASIGNADO"),IF(COUNTIFS(ASIGNACIONES!E:E,A170,ASIGNACIONES!H:H,B170,ASIGNACIONES!K:K,C170)=0,"LOCKERT DISPONIBLE","LOCKERT ASIGNADO")))</f>
        <v>LOCKERT ASIGNADO</v>
      </c>
      <c r="E170" s="3">
        <v>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23.25" hidden="1">
      <c r="A171" s="5">
        <v>19</v>
      </c>
      <c r="B171" s="6" t="s">
        <v>67</v>
      </c>
      <c r="C171" s="7" t="s">
        <v>15</v>
      </c>
      <c r="D171" s="22" t="str">
        <f>IF(B171="VIS","LOCKERT VISITA",IF(C171="VESTIDOR MUJERES",IF(COUNTIFS(ASIGNACIONES!E:E,A171,ASIGNACIONES!K:K,C171)=0,"LOCKERT DISPONIBLE","LOCKERT ASIGNADO"),IF(COUNTIFS(ASIGNACIONES!E:E,A171,ASIGNACIONES!H:H,B171,ASIGNACIONES!K:K,C171)=0,"LOCKERT DISPONIBLE","LOCKERT ASIGNADO")))</f>
        <v>LOCKERT ASIGNADO</v>
      </c>
      <c r="E171" s="3">
        <v>1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23.25" hidden="1">
      <c r="A172" s="5">
        <v>20</v>
      </c>
      <c r="B172" s="6" t="s">
        <v>67</v>
      </c>
      <c r="C172" s="7" t="s">
        <v>15</v>
      </c>
      <c r="D172" s="22" t="str">
        <f>IF(B172="VIS","LOCKERT VISITA",IF(C172="VESTIDOR MUJERES",IF(COUNTIFS(ASIGNACIONES!E:E,A172,ASIGNACIONES!K:K,C172)=0,"LOCKERT DISPONIBLE","LOCKERT ASIGNADO"),IF(COUNTIFS(ASIGNACIONES!E:E,A172,ASIGNACIONES!H:H,B172,ASIGNACIONES!K:K,C172)=0,"LOCKERT DISPONIBLE","LOCKERT ASIGNADO")))</f>
        <v>LOCKERT ASIGNADO</v>
      </c>
      <c r="E172" s="3">
        <v>1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23.25" hidden="1">
      <c r="A173" s="5">
        <v>21</v>
      </c>
      <c r="B173" s="6" t="s">
        <v>67</v>
      </c>
      <c r="C173" s="7" t="s">
        <v>15</v>
      </c>
      <c r="D173" s="22" t="str">
        <f>IF(B173="VIS","LOCKERT VISITA",IF(C173="VESTIDOR MUJERES",IF(COUNTIFS(ASIGNACIONES!E:E,A173,ASIGNACIONES!K:K,C173)=0,"LOCKERT DISPONIBLE","LOCKERT ASIGNADO"),IF(COUNTIFS(ASIGNACIONES!E:E,A173,ASIGNACIONES!H:H,B173,ASIGNACIONES!K:K,C173)=0,"LOCKERT DISPONIBLE","LOCKERT ASIGNADO")))</f>
        <v>LOCKERT ASIGNADO</v>
      </c>
      <c r="E173" s="3">
        <v>1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23.25" hidden="1">
      <c r="A174" s="5">
        <v>22</v>
      </c>
      <c r="B174" s="6" t="s">
        <v>67</v>
      </c>
      <c r="C174" s="7" t="s">
        <v>15</v>
      </c>
      <c r="D174" s="22" t="str">
        <f>IF(B174="VIS","LOCKERT VISITA",IF(C174="VESTIDOR MUJERES",IF(COUNTIFS(ASIGNACIONES!E:E,A174,ASIGNACIONES!K:K,C174)=0,"LOCKERT DISPONIBLE","LOCKERT ASIGNADO"),IF(COUNTIFS(ASIGNACIONES!E:E,A174,ASIGNACIONES!H:H,B174,ASIGNACIONES!K:K,C174)=0,"LOCKERT DISPONIBLE","LOCKERT ASIGNADO")))</f>
        <v>LOCKERT ASIGNADO</v>
      </c>
      <c r="E174" s="3">
        <v>1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23.25" hidden="1">
      <c r="A175" s="5">
        <v>23</v>
      </c>
      <c r="B175" s="6" t="s">
        <v>67</v>
      </c>
      <c r="C175" s="7" t="s">
        <v>15</v>
      </c>
      <c r="D175" s="22" t="str">
        <f>IF(B175="VIS","LOCKERT VISITA",IF(C175="VESTIDOR MUJERES",IF(COUNTIFS(ASIGNACIONES!E:E,A175,ASIGNACIONES!K:K,C175)=0,"LOCKERT DISPONIBLE","LOCKERT ASIGNADO"),IF(COUNTIFS(ASIGNACIONES!E:E,A175,ASIGNACIONES!H:H,B175,ASIGNACIONES!K:K,C175)=0,"LOCKERT DISPONIBLE","LOCKERT ASIGNADO")))</f>
        <v>LOCKERT ASIGNADO</v>
      </c>
      <c r="E175" s="3">
        <v>1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23.25" hidden="1">
      <c r="A176" s="5">
        <v>24</v>
      </c>
      <c r="B176" s="6" t="s">
        <v>67</v>
      </c>
      <c r="C176" s="7" t="s">
        <v>15</v>
      </c>
      <c r="D176" s="22" t="str">
        <f>IF(B176="VIS","LOCKERT VISITA",IF(C176="VESTIDOR MUJERES",IF(COUNTIFS(ASIGNACIONES!E:E,A176,ASIGNACIONES!K:K,C176)=0,"LOCKERT DISPONIBLE","LOCKERT ASIGNADO"),IF(COUNTIFS(ASIGNACIONES!E:E,A176,ASIGNACIONES!H:H,B176,ASIGNACIONES!K:K,C176)=0,"LOCKERT DISPONIBLE","LOCKERT ASIGNADO")))</f>
        <v>LOCKERT ASIGNADO</v>
      </c>
      <c r="E176" s="3">
        <v>1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23.25" hidden="1">
      <c r="A177" s="5">
        <v>25</v>
      </c>
      <c r="B177" s="6" t="s">
        <v>67</v>
      </c>
      <c r="C177" s="7" t="s">
        <v>15</v>
      </c>
      <c r="D177" s="22" t="str">
        <f>IF(B177="VIS","LOCKERT VISITA",IF(C177="VESTIDOR MUJERES",IF(COUNTIFS(ASIGNACIONES!E:E,A177,ASIGNACIONES!K:K,C177)=0,"LOCKERT DISPONIBLE","LOCKERT ASIGNADO"),IF(COUNTIFS(ASIGNACIONES!E:E,A177,ASIGNACIONES!H:H,B177,ASIGNACIONES!K:K,C177)=0,"LOCKERT DISPONIBLE","LOCKERT ASIGNADO")))</f>
        <v>LOCKERT ASIGNADO</v>
      </c>
      <c r="E177" s="3">
        <v>1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23.25" hidden="1">
      <c r="A178" s="5">
        <v>26</v>
      </c>
      <c r="B178" s="6" t="s">
        <v>67</v>
      </c>
      <c r="C178" s="7" t="s">
        <v>15</v>
      </c>
      <c r="D178" s="22" t="str">
        <f>IF(B178="VIS","LOCKERT VISITA",IF(C178="VESTIDOR MUJERES",IF(COUNTIFS(ASIGNACIONES!E:E,A178,ASIGNACIONES!K:K,C178)=0,"LOCKERT DISPONIBLE","LOCKERT ASIGNADO"),IF(COUNTIFS(ASIGNACIONES!E:E,A178,ASIGNACIONES!H:H,B178,ASIGNACIONES!K:K,C178)=0,"LOCKERT DISPONIBLE","LOCKERT ASIGNADO")))</f>
        <v>LOCKERT DISPONIBLE</v>
      </c>
      <c r="E178" s="3">
        <v>1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23.25" hidden="1">
      <c r="A179" s="5">
        <v>27</v>
      </c>
      <c r="B179" s="6" t="s">
        <v>67</v>
      </c>
      <c r="C179" s="7" t="s">
        <v>15</v>
      </c>
      <c r="D179" s="22" t="str">
        <f>IF(B179="VIS","LOCKERT VISITA",IF(C179="VESTIDOR MUJERES",IF(COUNTIFS(ASIGNACIONES!E:E,A179,ASIGNACIONES!K:K,C179)=0,"LOCKERT DISPONIBLE","LOCKERT ASIGNADO"),IF(COUNTIFS(ASIGNACIONES!E:E,A179,ASIGNACIONES!H:H,B179,ASIGNACIONES!K:K,C179)=0,"LOCKERT DISPONIBLE","LOCKERT ASIGNADO")))</f>
        <v>LOCKERT ASIGNADO</v>
      </c>
      <c r="E179" s="3">
        <v>1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23.25" hidden="1">
      <c r="A180" s="5">
        <v>28</v>
      </c>
      <c r="B180" s="6" t="s">
        <v>67</v>
      </c>
      <c r="C180" s="7" t="s">
        <v>15</v>
      </c>
      <c r="D180" s="22" t="str">
        <f>IF(B180="VIS","LOCKERT VISITA",IF(C180="VESTIDOR MUJERES",IF(COUNTIFS(ASIGNACIONES!E:E,A180,ASIGNACIONES!K:K,C180)=0,"LOCKERT DISPONIBLE","LOCKERT ASIGNADO"),IF(COUNTIFS(ASIGNACIONES!E:E,A180,ASIGNACIONES!H:H,B180,ASIGNACIONES!K:K,C180)=0,"LOCKERT DISPONIBLE","LOCKERT ASIGNADO")))</f>
        <v>LOCKERT ASIGNADO</v>
      </c>
      <c r="E180" s="3">
        <v>1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23.25" hidden="1">
      <c r="A181" s="5">
        <v>29</v>
      </c>
      <c r="B181" s="6" t="s">
        <v>67</v>
      </c>
      <c r="C181" s="7" t="s">
        <v>15</v>
      </c>
      <c r="D181" s="22" t="str">
        <f>IF(B181="VIS","LOCKERT VISITA",IF(C181="VESTIDOR MUJERES",IF(COUNTIFS(ASIGNACIONES!E:E,A181,ASIGNACIONES!K:K,C181)=0,"LOCKERT DISPONIBLE","LOCKERT ASIGNADO"),IF(COUNTIFS(ASIGNACIONES!E:E,A181,ASIGNACIONES!H:H,B181,ASIGNACIONES!K:K,C181)=0,"LOCKERT DISPONIBLE","LOCKERT ASIGNADO")))</f>
        <v>LOCKERT ASIGNADO</v>
      </c>
      <c r="E181" s="3">
        <v>1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23.25" hidden="1">
      <c r="A182" s="5">
        <v>30</v>
      </c>
      <c r="B182" s="6" t="s">
        <v>67</v>
      </c>
      <c r="C182" s="7" t="s">
        <v>15</v>
      </c>
      <c r="D182" s="22" t="str">
        <f>IF(B182="VIS","LOCKERT VISITA",IF(C182="VESTIDOR MUJERES",IF(COUNTIFS(ASIGNACIONES!E:E,A182,ASIGNACIONES!K:K,C182)=0,"LOCKERT DISPONIBLE","LOCKERT ASIGNADO"),IF(COUNTIFS(ASIGNACIONES!E:E,A182,ASIGNACIONES!H:H,B182,ASIGNACIONES!K:K,C182)=0,"LOCKERT DISPONIBLE","LOCKERT ASIGNADO")))</f>
        <v>LOCKERT ASIGNADO</v>
      </c>
      <c r="E182" s="3">
        <v>1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23.25" hidden="1">
      <c r="A183" s="5">
        <v>31</v>
      </c>
      <c r="B183" s="6" t="s">
        <v>67</v>
      </c>
      <c r="C183" s="7" t="s">
        <v>15</v>
      </c>
      <c r="D183" s="22" t="str">
        <f>IF(B183="VIS","LOCKERT VISITA",IF(C183="VESTIDOR MUJERES",IF(COUNTIFS(ASIGNACIONES!E:E,A183,ASIGNACIONES!K:K,C183)=0,"LOCKERT DISPONIBLE","LOCKERT ASIGNADO"),IF(COUNTIFS(ASIGNACIONES!E:E,A183,ASIGNACIONES!H:H,B183,ASIGNACIONES!K:K,C183)=0,"LOCKERT DISPONIBLE","LOCKERT ASIGNADO")))</f>
        <v>LOCKERT ASIGNADO</v>
      </c>
      <c r="E183" s="3">
        <v>1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23.25" hidden="1">
      <c r="A184" s="5">
        <v>32</v>
      </c>
      <c r="B184" s="6" t="s">
        <v>67</v>
      </c>
      <c r="C184" s="7" t="s">
        <v>15</v>
      </c>
      <c r="D184" s="22" t="str">
        <f>IF(B184="VIS","LOCKERT VISITA",IF(C184="VESTIDOR MUJERES",IF(COUNTIFS(ASIGNACIONES!E:E,A184,ASIGNACIONES!K:K,C184)=0,"LOCKERT DISPONIBLE","LOCKERT ASIGNADO"),IF(COUNTIFS(ASIGNACIONES!E:E,A184,ASIGNACIONES!H:H,B184,ASIGNACIONES!K:K,C184)=0,"LOCKERT DISPONIBLE","LOCKERT ASIGNADO")))</f>
        <v>LOCKERT ASIGNADO</v>
      </c>
      <c r="E184" s="3">
        <v>1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23.25" hidden="1">
      <c r="A185" s="5">
        <v>33</v>
      </c>
      <c r="B185" s="6" t="s">
        <v>67</v>
      </c>
      <c r="C185" s="7" t="s">
        <v>15</v>
      </c>
      <c r="D185" s="22" t="str">
        <f>IF(B185="VIS","LOCKERT VISITA",IF(C185="VESTIDOR MUJERES",IF(COUNTIFS(ASIGNACIONES!E:E,A185,ASIGNACIONES!K:K,C185)=0,"LOCKERT DISPONIBLE","LOCKERT ASIGNADO"),IF(COUNTIFS(ASIGNACIONES!E:E,A185,ASIGNACIONES!H:H,B185,ASIGNACIONES!K:K,C185)=0,"LOCKERT DISPONIBLE","LOCKERT ASIGNADO")))</f>
        <v>LOCKERT ASIGNADO</v>
      </c>
      <c r="E185" s="3">
        <v>1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23.25" hidden="1">
      <c r="A186" s="5">
        <v>34</v>
      </c>
      <c r="B186" s="6" t="s">
        <v>67</v>
      </c>
      <c r="C186" s="7" t="s">
        <v>15</v>
      </c>
      <c r="D186" s="22" t="str">
        <f>IF(B186="VIS","LOCKERT VISITA",IF(C186="VESTIDOR MUJERES",IF(COUNTIFS(ASIGNACIONES!E:E,A186,ASIGNACIONES!K:K,C186)=0,"LOCKERT DISPONIBLE","LOCKERT ASIGNADO"),IF(COUNTIFS(ASIGNACIONES!E:E,A186,ASIGNACIONES!H:H,B186,ASIGNACIONES!K:K,C186)=0,"LOCKERT DISPONIBLE","LOCKERT ASIGNADO")))</f>
        <v>LOCKERT ASIGNADO</v>
      </c>
      <c r="E186" s="3">
        <v>1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23.25" hidden="1">
      <c r="A187" s="5">
        <v>35</v>
      </c>
      <c r="B187" s="6" t="s">
        <v>67</v>
      </c>
      <c r="C187" s="7" t="s">
        <v>15</v>
      </c>
      <c r="D187" s="22" t="str">
        <f>IF(B187="VIS","LOCKERT VISITA",IF(C187="VESTIDOR MUJERES",IF(COUNTIFS(ASIGNACIONES!E:E,A187,ASIGNACIONES!K:K,C187)=0,"LOCKERT DISPONIBLE","LOCKERT ASIGNADO"),IF(COUNTIFS(ASIGNACIONES!E:E,A187,ASIGNACIONES!H:H,B187,ASIGNACIONES!K:K,C187)=0,"LOCKERT DISPONIBLE","LOCKERT ASIGNADO")))</f>
        <v>LOCKERT ASIGNADO</v>
      </c>
      <c r="E187" s="3">
        <v>1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23.25" hidden="1">
      <c r="A188" s="5">
        <v>36</v>
      </c>
      <c r="B188" s="6" t="s">
        <v>67</v>
      </c>
      <c r="C188" s="7" t="s">
        <v>15</v>
      </c>
      <c r="D188" s="22" t="str">
        <f>IF(B188="VIS","LOCKERT VISITA",IF(C188="VESTIDOR MUJERES",IF(COUNTIFS(ASIGNACIONES!E:E,A188,ASIGNACIONES!K:K,C188)=0,"LOCKERT DISPONIBLE","LOCKERT ASIGNADO"),IF(COUNTIFS(ASIGNACIONES!E:E,A188,ASIGNACIONES!H:H,B188,ASIGNACIONES!K:K,C188)=0,"LOCKERT DISPONIBLE","LOCKERT ASIGNADO")))</f>
        <v>LOCKERT ASIGNADO</v>
      </c>
      <c r="E188" s="3">
        <v>1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23.25" hidden="1">
      <c r="A189" s="5">
        <v>37</v>
      </c>
      <c r="B189" s="6" t="s">
        <v>67</v>
      </c>
      <c r="C189" s="7" t="s">
        <v>15</v>
      </c>
      <c r="D189" s="22" t="str">
        <f>IF(B189="VIS","LOCKERT VISITA",IF(C189="VESTIDOR MUJERES",IF(COUNTIFS(ASIGNACIONES!E:E,A189,ASIGNACIONES!K:K,C189)=0,"LOCKERT DISPONIBLE","LOCKERT ASIGNADO"),IF(COUNTIFS(ASIGNACIONES!E:E,A189,ASIGNACIONES!H:H,B189,ASIGNACIONES!K:K,C189)=0,"LOCKERT DISPONIBLE","LOCKERT ASIGNADO")))</f>
        <v>LOCKERT ASIGNADO</v>
      </c>
      <c r="E189" s="3">
        <v>1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23.25" hidden="1">
      <c r="A190" s="5">
        <v>38</v>
      </c>
      <c r="B190" s="6" t="s">
        <v>67</v>
      </c>
      <c r="C190" s="7" t="s">
        <v>15</v>
      </c>
      <c r="D190" s="22" t="str">
        <f>IF(B190="VIS","LOCKERT VISITA",IF(C190="VESTIDOR MUJERES",IF(COUNTIFS(ASIGNACIONES!E:E,A190,ASIGNACIONES!K:K,C190)=0,"LOCKERT DISPONIBLE","LOCKERT ASIGNADO"),IF(COUNTIFS(ASIGNACIONES!E:E,A190,ASIGNACIONES!H:H,B190,ASIGNACIONES!K:K,C190)=0,"LOCKERT DISPONIBLE","LOCKERT ASIGNADO")))</f>
        <v>LOCKERT ASIGNADO</v>
      </c>
      <c r="E190" s="3">
        <v>1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23.25" hidden="1">
      <c r="A191" s="5">
        <v>39</v>
      </c>
      <c r="B191" s="6" t="s">
        <v>67</v>
      </c>
      <c r="C191" s="7" t="s">
        <v>15</v>
      </c>
      <c r="D191" s="22" t="str">
        <f>IF(B191="VIS","LOCKERT VISITA",IF(C191="VESTIDOR MUJERES",IF(COUNTIFS(ASIGNACIONES!E:E,A191,ASIGNACIONES!K:K,C191)=0,"LOCKERT DISPONIBLE","LOCKERT ASIGNADO"),IF(COUNTIFS(ASIGNACIONES!E:E,A191,ASIGNACIONES!H:H,B191,ASIGNACIONES!K:K,C191)=0,"LOCKERT DISPONIBLE","LOCKERT ASIGNADO")))</f>
        <v>LOCKERT ASIGNADO</v>
      </c>
      <c r="E191" s="3">
        <v>1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23.25" hidden="1">
      <c r="A192" s="5">
        <v>40</v>
      </c>
      <c r="B192" s="6" t="s">
        <v>67</v>
      </c>
      <c r="C192" s="7" t="s">
        <v>15</v>
      </c>
      <c r="D192" s="22" t="str">
        <f>IF(B192="VIS","LOCKERT VISITA",IF(C192="VESTIDOR MUJERES",IF(COUNTIFS(ASIGNACIONES!E:E,A192,ASIGNACIONES!K:K,C192)=0,"LOCKERT DISPONIBLE","LOCKERT ASIGNADO"),IF(COUNTIFS(ASIGNACIONES!E:E,A192,ASIGNACIONES!H:H,B192,ASIGNACIONES!K:K,C192)=0,"LOCKERT DISPONIBLE","LOCKERT ASIGNADO")))</f>
        <v>LOCKERT ASIGNADO</v>
      </c>
      <c r="E192" s="3">
        <v>1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23.25" hidden="1">
      <c r="A193" s="5">
        <v>41</v>
      </c>
      <c r="B193" s="6" t="s">
        <v>67</v>
      </c>
      <c r="C193" s="7" t="s">
        <v>15</v>
      </c>
      <c r="D193" s="22" t="str">
        <f>IF(B193="VIS","LOCKERT VISITA",IF(C193="VESTIDOR MUJERES",IF(COUNTIFS(ASIGNACIONES!E:E,A193,ASIGNACIONES!K:K,C193)=0,"LOCKERT DISPONIBLE","LOCKERT ASIGNADO"),IF(COUNTIFS(ASIGNACIONES!E:E,A193,ASIGNACIONES!H:H,B193,ASIGNACIONES!K:K,C193)=0,"LOCKERT DISPONIBLE","LOCKERT ASIGNADO")))</f>
        <v>LOCKERT ASIGNADO</v>
      </c>
      <c r="E193" s="3">
        <v>1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23.25" hidden="1">
      <c r="A194" s="5">
        <v>42</v>
      </c>
      <c r="B194" s="6" t="s">
        <v>67</v>
      </c>
      <c r="C194" s="7" t="s">
        <v>15</v>
      </c>
      <c r="D194" s="22" t="str">
        <f>IF(B194="VIS","LOCKERT VISITA",IF(C194="VESTIDOR MUJERES",IF(COUNTIFS(ASIGNACIONES!E:E,A194,ASIGNACIONES!K:K,C194)=0,"LOCKERT DISPONIBLE","LOCKERT ASIGNADO"),IF(COUNTIFS(ASIGNACIONES!E:E,A194,ASIGNACIONES!H:H,B194,ASIGNACIONES!K:K,C194)=0,"LOCKERT DISPONIBLE","LOCKERT ASIGNADO")))</f>
        <v>LOCKERT ASIGNADO</v>
      </c>
      <c r="E194" s="3">
        <v>1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23.25" hidden="1">
      <c r="A195" s="5">
        <v>43</v>
      </c>
      <c r="B195" s="6" t="s">
        <v>67</v>
      </c>
      <c r="C195" s="7" t="s">
        <v>15</v>
      </c>
      <c r="D195" s="22" t="str">
        <f>IF(B195="VIS","LOCKERT VISITA",IF(C195="VESTIDOR MUJERES",IF(COUNTIFS(ASIGNACIONES!E:E,A195,ASIGNACIONES!K:K,C195)=0,"LOCKERT DISPONIBLE","LOCKERT ASIGNADO"),IF(COUNTIFS(ASIGNACIONES!E:E,A195,ASIGNACIONES!H:H,B195,ASIGNACIONES!K:K,C195)=0,"LOCKERT DISPONIBLE","LOCKERT ASIGNADO")))</f>
        <v>LOCKERT ASIGNADO</v>
      </c>
      <c r="E195" s="3">
        <v>1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23.25" hidden="1">
      <c r="A196" s="5">
        <v>44</v>
      </c>
      <c r="B196" s="6" t="s">
        <v>67</v>
      </c>
      <c r="C196" s="7" t="s">
        <v>15</v>
      </c>
      <c r="D196" s="22" t="str">
        <f>IF(B196="VIS","LOCKERT VISITA",IF(C196="VESTIDOR MUJERES",IF(COUNTIFS(ASIGNACIONES!E:E,A196,ASIGNACIONES!K:K,C196)=0,"LOCKERT DISPONIBLE","LOCKERT ASIGNADO"),IF(COUNTIFS(ASIGNACIONES!E:E,A196,ASIGNACIONES!H:H,B196,ASIGNACIONES!K:K,C196)=0,"LOCKERT DISPONIBLE","LOCKERT ASIGNADO")))</f>
        <v>LOCKERT ASIGNADO</v>
      </c>
      <c r="E196" s="3">
        <v>1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23.25" hidden="1">
      <c r="A197" s="5">
        <v>45</v>
      </c>
      <c r="B197" s="6" t="s">
        <v>67</v>
      </c>
      <c r="C197" s="7" t="s">
        <v>15</v>
      </c>
      <c r="D197" s="22" t="str">
        <f>IF(B197="VIS","LOCKERT VISITA",IF(C197="VESTIDOR MUJERES",IF(COUNTIFS(ASIGNACIONES!E:E,A197,ASIGNACIONES!K:K,C197)=0,"LOCKERT DISPONIBLE","LOCKERT ASIGNADO"),IF(COUNTIFS(ASIGNACIONES!E:E,A197,ASIGNACIONES!H:H,B197,ASIGNACIONES!K:K,C197)=0,"LOCKERT DISPONIBLE","LOCKERT ASIGNADO")))</f>
        <v>LOCKERT ASIGNADO</v>
      </c>
      <c r="E197" s="3">
        <v>1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23.25" hidden="1">
      <c r="A198" s="5">
        <v>46</v>
      </c>
      <c r="B198" s="6" t="s">
        <v>67</v>
      </c>
      <c r="C198" s="7" t="s">
        <v>15</v>
      </c>
      <c r="D198" s="22" t="str">
        <f>IF(B198="VIS","LOCKERT VISITA",IF(C198="VESTIDOR MUJERES",IF(COUNTIFS(ASIGNACIONES!E:E,A198,ASIGNACIONES!K:K,C198)=0,"LOCKERT DISPONIBLE","LOCKERT ASIGNADO"),IF(COUNTIFS(ASIGNACIONES!E:E,A198,ASIGNACIONES!H:H,B198,ASIGNACIONES!K:K,C198)=0,"LOCKERT DISPONIBLE","LOCKERT ASIGNADO")))</f>
        <v>LOCKERT ASIGNADO</v>
      </c>
      <c r="E198" s="3">
        <v>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23.25" hidden="1">
      <c r="A199" s="5">
        <v>47</v>
      </c>
      <c r="B199" s="6" t="s">
        <v>67</v>
      </c>
      <c r="C199" s="7" t="s">
        <v>15</v>
      </c>
      <c r="D199" s="22" t="str">
        <f>IF(B199="VIS","LOCKERT VISITA",IF(C199="VESTIDOR MUJERES",IF(COUNTIFS(ASIGNACIONES!E:E,A199,ASIGNACIONES!K:K,C199)=0,"LOCKERT DISPONIBLE","LOCKERT ASIGNADO"),IF(COUNTIFS(ASIGNACIONES!E:E,A199,ASIGNACIONES!H:H,B199,ASIGNACIONES!K:K,C199)=0,"LOCKERT DISPONIBLE","LOCKERT ASIGNADO")))</f>
        <v>LOCKERT ASIGNADO</v>
      </c>
      <c r="E199" s="3">
        <v>1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23.25" hidden="1">
      <c r="A200" s="5">
        <v>48</v>
      </c>
      <c r="B200" s="6" t="s">
        <v>67</v>
      </c>
      <c r="C200" s="7" t="s">
        <v>15</v>
      </c>
      <c r="D200" s="22" t="str">
        <f>IF(B200="VIS","LOCKERT VISITA",IF(C200="VESTIDOR MUJERES",IF(COUNTIFS(ASIGNACIONES!E:E,A200,ASIGNACIONES!K:K,C200)=0,"LOCKERT DISPONIBLE","LOCKERT ASIGNADO"),IF(COUNTIFS(ASIGNACIONES!E:E,A200,ASIGNACIONES!H:H,B200,ASIGNACIONES!K:K,C200)=0,"LOCKERT DISPONIBLE","LOCKERT ASIGNADO")))</f>
        <v>LOCKERT ASIGNADO</v>
      </c>
      <c r="E200" s="3">
        <v>1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23.25" hidden="1">
      <c r="A201" s="5">
        <v>49</v>
      </c>
      <c r="B201" s="6" t="s">
        <v>67</v>
      </c>
      <c r="C201" s="7" t="s">
        <v>15</v>
      </c>
      <c r="D201" s="22" t="str">
        <f>IF(B201="VIS","LOCKERT VISITA",IF(C201="VESTIDOR MUJERES",IF(COUNTIFS(ASIGNACIONES!E:E,A201,ASIGNACIONES!K:K,C201)=0,"LOCKERT DISPONIBLE","LOCKERT ASIGNADO"),IF(COUNTIFS(ASIGNACIONES!E:E,A201,ASIGNACIONES!H:H,B201,ASIGNACIONES!K:K,C201)=0,"LOCKERT DISPONIBLE","LOCKERT ASIGNADO")))</f>
        <v>LOCKERT ASIGNADO</v>
      </c>
      <c r="E201" s="3">
        <v>1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23.25" hidden="1">
      <c r="A202" s="5">
        <v>50</v>
      </c>
      <c r="B202" s="6" t="s">
        <v>67</v>
      </c>
      <c r="C202" s="7" t="s">
        <v>15</v>
      </c>
      <c r="D202" s="22" t="str">
        <f>IF(B202="VIS","LOCKERT VISITA",IF(C202="VESTIDOR MUJERES",IF(COUNTIFS(ASIGNACIONES!E:E,A202,ASIGNACIONES!K:K,C202)=0,"LOCKERT DISPONIBLE","LOCKERT ASIGNADO"),IF(COUNTIFS(ASIGNACIONES!E:E,A202,ASIGNACIONES!H:H,B202,ASIGNACIONES!K:K,C202)=0,"LOCKERT DISPONIBLE","LOCKERT ASIGNADO")))</f>
        <v>LOCKERT ASIGNADO</v>
      </c>
      <c r="E202" s="3">
        <v>1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23.25" hidden="1">
      <c r="A203" s="5">
        <v>51</v>
      </c>
      <c r="B203" s="6" t="s">
        <v>67</v>
      </c>
      <c r="C203" s="7" t="s">
        <v>15</v>
      </c>
      <c r="D203" s="22" t="str">
        <f>IF(B203="VIS","LOCKERT VISITA",IF(C203="VESTIDOR MUJERES",IF(COUNTIFS(ASIGNACIONES!E:E,A203,ASIGNACIONES!K:K,C203)=0,"LOCKERT DISPONIBLE","LOCKERT ASIGNADO"),IF(COUNTIFS(ASIGNACIONES!E:E,A203,ASIGNACIONES!H:H,B203,ASIGNACIONES!K:K,C203)=0,"LOCKERT DISPONIBLE","LOCKERT ASIGNADO")))</f>
        <v>LOCKERT DISPONIBLE</v>
      </c>
      <c r="E203" s="3">
        <v>1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23.25" hidden="1">
      <c r="A204" s="5">
        <v>52</v>
      </c>
      <c r="B204" s="6" t="s">
        <v>67</v>
      </c>
      <c r="C204" s="7" t="s">
        <v>15</v>
      </c>
      <c r="D204" s="22" t="str">
        <f>IF(B204="VIS","LOCKERT VISITA",IF(C204="VESTIDOR MUJERES",IF(COUNTIFS(ASIGNACIONES!E:E,A204,ASIGNACIONES!K:K,C204)=0,"LOCKERT DISPONIBLE","LOCKERT ASIGNADO"),IF(COUNTIFS(ASIGNACIONES!E:E,A204,ASIGNACIONES!H:H,B204,ASIGNACIONES!K:K,C204)=0,"LOCKERT DISPONIBLE","LOCKERT ASIGNADO")))</f>
        <v>LOCKERT DISPONIBLE</v>
      </c>
      <c r="E204" s="3">
        <v>1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23.25" hidden="1">
      <c r="A205" s="5">
        <v>53</v>
      </c>
      <c r="B205" s="6" t="s">
        <v>67</v>
      </c>
      <c r="C205" s="7" t="s">
        <v>15</v>
      </c>
      <c r="D205" s="22" t="str">
        <f>IF(B205="VIS","LOCKERT VISITA",IF(C205="VESTIDOR MUJERES",IF(COUNTIFS(ASIGNACIONES!E:E,A205,ASIGNACIONES!K:K,C205)=0,"LOCKERT DISPONIBLE","LOCKERT ASIGNADO"),IF(COUNTIFS(ASIGNACIONES!E:E,A205,ASIGNACIONES!H:H,B205,ASIGNACIONES!K:K,C205)=0,"LOCKERT DISPONIBLE","LOCKERT ASIGNADO")))</f>
        <v>LOCKERT ASIGNADO</v>
      </c>
      <c r="E205" s="3">
        <v>1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23.25" hidden="1">
      <c r="A206" s="5">
        <v>54</v>
      </c>
      <c r="B206" s="6" t="s">
        <v>67</v>
      </c>
      <c r="C206" s="7" t="s">
        <v>15</v>
      </c>
      <c r="D206" s="22" t="str">
        <f>IF(B206="VIS","LOCKERT VISITA",IF(C206="VESTIDOR MUJERES",IF(COUNTIFS(ASIGNACIONES!E:E,A206,ASIGNACIONES!K:K,C206)=0,"LOCKERT DISPONIBLE","LOCKERT ASIGNADO"),IF(COUNTIFS(ASIGNACIONES!E:E,A206,ASIGNACIONES!H:H,B206,ASIGNACIONES!K:K,C206)=0,"LOCKERT DISPONIBLE","LOCKERT ASIGNADO")))</f>
        <v>LOCKERT ASIGNADO</v>
      </c>
      <c r="E206" s="3">
        <v>1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23.25" hidden="1">
      <c r="A207" s="5">
        <v>55</v>
      </c>
      <c r="B207" s="6" t="s">
        <v>67</v>
      </c>
      <c r="C207" s="7" t="s">
        <v>15</v>
      </c>
      <c r="D207" s="22" t="str">
        <f>IF(B207="VIS","LOCKERT VISITA",IF(C207="VESTIDOR MUJERES",IF(COUNTIFS(ASIGNACIONES!E:E,A207,ASIGNACIONES!K:K,C207)=0,"LOCKERT DISPONIBLE","LOCKERT ASIGNADO"),IF(COUNTIFS(ASIGNACIONES!E:E,A207,ASIGNACIONES!H:H,B207,ASIGNACIONES!K:K,C207)=0,"LOCKERT DISPONIBLE","LOCKERT ASIGNADO")))</f>
        <v>LOCKERT DISPONIBLE</v>
      </c>
      <c r="E207" s="3">
        <v>1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ht="23.25" hidden="1">
      <c r="A208" s="5">
        <v>56</v>
      </c>
      <c r="B208" s="6" t="s">
        <v>67</v>
      </c>
      <c r="C208" s="7" t="s">
        <v>15</v>
      </c>
      <c r="D208" s="22" t="str">
        <f>IF(B208="VIS","LOCKERT VISITA",IF(C208="VESTIDOR MUJERES",IF(COUNTIFS(ASIGNACIONES!E:E,A208,ASIGNACIONES!K:K,C208)=0,"LOCKERT DISPONIBLE","LOCKERT ASIGNADO"),IF(COUNTIFS(ASIGNACIONES!E:E,A208,ASIGNACIONES!H:H,B208,ASIGNACIONES!K:K,C208)=0,"LOCKERT DISPONIBLE","LOCKERT ASIGNADO")))</f>
        <v>LOCKERT ASIGNADO</v>
      </c>
      <c r="E208" s="3">
        <v>1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23.25" hidden="1">
      <c r="A209" s="5">
        <v>57</v>
      </c>
      <c r="B209" s="6" t="s">
        <v>67</v>
      </c>
      <c r="C209" s="7" t="s">
        <v>15</v>
      </c>
      <c r="D209" s="22" t="str">
        <f>IF(B209="VIS","LOCKERT VISITA",IF(C209="VESTIDOR MUJERES",IF(COUNTIFS(ASIGNACIONES!E:E,A209,ASIGNACIONES!K:K,C209)=0,"LOCKERT DISPONIBLE","LOCKERT ASIGNADO"),IF(COUNTIFS(ASIGNACIONES!E:E,A209,ASIGNACIONES!H:H,B209,ASIGNACIONES!K:K,C209)=0,"LOCKERT DISPONIBLE","LOCKERT ASIGNADO")))</f>
        <v>LOCKERT DISPONIBLE</v>
      </c>
      <c r="E209" s="3">
        <v>1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23.25" hidden="1">
      <c r="A210" s="5">
        <v>58</v>
      </c>
      <c r="B210" s="6" t="s">
        <v>67</v>
      </c>
      <c r="C210" s="7" t="s">
        <v>15</v>
      </c>
      <c r="D210" s="22" t="str">
        <f>IF(B210="VIS","LOCKERT VISITA",IF(C210="VESTIDOR MUJERES",IF(COUNTIFS(ASIGNACIONES!E:E,A210,ASIGNACIONES!K:K,C210)=0,"LOCKERT DISPONIBLE","LOCKERT ASIGNADO"),IF(COUNTIFS(ASIGNACIONES!E:E,A210,ASIGNACIONES!H:H,B210,ASIGNACIONES!K:K,C210)=0,"LOCKERT DISPONIBLE","LOCKERT ASIGNADO")))</f>
        <v>LOCKERT ASIGNADO</v>
      </c>
      <c r="E210" s="3">
        <v>1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23.25" hidden="1">
      <c r="A211" s="5">
        <v>2</v>
      </c>
      <c r="B211" s="6" t="s">
        <v>2008</v>
      </c>
      <c r="C211" s="7" t="s">
        <v>12</v>
      </c>
      <c r="D211" s="22" t="str">
        <f>IF(B211="VIS","LOCKERT VISITA",IF(C211="VESTIDOR MUJERES",IF(COUNTIFS(ASIGNACIONES!E:E,A211,ASIGNACIONES!K:K,C211)=0,"LOCKERT DISPONIBLE","LOCKERT ASIGNADO"),IF(COUNTIFS(ASIGNACIONES!E:E,A211,ASIGNACIONES!H:H,B211,ASIGNACIONES!K:K,C211)=0,"LOCKERT DISPONIBLE","LOCKERT ASIGNADO")))</f>
        <v>LOCKERT DISPONIBLE</v>
      </c>
      <c r="E211" s="3">
        <v>1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23.25" hidden="1">
      <c r="A212" s="5">
        <v>7</v>
      </c>
      <c r="B212" s="6" t="s">
        <v>27</v>
      </c>
      <c r="C212" s="7" t="s">
        <v>31</v>
      </c>
      <c r="D212" s="22" t="str">
        <f>IF(B212="VIS","LOCKERT VISITA",IF(C212="VESTIDOR MUJERES",IF(COUNTIFS(ASIGNACIONES!E:E,A212,ASIGNACIONES!K:K,C212)=0,"LOCKERT DISPONIBLE","LOCKERT ASIGNADO"),IF(COUNTIFS(ASIGNACIONES!E:E,A212,ASIGNACIONES!H:H,B212,ASIGNACIONES!K:K,C212)=0,"LOCKERT DISPONIBLE","LOCKERT ASIGNADO")))</f>
        <v>LOCKERT DISPONIBLE</v>
      </c>
      <c r="E212" s="3">
        <v>1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23.25" hidden="1">
      <c r="A213" s="5">
        <v>10</v>
      </c>
      <c r="B213" s="6" t="s">
        <v>27</v>
      </c>
      <c r="C213" s="7" t="s">
        <v>31</v>
      </c>
      <c r="D213" s="22" t="str">
        <f>IF(B213="VIS","LOCKERT VISITA",IF(C213="VESTIDOR MUJERES",IF(COUNTIFS(ASIGNACIONES!E:E,A213,ASIGNACIONES!K:K,C213)=0,"LOCKERT DISPONIBLE","LOCKERT ASIGNADO"),IF(COUNTIFS(ASIGNACIONES!E:E,A213,ASIGNACIONES!H:H,B213,ASIGNACIONES!K:K,C213)=0,"LOCKERT DISPONIBLE","LOCKERT ASIGNADO")))</f>
        <v>LOCKERT DISPONIBLE</v>
      </c>
      <c r="E213" s="3">
        <v>1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23.25" hidden="1">
      <c r="A214" s="5">
        <v>12</v>
      </c>
      <c r="B214" s="6" t="s">
        <v>27</v>
      </c>
      <c r="C214" s="7" t="s">
        <v>12</v>
      </c>
      <c r="D214" s="22" t="str">
        <f>IF(B214="VIS","LOCKERT VISITA",IF(C214="VESTIDOR MUJERES",IF(COUNTIFS(ASIGNACIONES!E:E,A214,ASIGNACIONES!K:K,C214)=0,"LOCKERT DISPONIBLE","LOCKERT ASIGNADO"),IF(COUNTIFS(ASIGNACIONES!E:E,A214,ASIGNACIONES!H:H,B214,ASIGNACIONES!K:K,C214)=0,"LOCKERT DISPONIBLE","LOCKERT ASIGNADO")))</f>
        <v>LOCKERT DISPONIBLE</v>
      </c>
      <c r="E214" s="3">
        <v>1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23.25" hidden="1">
      <c r="A215" s="5">
        <v>8</v>
      </c>
      <c r="B215" s="6" t="s">
        <v>595</v>
      </c>
      <c r="C215" s="7" t="s">
        <v>12</v>
      </c>
      <c r="D215" s="22" t="str">
        <f>IF(B215="VIS","LOCKERT VISITA",IF(C215="VESTIDOR MUJERES",IF(COUNTIFS(ASIGNACIONES!E:E,A215,ASIGNACIONES!K:K,C215)=0,"LOCKERT DISPONIBLE","LOCKERT ASIGNADO"),IF(COUNTIFS(ASIGNACIONES!E:E,A215,ASIGNACIONES!H:H,B215,ASIGNACIONES!K:K,C215)=0,"LOCKERT DISPONIBLE","LOCKERT ASIGNADO")))</f>
        <v>LOCKERT DISPONIBLE</v>
      </c>
      <c r="E215" s="3">
        <v>1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23.25" hidden="1">
      <c r="A216" s="5">
        <v>5</v>
      </c>
      <c r="B216" s="6" t="s">
        <v>2205</v>
      </c>
      <c r="C216" s="7" t="s">
        <v>12</v>
      </c>
      <c r="D216" s="22" t="str">
        <f>IF(B216="VIS","LOCKERT VISITA",IF(C216="VESTIDOR MUJERES",IF(COUNTIFS(ASIGNACIONES!E:E,A216,ASIGNACIONES!K:K,C216)=0,"LOCKERT DISPONIBLE","LOCKERT ASIGNADO"),IF(COUNTIFS(ASIGNACIONES!E:E,A216,ASIGNACIONES!H:H,B216,ASIGNACIONES!K:K,C216)=0,"LOCKERT DISPONIBLE","LOCKERT ASIGNADO")))</f>
        <v>LOCKERT VISITA</v>
      </c>
      <c r="E216" s="3">
        <v>1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23.25" hidden="1">
      <c r="A217" s="5">
        <v>10</v>
      </c>
      <c r="B217" s="6" t="s">
        <v>2205</v>
      </c>
      <c r="C217" s="7" t="s">
        <v>12</v>
      </c>
      <c r="D217" s="22" t="str">
        <f>IF(B217="VIS","LOCKERT VISITA",IF(C217="VESTIDOR MUJERES",IF(COUNTIFS(ASIGNACIONES!E:E,A217,ASIGNACIONES!K:K,C217)=0,"LOCKERT DISPONIBLE","LOCKERT ASIGNADO"),IF(COUNTIFS(ASIGNACIONES!E:E,A217,ASIGNACIONES!H:H,B217,ASIGNACIONES!K:K,C217)=0,"LOCKERT DISPONIBLE","LOCKERT ASIGNADO")))</f>
        <v>LOCKERT VISITA</v>
      </c>
      <c r="E217" s="3">
        <v>1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23.25" hidden="1">
      <c r="A218" s="5">
        <v>13</v>
      </c>
      <c r="B218" s="6" t="s">
        <v>2205</v>
      </c>
      <c r="C218" s="7" t="s">
        <v>31</v>
      </c>
      <c r="D218" s="22" t="str">
        <f>IF(B218="VIS","LOCKERT VISITA",IF(C218="VESTIDOR MUJERES",IF(COUNTIFS(ASIGNACIONES!E:E,A218,ASIGNACIONES!K:K,C218)=0,"LOCKERT DISPONIBLE","LOCKERT ASIGNADO"),IF(COUNTIFS(ASIGNACIONES!E:E,A218,ASIGNACIONES!H:H,B218,ASIGNACIONES!K:K,C218)=0,"LOCKERT DISPONIBLE","LOCKERT ASIGNADO")))</f>
        <v>LOCKERT VISITA</v>
      </c>
      <c r="E218" s="3">
        <v>1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23.25" hidden="1">
      <c r="A219" s="5">
        <v>14</v>
      </c>
      <c r="B219" s="6" t="s">
        <v>2205</v>
      </c>
      <c r="C219" s="7" t="s">
        <v>31</v>
      </c>
      <c r="D219" s="22" t="str">
        <f>IF(B219="VIS","LOCKERT VISITA",IF(C219="VESTIDOR MUJERES",IF(COUNTIFS(ASIGNACIONES!E:E,A219,ASIGNACIONES!K:K,C219)=0,"LOCKERT DISPONIBLE","LOCKERT ASIGNADO"),IF(COUNTIFS(ASIGNACIONES!E:E,A219,ASIGNACIONES!H:H,B219,ASIGNACIONES!K:K,C219)=0,"LOCKERT DISPONIBLE","LOCKERT ASIGNADO")))</f>
        <v>LOCKERT VISITA</v>
      </c>
      <c r="E219" s="3">
        <v>1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23.25" hidden="1">
      <c r="A220" s="5">
        <v>15</v>
      </c>
      <c r="B220" s="6" t="s">
        <v>2205</v>
      </c>
      <c r="C220" s="7" t="s">
        <v>12</v>
      </c>
      <c r="D220" s="22" t="str">
        <f>IF(B220="VIS","LOCKERT VISITA",IF(C220="VESTIDOR MUJERES",IF(COUNTIFS(ASIGNACIONES!E:E,A220,ASIGNACIONES!K:K,C220)=0,"LOCKERT DISPONIBLE","LOCKERT ASIGNADO"),IF(COUNTIFS(ASIGNACIONES!E:E,A220,ASIGNACIONES!H:H,B220,ASIGNACIONES!K:K,C220)=0,"LOCKERT DISPONIBLE","LOCKERT ASIGNADO")))</f>
        <v>LOCKERT VISITA</v>
      </c>
      <c r="E220" s="3">
        <v>1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23.25" hidden="1">
      <c r="A221" s="5">
        <v>15</v>
      </c>
      <c r="B221" s="6" t="s">
        <v>2205</v>
      </c>
      <c r="C221" s="7" t="s">
        <v>31</v>
      </c>
      <c r="D221" s="22" t="str">
        <f>IF(B221="VIS","LOCKERT VISITA",IF(C221="VESTIDOR MUJERES",IF(COUNTIFS(ASIGNACIONES!E:E,A221,ASIGNACIONES!K:K,C221)=0,"LOCKERT DISPONIBLE","LOCKERT ASIGNADO"),IF(COUNTIFS(ASIGNACIONES!E:E,A221,ASIGNACIONES!H:H,B221,ASIGNACIONES!K:K,C221)=0,"LOCKERT DISPONIBLE","LOCKERT ASIGNADO")))</f>
        <v>LOCKERT VISITA</v>
      </c>
      <c r="E221" s="3">
        <v>1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23.25" hidden="1">
      <c r="A222" s="5">
        <v>17</v>
      </c>
      <c r="B222" s="6" t="s">
        <v>2205</v>
      </c>
      <c r="C222" s="7" t="s">
        <v>31</v>
      </c>
      <c r="D222" s="22" t="str">
        <f>IF(B222="VIS","LOCKERT VISITA",IF(C222="VESTIDOR MUJERES",IF(COUNTIFS(ASIGNACIONES!E:E,A222,ASIGNACIONES!K:K,C222)=0,"LOCKERT DISPONIBLE","LOCKERT ASIGNADO"),IF(COUNTIFS(ASIGNACIONES!E:E,A222,ASIGNACIONES!H:H,B222,ASIGNACIONES!K:K,C222)=0,"LOCKERT DISPONIBLE","LOCKERT ASIGNADO")))</f>
        <v>LOCKERT VISITA</v>
      </c>
      <c r="E222" s="3">
        <v>1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23.25" hidden="1">
      <c r="A223" s="5">
        <v>18</v>
      </c>
      <c r="B223" s="6" t="s">
        <v>2205</v>
      </c>
      <c r="C223" s="7" t="s">
        <v>31</v>
      </c>
      <c r="D223" s="22" t="str">
        <f>IF(B223="VIS","LOCKERT VISITA",IF(C223="VESTIDOR MUJERES",IF(COUNTIFS(ASIGNACIONES!E:E,A223,ASIGNACIONES!K:K,C223)=0,"LOCKERT DISPONIBLE","LOCKERT ASIGNADO"),IF(COUNTIFS(ASIGNACIONES!E:E,A223,ASIGNACIONES!H:H,B223,ASIGNACIONES!K:K,C223)=0,"LOCKERT DISPONIBLE","LOCKERT ASIGNADO")))</f>
        <v>LOCKERT VISITA</v>
      </c>
      <c r="E223" s="3">
        <v>1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23.25" hidden="1">
      <c r="A224" s="5">
        <v>19</v>
      </c>
      <c r="B224" s="6" t="s">
        <v>2205</v>
      </c>
      <c r="C224" s="7" t="s">
        <v>31</v>
      </c>
      <c r="D224" s="22" t="str">
        <f>IF(B224="VIS","LOCKERT VISITA",IF(C224="VESTIDOR MUJERES",IF(COUNTIFS(ASIGNACIONES!E:E,A224,ASIGNACIONES!K:K,C224)=0,"LOCKERT DISPONIBLE","LOCKERT ASIGNADO"),IF(COUNTIFS(ASIGNACIONES!E:E,A224,ASIGNACIONES!H:H,B224,ASIGNACIONES!K:K,C224)=0,"LOCKERT DISPONIBLE","LOCKERT ASIGNADO")))</f>
        <v>LOCKERT VISITA</v>
      </c>
      <c r="E224" s="3">
        <v>1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23.25" hidden="1">
      <c r="A225" s="5">
        <v>20</v>
      </c>
      <c r="B225" s="6" t="s">
        <v>2205</v>
      </c>
      <c r="C225" s="7" t="s">
        <v>12</v>
      </c>
      <c r="D225" s="22" t="str">
        <f>IF(B225="VIS","LOCKERT VISITA",IF(C225="VESTIDOR MUJERES",IF(COUNTIFS(ASIGNACIONES!E:E,A225,ASIGNACIONES!K:K,C225)=0,"LOCKERT DISPONIBLE","LOCKERT ASIGNADO"),IF(COUNTIFS(ASIGNACIONES!E:E,A225,ASIGNACIONES!H:H,B225,ASIGNACIONES!K:K,C225)=0,"LOCKERT DISPONIBLE","LOCKERT ASIGNADO")))</f>
        <v>LOCKERT VISITA</v>
      </c>
      <c r="E225" s="3">
        <v>1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23.25" hidden="1">
      <c r="A226" s="5">
        <v>21</v>
      </c>
      <c r="B226" s="6" t="s">
        <v>2205</v>
      </c>
      <c r="C226" s="7" t="s">
        <v>31</v>
      </c>
      <c r="D226" s="22" t="str">
        <f>IF(B226="VIS","LOCKERT VISITA",IF(C226="VESTIDOR MUJERES",IF(COUNTIFS(ASIGNACIONES!E:E,A226,ASIGNACIONES!K:K,C226)=0,"LOCKERT DISPONIBLE","LOCKERT ASIGNADO"),IF(COUNTIFS(ASIGNACIONES!E:E,A226,ASIGNACIONES!H:H,B226,ASIGNACIONES!K:K,C226)=0,"LOCKERT DISPONIBLE","LOCKERT ASIGNADO")))</f>
        <v>LOCKERT VISITA</v>
      </c>
      <c r="E226" s="3">
        <v>1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23.25" hidden="1">
      <c r="A227" s="5">
        <v>22</v>
      </c>
      <c r="B227" s="6" t="s">
        <v>2205</v>
      </c>
      <c r="C227" s="7" t="s">
        <v>31</v>
      </c>
      <c r="D227" s="22" t="str">
        <f>IF(B227="VIS","LOCKERT VISITA",IF(C227="VESTIDOR MUJERES",IF(COUNTIFS(ASIGNACIONES!E:E,A227,ASIGNACIONES!K:K,C227)=0,"LOCKERT DISPONIBLE","LOCKERT ASIGNADO"),IF(COUNTIFS(ASIGNACIONES!E:E,A227,ASIGNACIONES!H:H,B227,ASIGNACIONES!K:K,C227)=0,"LOCKERT DISPONIBLE","LOCKERT ASIGNADO")))</f>
        <v>LOCKERT VISITA</v>
      </c>
      <c r="E227" s="3">
        <v>1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23.25" hidden="1">
      <c r="A228" s="5">
        <v>23</v>
      </c>
      <c r="B228" s="6" t="s">
        <v>2205</v>
      </c>
      <c r="C228" s="7" t="s">
        <v>31</v>
      </c>
      <c r="D228" s="22" t="str">
        <f>IF(B228="VIS","LOCKERT VISITA",IF(C228="VESTIDOR MUJERES",IF(COUNTIFS(ASIGNACIONES!E:E,A228,ASIGNACIONES!K:K,C228)=0,"LOCKERT DISPONIBLE","LOCKERT ASIGNADO"),IF(COUNTIFS(ASIGNACIONES!E:E,A228,ASIGNACIONES!H:H,B228,ASIGNACIONES!K:K,C228)=0,"LOCKERT DISPONIBLE","LOCKERT ASIGNADO")))</f>
        <v>LOCKERT VISITA</v>
      </c>
      <c r="E228" s="3">
        <v>1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23.25" hidden="1">
      <c r="A229" s="5">
        <v>25</v>
      </c>
      <c r="B229" s="6" t="s">
        <v>2205</v>
      </c>
      <c r="C229" s="7" t="s">
        <v>12</v>
      </c>
      <c r="D229" s="22" t="str">
        <f>IF(B229="VIS","LOCKERT VISITA",IF(C229="VESTIDOR MUJERES",IF(COUNTIFS(ASIGNACIONES!E:E,A229,ASIGNACIONES!K:K,C229)=0,"LOCKERT DISPONIBLE","LOCKERT ASIGNADO"),IF(COUNTIFS(ASIGNACIONES!E:E,A229,ASIGNACIONES!H:H,B229,ASIGNACIONES!K:K,C229)=0,"LOCKERT DISPONIBLE","LOCKERT ASIGNADO")))</f>
        <v>LOCKERT VISITA</v>
      </c>
      <c r="E229" s="3">
        <v>1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23.25" hidden="1">
      <c r="A230" s="5">
        <v>30</v>
      </c>
      <c r="B230" s="6" t="s">
        <v>2205</v>
      </c>
      <c r="C230" s="7" t="s">
        <v>12</v>
      </c>
      <c r="D230" s="22" t="str">
        <f>IF(B230="VIS","LOCKERT VISITA",IF(C230="VESTIDOR MUJERES",IF(COUNTIFS(ASIGNACIONES!E:E,A230,ASIGNACIONES!K:K,C230)=0,"LOCKERT DISPONIBLE","LOCKERT ASIGNADO"),IF(COUNTIFS(ASIGNACIONES!E:E,A230,ASIGNACIONES!H:H,B230,ASIGNACIONES!K:K,C230)=0,"LOCKERT DISPONIBLE","LOCKERT ASIGNADO")))</f>
        <v>LOCKERT VISITA</v>
      </c>
      <c r="E230" s="3">
        <v>1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5">
      <c r="A231" s="3"/>
      <c r="B231" s="3"/>
      <c r="C231" s="3"/>
      <c r="D231" s="2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5">
      <c r="A232" s="3"/>
      <c r="B232" s="3"/>
      <c r="C232" s="3"/>
      <c r="D232" s="2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5">
      <c r="A233" s="3"/>
      <c r="B233" s="3"/>
      <c r="C233" s="3"/>
      <c r="D233" s="2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5">
      <c r="A234" s="3"/>
      <c r="B234" s="3"/>
      <c r="C234" s="3"/>
      <c r="D234" s="2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5">
      <c r="A235" s="3"/>
      <c r="B235" s="3"/>
      <c r="C235" s="3"/>
      <c r="D235" s="2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5">
      <c r="A236" s="3"/>
      <c r="B236" s="3"/>
      <c r="C236" s="3"/>
      <c r="D236" s="2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5">
      <c r="A237" s="3"/>
      <c r="B237" s="3"/>
      <c r="C237" s="3"/>
      <c r="D237" s="2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5">
      <c r="A238" s="3"/>
      <c r="B238" s="3"/>
      <c r="C238" s="3"/>
      <c r="D238" s="2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5">
      <c r="A239" s="3"/>
      <c r="B239" s="3"/>
      <c r="C239" s="3"/>
      <c r="D239" s="2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5">
      <c r="A240" s="3"/>
      <c r="B240" s="3"/>
      <c r="C240" s="3"/>
      <c r="D240" s="2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5">
      <c r="A241" s="3"/>
      <c r="B241" s="3"/>
      <c r="C241" s="3"/>
      <c r="D241" s="2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5">
      <c r="A242" s="3"/>
      <c r="B242" s="3"/>
      <c r="C242" s="3"/>
      <c r="D242" s="2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5">
      <c r="A243" s="3"/>
      <c r="B243" s="3"/>
      <c r="C243" s="3"/>
      <c r="D243" s="2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5">
      <c r="A244" s="3"/>
      <c r="B244" s="3"/>
      <c r="C244" s="3"/>
      <c r="D244" s="2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5">
      <c r="A245" s="3"/>
      <c r="B245" s="3"/>
      <c r="C245" s="3"/>
      <c r="D245" s="2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5">
      <c r="A246" s="3"/>
      <c r="B246" s="3"/>
      <c r="C246" s="3"/>
      <c r="D246" s="2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5">
      <c r="A247" s="3"/>
      <c r="B247" s="3"/>
      <c r="C247" s="3"/>
      <c r="D247" s="2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5">
      <c r="A248" s="3"/>
      <c r="B248" s="3"/>
      <c r="C248" s="3"/>
      <c r="D248" s="2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5">
      <c r="A249" s="3"/>
      <c r="B249" s="3"/>
      <c r="C249" s="3"/>
      <c r="D249" s="2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5">
      <c r="A250" s="3"/>
      <c r="B250" s="3"/>
      <c r="C250" s="3"/>
      <c r="D250" s="2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5">
      <c r="A251" s="3"/>
      <c r="B251" s="3"/>
      <c r="C251" s="3"/>
      <c r="D251" s="2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5">
      <c r="A252" s="3"/>
      <c r="B252" s="3"/>
      <c r="C252" s="3"/>
      <c r="D252" s="2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5">
      <c r="A253" s="3"/>
      <c r="B253" s="3"/>
      <c r="C253" s="3"/>
      <c r="D253" s="2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5">
      <c r="A254" s="3"/>
      <c r="B254" s="3"/>
      <c r="C254" s="3"/>
      <c r="D254" s="2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5">
      <c r="A255" s="3"/>
      <c r="B255" s="3"/>
      <c r="C255" s="3"/>
      <c r="D255" s="2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5">
      <c r="A256" s="3"/>
      <c r="B256" s="3"/>
      <c r="C256" s="3"/>
      <c r="D256" s="2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5">
      <c r="A257" s="3"/>
      <c r="B257" s="3"/>
      <c r="C257" s="3"/>
      <c r="D257" s="2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5">
      <c r="A258" s="3"/>
      <c r="B258" s="3"/>
      <c r="C258" s="3"/>
      <c r="D258" s="2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5">
      <c r="A259" s="3"/>
      <c r="B259" s="3"/>
      <c r="C259" s="3"/>
      <c r="D259" s="2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5">
      <c r="A260" s="3"/>
      <c r="B260" s="3"/>
      <c r="C260" s="3"/>
      <c r="D260" s="2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5">
      <c r="A261" s="3"/>
      <c r="B261" s="3"/>
      <c r="C261" s="3"/>
      <c r="D261" s="2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5">
      <c r="A262" s="3"/>
      <c r="B262" s="3"/>
      <c r="C262" s="3"/>
      <c r="D262" s="2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5">
      <c r="A263" s="3"/>
      <c r="B263" s="3"/>
      <c r="C263" s="3"/>
      <c r="D263" s="2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5">
      <c r="A264" s="3"/>
      <c r="B264" s="3"/>
      <c r="C264" s="3"/>
      <c r="D264" s="2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5">
      <c r="A265" s="3"/>
      <c r="B265" s="3"/>
      <c r="C265" s="3"/>
      <c r="D265" s="2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5">
      <c r="A266" s="3"/>
      <c r="B266" s="3"/>
      <c r="C266" s="3"/>
      <c r="D266" s="2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5">
      <c r="A267" s="3"/>
      <c r="B267" s="3"/>
      <c r="C267" s="3"/>
      <c r="D267" s="2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5">
      <c r="A268" s="3"/>
      <c r="B268" s="3"/>
      <c r="C268" s="3"/>
      <c r="D268" s="2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5">
      <c r="A269" s="3"/>
      <c r="B269" s="3"/>
      <c r="C269" s="3"/>
      <c r="D269" s="2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5">
      <c r="A270" s="3"/>
      <c r="B270" s="3"/>
      <c r="C270" s="3"/>
      <c r="D270" s="2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5">
      <c r="A271" s="3"/>
      <c r="B271" s="3"/>
      <c r="C271" s="3"/>
      <c r="D271" s="2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5">
      <c r="A272" s="3"/>
      <c r="B272" s="3"/>
      <c r="C272" s="3"/>
      <c r="D272" s="2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2.75">
      <c r="A273" s="3"/>
      <c r="B273" s="3"/>
      <c r="C273" s="3"/>
      <c r="D273" s="8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2.75">
      <c r="A274" s="3"/>
      <c r="B274" s="3"/>
      <c r="C274" s="3"/>
      <c r="D274" s="8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2.75">
      <c r="A275" s="3"/>
      <c r="B275" s="3"/>
      <c r="C275" s="3"/>
      <c r="D275" s="8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2.75">
      <c r="A276" s="3"/>
      <c r="B276" s="3"/>
      <c r="C276" s="3"/>
      <c r="D276" s="8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2.75">
      <c r="A277" s="3"/>
      <c r="B277" s="3"/>
      <c r="C277" s="3"/>
      <c r="D277" s="8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2.75">
      <c r="A278" s="3"/>
      <c r="B278" s="3"/>
      <c r="C278" s="3"/>
      <c r="D278" s="8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2.75">
      <c r="A279" s="3"/>
      <c r="B279" s="3"/>
      <c r="C279" s="3"/>
      <c r="D279" s="8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2.75">
      <c r="A280" s="3"/>
      <c r="B280" s="3"/>
      <c r="C280" s="3"/>
      <c r="D280" s="8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2.75">
      <c r="A281" s="3"/>
      <c r="B281" s="3"/>
      <c r="C281" s="3"/>
      <c r="D281" s="8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2.75">
      <c r="A282" s="3"/>
      <c r="B282" s="3"/>
      <c r="C282" s="3"/>
      <c r="D282" s="8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2.75">
      <c r="A283" s="3"/>
      <c r="B283" s="3"/>
      <c r="C283" s="3"/>
      <c r="D283" s="8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2.75">
      <c r="A284" s="3"/>
      <c r="B284" s="3"/>
      <c r="C284" s="3"/>
      <c r="D284" s="8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2.75">
      <c r="A285" s="3"/>
      <c r="B285" s="3"/>
      <c r="C285" s="3"/>
      <c r="D285" s="8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2.75">
      <c r="A286" s="3"/>
      <c r="B286" s="3"/>
      <c r="C286" s="3"/>
      <c r="D286" s="8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2.75">
      <c r="A287" s="3"/>
      <c r="B287" s="3"/>
      <c r="C287" s="3"/>
      <c r="D287" s="8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2.75">
      <c r="A288" s="3"/>
      <c r="B288" s="3"/>
      <c r="C288" s="3"/>
      <c r="D288" s="8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2.75">
      <c r="A289" s="3"/>
      <c r="B289" s="3"/>
      <c r="C289" s="3"/>
      <c r="D289" s="8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2.75">
      <c r="A290" s="3"/>
      <c r="B290" s="3"/>
      <c r="C290" s="3"/>
      <c r="D290" s="8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2.75">
      <c r="A291" s="3"/>
      <c r="B291" s="3"/>
      <c r="C291" s="3"/>
      <c r="D291" s="8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2.75">
      <c r="A292" s="3"/>
      <c r="B292" s="3"/>
      <c r="C292" s="3"/>
      <c r="D292" s="8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2.75">
      <c r="A293" s="3"/>
      <c r="B293" s="3"/>
      <c r="C293" s="3"/>
      <c r="D293" s="8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2.75">
      <c r="A294" s="3"/>
      <c r="B294" s="3"/>
      <c r="C294" s="3"/>
      <c r="D294" s="8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2.75">
      <c r="A295" s="3"/>
      <c r="B295" s="3"/>
      <c r="C295" s="3"/>
      <c r="D295" s="8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2.75">
      <c r="A296" s="3"/>
      <c r="B296" s="3"/>
      <c r="C296" s="3"/>
      <c r="D296" s="8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2.75">
      <c r="A297" s="3"/>
      <c r="B297" s="3"/>
      <c r="C297" s="3"/>
      <c r="D297" s="8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2.75">
      <c r="A298" s="3"/>
      <c r="B298" s="3"/>
      <c r="C298" s="3"/>
      <c r="D298" s="8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2.75">
      <c r="A299" s="3"/>
      <c r="B299" s="3"/>
      <c r="C299" s="3"/>
      <c r="D299" s="8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2.75">
      <c r="A300" s="3"/>
      <c r="B300" s="3"/>
      <c r="C300" s="3"/>
      <c r="D300" s="8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2.75">
      <c r="A301" s="3"/>
      <c r="B301" s="3"/>
      <c r="C301" s="3"/>
      <c r="D301" s="8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2.75">
      <c r="A302" s="3"/>
      <c r="B302" s="3"/>
      <c r="C302" s="3"/>
      <c r="D302" s="8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2.75">
      <c r="A303" s="3"/>
      <c r="B303" s="3"/>
      <c r="C303" s="3"/>
      <c r="D303" s="8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2.75">
      <c r="A304" s="3"/>
      <c r="B304" s="3"/>
      <c r="C304" s="3"/>
      <c r="D304" s="8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2.75">
      <c r="A305" s="3"/>
      <c r="B305" s="3"/>
      <c r="C305" s="3"/>
      <c r="D305" s="8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2.75">
      <c r="A306" s="3"/>
      <c r="B306" s="3"/>
      <c r="C306" s="3"/>
      <c r="D306" s="8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2.75">
      <c r="A307" s="3"/>
      <c r="B307" s="3"/>
      <c r="C307" s="3"/>
      <c r="D307" s="8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2.75">
      <c r="A308" s="3"/>
      <c r="B308" s="3"/>
      <c r="C308" s="3"/>
      <c r="D308" s="8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2.75">
      <c r="A309" s="3"/>
      <c r="B309" s="3"/>
      <c r="C309" s="3"/>
      <c r="D309" s="8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2.75">
      <c r="A310" s="3"/>
      <c r="B310" s="3"/>
      <c r="C310" s="3"/>
      <c r="D310" s="8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2.75">
      <c r="A311" s="3"/>
      <c r="B311" s="3"/>
      <c r="C311" s="3"/>
      <c r="D311" s="8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2.75">
      <c r="A312" s="3"/>
      <c r="B312" s="3"/>
      <c r="C312" s="3"/>
      <c r="D312" s="8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2.75">
      <c r="A313" s="3"/>
      <c r="B313" s="3"/>
      <c r="C313" s="3"/>
      <c r="D313" s="8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2.75">
      <c r="A314" s="3"/>
      <c r="B314" s="3"/>
      <c r="C314" s="3"/>
      <c r="D314" s="8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2.75">
      <c r="A315" s="3"/>
      <c r="B315" s="3"/>
      <c r="C315" s="3"/>
      <c r="D315" s="8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2.75">
      <c r="A316" s="3"/>
      <c r="B316" s="3"/>
      <c r="C316" s="3"/>
      <c r="D316" s="8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2.75">
      <c r="A317" s="3"/>
      <c r="B317" s="3"/>
      <c r="C317" s="3"/>
      <c r="D317" s="8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2.75">
      <c r="A318" s="3"/>
      <c r="B318" s="3"/>
      <c r="C318" s="3"/>
      <c r="D318" s="8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2.75">
      <c r="A319" s="3"/>
      <c r="B319" s="3"/>
      <c r="C319" s="3"/>
      <c r="D319" s="8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2.75">
      <c r="A320" s="3"/>
      <c r="B320" s="3"/>
      <c r="C320" s="3"/>
      <c r="D320" s="8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2.75">
      <c r="A321" s="3"/>
      <c r="B321" s="3"/>
      <c r="C321" s="3"/>
      <c r="D321" s="8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2.75">
      <c r="A322" s="3"/>
      <c r="B322" s="3"/>
      <c r="C322" s="3"/>
      <c r="D322" s="8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2.75">
      <c r="A323" s="3"/>
      <c r="B323" s="3"/>
      <c r="C323" s="3"/>
      <c r="D323" s="8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2.75">
      <c r="A324" s="3"/>
      <c r="B324" s="3"/>
      <c r="C324" s="3"/>
      <c r="D324" s="8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2.75">
      <c r="A325" s="3"/>
      <c r="B325" s="3"/>
      <c r="C325" s="3"/>
      <c r="D325" s="8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2.75">
      <c r="A326" s="3"/>
      <c r="B326" s="3"/>
      <c r="C326" s="3"/>
      <c r="D326" s="8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2.75">
      <c r="A327" s="3"/>
      <c r="B327" s="3"/>
      <c r="C327" s="3"/>
      <c r="D327" s="8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2.75">
      <c r="A328" s="3"/>
      <c r="B328" s="3"/>
      <c r="C328" s="3"/>
      <c r="D328" s="8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2.75">
      <c r="A329" s="3"/>
      <c r="B329" s="3"/>
      <c r="C329" s="3"/>
      <c r="D329" s="8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2.75">
      <c r="A330" s="3"/>
      <c r="B330" s="3"/>
      <c r="C330" s="3"/>
      <c r="D330" s="8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2.75">
      <c r="A331" s="3"/>
      <c r="B331" s="3"/>
      <c r="C331" s="3"/>
      <c r="D331" s="8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2.75">
      <c r="A332" s="3"/>
      <c r="B332" s="3"/>
      <c r="C332" s="3"/>
      <c r="D332" s="8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2.75">
      <c r="A333" s="3"/>
      <c r="B333" s="3"/>
      <c r="C333" s="3"/>
      <c r="D333" s="8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2.75">
      <c r="A334" s="3"/>
      <c r="B334" s="3"/>
      <c r="C334" s="3"/>
      <c r="D334" s="8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2.75">
      <c r="A335" s="3"/>
      <c r="B335" s="3"/>
      <c r="C335" s="3"/>
      <c r="D335" s="8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2.75">
      <c r="A336" s="3"/>
      <c r="B336" s="3"/>
      <c r="C336" s="3"/>
      <c r="D336" s="8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2.75">
      <c r="A337" s="3"/>
      <c r="B337" s="3"/>
      <c r="C337" s="3"/>
      <c r="D337" s="8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2.75">
      <c r="A338" s="3"/>
      <c r="B338" s="3"/>
      <c r="C338" s="3"/>
      <c r="D338" s="8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2.75">
      <c r="A339" s="3"/>
      <c r="B339" s="3"/>
      <c r="C339" s="3"/>
      <c r="D339" s="8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2.75">
      <c r="A340" s="3"/>
      <c r="B340" s="3"/>
      <c r="C340" s="3"/>
      <c r="D340" s="8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2.75">
      <c r="A341" s="3"/>
      <c r="B341" s="3"/>
      <c r="C341" s="3"/>
      <c r="D341" s="8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2.75">
      <c r="A342" s="3"/>
      <c r="B342" s="3"/>
      <c r="C342" s="3"/>
      <c r="D342" s="8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2.75">
      <c r="A343" s="3"/>
      <c r="B343" s="3"/>
      <c r="C343" s="3"/>
      <c r="D343" s="8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2.75">
      <c r="A344" s="3"/>
      <c r="B344" s="3"/>
      <c r="C344" s="3"/>
      <c r="D344" s="8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2.75">
      <c r="A345" s="3"/>
      <c r="B345" s="3"/>
      <c r="C345" s="3"/>
      <c r="D345" s="8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2.75">
      <c r="A346" s="3"/>
      <c r="B346" s="3"/>
      <c r="C346" s="3"/>
      <c r="D346" s="8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2.75">
      <c r="A347" s="3"/>
      <c r="B347" s="3"/>
      <c r="C347" s="3"/>
      <c r="D347" s="8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2.75">
      <c r="A348" s="3"/>
      <c r="B348" s="3"/>
      <c r="C348" s="3"/>
      <c r="D348" s="8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2.75">
      <c r="A349" s="3"/>
      <c r="B349" s="3"/>
      <c r="C349" s="3"/>
      <c r="D349" s="8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2.75">
      <c r="A350" s="3"/>
      <c r="B350" s="3"/>
      <c r="C350" s="3"/>
      <c r="D350" s="8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2.75">
      <c r="A351" s="3"/>
      <c r="B351" s="3"/>
      <c r="C351" s="3"/>
      <c r="D351" s="8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2.75">
      <c r="A352" s="3"/>
      <c r="B352" s="3"/>
      <c r="C352" s="3"/>
      <c r="D352" s="8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2.75">
      <c r="A353" s="3"/>
      <c r="B353" s="3"/>
      <c r="C353" s="3"/>
      <c r="D353" s="8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2.75">
      <c r="A354" s="3"/>
      <c r="B354" s="3"/>
      <c r="C354" s="3"/>
      <c r="D354" s="8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2.75">
      <c r="A355" s="3"/>
      <c r="B355" s="3"/>
      <c r="C355" s="3"/>
      <c r="D355" s="8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2.75">
      <c r="A356" s="3"/>
      <c r="B356" s="3"/>
      <c r="C356" s="3"/>
      <c r="D356" s="8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2.75">
      <c r="A357" s="3"/>
      <c r="B357" s="3"/>
      <c r="C357" s="3"/>
      <c r="D357" s="8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2.75">
      <c r="A358" s="3"/>
      <c r="B358" s="3"/>
      <c r="C358" s="3"/>
      <c r="D358" s="8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2.75">
      <c r="A359" s="3"/>
      <c r="B359" s="3"/>
      <c r="C359" s="3"/>
      <c r="D359" s="8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2.75">
      <c r="A360" s="3"/>
      <c r="B360" s="3"/>
      <c r="C360" s="3"/>
      <c r="D360" s="8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2.75">
      <c r="A361" s="3"/>
      <c r="B361" s="3"/>
      <c r="C361" s="3"/>
      <c r="D361" s="8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2.75">
      <c r="A362" s="3"/>
      <c r="B362" s="3"/>
      <c r="C362" s="3"/>
      <c r="D362" s="8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2.75">
      <c r="A363" s="3"/>
      <c r="B363" s="3"/>
      <c r="C363" s="3"/>
      <c r="D363" s="8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2.75">
      <c r="A364" s="3"/>
      <c r="B364" s="3"/>
      <c r="C364" s="3"/>
      <c r="D364" s="8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2.75">
      <c r="A365" s="3"/>
      <c r="B365" s="3"/>
      <c r="C365" s="3"/>
      <c r="D365" s="8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2.75">
      <c r="A366" s="3"/>
      <c r="B366" s="3"/>
      <c r="C366" s="3"/>
      <c r="D366" s="8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2.75">
      <c r="A367" s="3"/>
      <c r="B367" s="3"/>
      <c r="C367" s="3"/>
      <c r="D367" s="8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2.75">
      <c r="A368" s="3"/>
      <c r="B368" s="3"/>
      <c r="C368" s="3"/>
      <c r="D368" s="8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2.75">
      <c r="A369" s="3"/>
      <c r="B369" s="3"/>
      <c r="C369" s="3"/>
      <c r="D369" s="8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2.75">
      <c r="A370" s="3"/>
      <c r="B370" s="3"/>
      <c r="C370" s="3"/>
      <c r="D370" s="8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2.75">
      <c r="A371" s="3"/>
      <c r="B371" s="3"/>
      <c r="C371" s="3"/>
      <c r="D371" s="8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2.75">
      <c r="A372" s="3"/>
      <c r="B372" s="3"/>
      <c r="C372" s="3"/>
      <c r="D372" s="8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2.75">
      <c r="A373" s="3"/>
      <c r="B373" s="3"/>
      <c r="C373" s="3"/>
      <c r="D373" s="8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2.75">
      <c r="A374" s="3"/>
      <c r="B374" s="3"/>
      <c r="C374" s="3"/>
      <c r="D374" s="8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2.75">
      <c r="A375" s="3"/>
      <c r="B375" s="3"/>
      <c r="C375" s="3"/>
      <c r="D375" s="8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2.75">
      <c r="A376" s="3"/>
      <c r="B376" s="3"/>
      <c r="C376" s="3"/>
      <c r="D376" s="8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2.75">
      <c r="A377" s="3"/>
      <c r="B377" s="3"/>
      <c r="C377" s="3"/>
      <c r="D377" s="8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2.75">
      <c r="A378" s="3"/>
      <c r="B378" s="3"/>
      <c r="C378" s="3"/>
      <c r="D378" s="8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2.75">
      <c r="A379" s="3"/>
      <c r="B379" s="3"/>
      <c r="C379" s="3"/>
      <c r="D379" s="8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2.75">
      <c r="A380" s="3"/>
      <c r="B380" s="3"/>
      <c r="C380" s="3"/>
      <c r="D380" s="8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2.75">
      <c r="A381" s="3"/>
      <c r="B381" s="3"/>
      <c r="C381" s="3"/>
      <c r="D381" s="8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2.75">
      <c r="A382" s="3"/>
      <c r="B382" s="3"/>
      <c r="C382" s="3"/>
      <c r="D382" s="8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2.75">
      <c r="A383" s="3"/>
      <c r="B383" s="3"/>
      <c r="C383" s="3"/>
      <c r="D383" s="8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2.75">
      <c r="A384" s="3"/>
      <c r="B384" s="3"/>
      <c r="C384" s="3"/>
      <c r="D384" s="8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2.75">
      <c r="A385" s="3"/>
      <c r="B385" s="3"/>
      <c r="C385" s="3"/>
      <c r="D385" s="8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2.75">
      <c r="A386" s="3"/>
      <c r="B386" s="3"/>
      <c r="C386" s="3"/>
      <c r="D386" s="8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2.75">
      <c r="A387" s="3"/>
      <c r="B387" s="3"/>
      <c r="C387" s="3"/>
      <c r="D387" s="8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2.75">
      <c r="A388" s="3"/>
      <c r="B388" s="3"/>
      <c r="C388" s="3"/>
      <c r="D388" s="8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2.75">
      <c r="A389" s="3"/>
      <c r="B389" s="3"/>
      <c r="C389" s="3"/>
      <c r="D389" s="8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2.75">
      <c r="A390" s="3"/>
      <c r="B390" s="3"/>
      <c r="C390" s="3"/>
      <c r="D390" s="8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2.75">
      <c r="A391" s="3"/>
      <c r="B391" s="3"/>
      <c r="C391" s="3"/>
      <c r="D391" s="8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2.75">
      <c r="A392" s="3"/>
      <c r="B392" s="3"/>
      <c r="C392" s="3"/>
      <c r="D392" s="8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2.75">
      <c r="A393" s="3"/>
      <c r="B393" s="3"/>
      <c r="C393" s="3"/>
      <c r="D393" s="8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2.75">
      <c r="A394" s="3"/>
      <c r="B394" s="3"/>
      <c r="C394" s="3"/>
      <c r="D394" s="8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2.75">
      <c r="A395" s="3"/>
      <c r="B395" s="3"/>
      <c r="C395" s="3"/>
      <c r="D395" s="8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2.75">
      <c r="A396" s="3"/>
      <c r="B396" s="3"/>
      <c r="C396" s="3"/>
      <c r="D396" s="8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2.75">
      <c r="A397" s="3"/>
      <c r="B397" s="3"/>
      <c r="C397" s="3"/>
      <c r="D397" s="8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2.75">
      <c r="A398" s="3"/>
      <c r="B398" s="3"/>
      <c r="C398" s="3"/>
      <c r="D398" s="8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2.75">
      <c r="A399" s="3"/>
      <c r="B399" s="3"/>
      <c r="C399" s="3"/>
      <c r="D399" s="8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2.75">
      <c r="A400" s="3"/>
      <c r="B400" s="3"/>
      <c r="C400" s="3"/>
      <c r="D400" s="8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2.75">
      <c r="A401" s="3"/>
      <c r="B401" s="3"/>
      <c r="C401" s="3"/>
      <c r="D401" s="8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2.75">
      <c r="A402" s="3"/>
      <c r="B402" s="3"/>
      <c r="C402" s="3"/>
      <c r="D402" s="8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2.75">
      <c r="A403" s="3"/>
      <c r="B403" s="3"/>
      <c r="C403" s="3"/>
      <c r="D403" s="8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2.75">
      <c r="A404" s="3"/>
      <c r="B404" s="3"/>
      <c r="C404" s="3"/>
      <c r="D404" s="8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2.75">
      <c r="A405" s="3"/>
      <c r="B405" s="3"/>
      <c r="C405" s="3"/>
      <c r="D405" s="8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2.75">
      <c r="A406" s="3"/>
      <c r="B406" s="3"/>
      <c r="C406" s="3"/>
      <c r="D406" s="8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2.75">
      <c r="A407" s="3"/>
      <c r="B407" s="3"/>
      <c r="C407" s="3"/>
      <c r="D407" s="8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2.75">
      <c r="A408" s="3"/>
      <c r="B408" s="3"/>
      <c r="C408" s="3"/>
      <c r="D408" s="8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2.75">
      <c r="A409" s="3"/>
      <c r="B409" s="3"/>
      <c r="C409" s="3"/>
      <c r="D409" s="8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2.75">
      <c r="A410" s="3"/>
      <c r="B410" s="3"/>
      <c r="C410" s="3"/>
      <c r="D410" s="8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2.75">
      <c r="A411" s="3"/>
      <c r="B411" s="3"/>
      <c r="C411" s="3"/>
      <c r="D411" s="8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2.75">
      <c r="A412" s="3"/>
      <c r="B412" s="3"/>
      <c r="C412" s="3"/>
      <c r="D412" s="8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2.75">
      <c r="A413" s="3"/>
      <c r="B413" s="3"/>
      <c r="C413" s="3"/>
      <c r="D413" s="8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2.75">
      <c r="A414" s="3"/>
      <c r="B414" s="3"/>
      <c r="C414" s="3"/>
      <c r="D414" s="8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2.75">
      <c r="A415" s="3"/>
      <c r="B415" s="3"/>
      <c r="C415" s="3"/>
      <c r="D415" s="8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2.75">
      <c r="A416" s="3"/>
      <c r="B416" s="3"/>
      <c r="C416" s="3"/>
      <c r="D416" s="8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2.75">
      <c r="A417" s="3"/>
      <c r="B417" s="3"/>
      <c r="C417" s="3"/>
      <c r="D417" s="8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2.75">
      <c r="A418" s="3"/>
      <c r="B418" s="3"/>
      <c r="C418" s="3"/>
      <c r="D418" s="8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2.75">
      <c r="A419" s="3"/>
      <c r="B419" s="3"/>
      <c r="C419" s="3"/>
      <c r="D419" s="8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2.75">
      <c r="A420" s="3"/>
      <c r="B420" s="3"/>
      <c r="C420" s="3"/>
      <c r="D420" s="8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2.75">
      <c r="A421" s="3"/>
      <c r="B421" s="3"/>
      <c r="C421" s="3"/>
      <c r="D421" s="8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2.75">
      <c r="A422" s="3"/>
      <c r="B422" s="3"/>
      <c r="C422" s="3"/>
      <c r="D422" s="8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2.75">
      <c r="A423" s="3"/>
      <c r="B423" s="3"/>
      <c r="C423" s="3"/>
      <c r="D423" s="8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2.75">
      <c r="A424" s="3"/>
      <c r="B424" s="3"/>
      <c r="C424" s="3"/>
      <c r="D424" s="8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2.75">
      <c r="A425" s="3"/>
      <c r="B425" s="3"/>
      <c r="C425" s="3"/>
      <c r="D425" s="8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2.75">
      <c r="A426" s="3"/>
      <c r="B426" s="3"/>
      <c r="C426" s="3"/>
      <c r="D426" s="8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2.75">
      <c r="A427" s="3"/>
      <c r="B427" s="3"/>
      <c r="C427" s="3"/>
      <c r="D427" s="8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2.75">
      <c r="A428" s="3"/>
      <c r="B428" s="3"/>
      <c r="C428" s="3"/>
      <c r="D428" s="8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2.75">
      <c r="A429" s="3"/>
      <c r="B429" s="3"/>
      <c r="C429" s="3"/>
      <c r="D429" s="8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2.75">
      <c r="A430" s="3"/>
      <c r="B430" s="3"/>
      <c r="C430" s="3"/>
      <c r="D430" s="8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2.75">
      <c r="A431" s="3"/>
      <c r="B431" s="3"/>
      <c r="C431" s="3"/>
      <c r="D431" s="8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2.75">
      <c r="A432" s="3"/>
      <c r="B432" s="3"/>
      <c r="C432" s="3"/>
      <c r="D432" s="8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2.75">
      <c r="A433" s="3"/>
      <c r="B433" s="3"/>
      <c r="C433" s="3"/>
      <c r="D433" s="8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2.75">
      <c r="A434" s="3"/>
      <c r="B434" s="3"/>
      <c r="C434" s="3"/>
      <c r="D434" s="8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2.75">
      <c r="A435" s="3"/>
      <c r="B435" s="3"/>
      <c r="C435" s="3"/>
      <c r="D435" s="8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2.75">
      <c r="A436" s="3"/>
      <c r="B436" s="3"/>
      <c r="C436" s="3"/>
      <c r="D436" s="8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2.75">
      <c r="A437" s="3"/>
      <c r="B437" s="3"/>
      <c r="C437" s="3"/>
      <c r="D437" s="8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2.75">
      <c r="A438" s="3"/>
      <c r="B438" s="3"/>
      <c r="C438" s="3"/>
      <c r="D438" s="8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2.75">
      <c r="A439" s="3"/>
      <c r="B439" s="3"/>
      <c r="C439" s="3"/>
      <c r="D439" s="8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2.75">
      <c r="A440" s="3"/>
      <c r="B440" s="3"/>
      <c r="C440" s="3"/>
      <c r="D440" s="8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2.75">
      <c r="A441" s="3"/>
      <c r="B441" s="3"/>
      <c r="C441" s="3"/>
      <c r="D441" s="8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2.75">
      <c r="A442" s="3"/>
      <c r="B442" s="3"/>
      <c r="C442" s="3"/>
      <c r="D442" s="8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2.75">
      <c r="A443" s="3"/>
      <c r="B443" s="3"/>
      <c r="C443" s="3"/>
      <c r="D443" s="8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2.75">
      <c r="A444" s="3"/>
      <c r="B444" s="3"/>
      <c r="C444" s="3"/>
      <c r="D444" s="8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2.75">
      <c r="A445" s="3"/>
      <c r="B445" s="3"/>
      <c r="C445" s="3"/>
      <c r="D445" s="8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2.75">
      <c r="A446" s="3"/>
      <c r="B446" s="3"/>
      <c r="C446" s="3"/>
      <c r="D446" s="8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2.75">
      <c r="A447" s="3"/>
      <c r="B447" s="3"/>
      <c r="C447" s="3"/>
      <c r="D447" s="8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2.75">
      <c r="A448" s="3"/>
      <c r="B448" s="3"/>
      <c r="C448" s="3"/>
      <c r="D448" s="8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2.75">
      <c r="A449" s="3"/>
      <c r="B449" s="3"/>
      <c r="C449" s="3"/>
      <c r="D449" s="8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2.75">
      <c r="A450" s="3"/>
      <c r="B450" s="3"/>
      <c r="C450" s="3"/>
      <c r="D450" s="8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2.75">
      <c r="A451" s="3"/>
      <c r="B451" s="3"/>
      <c r="C451" s="3"/>
      <c r="D451" s="8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2.75">
      <c r="A452" s="3"/>
      <c r="B452" s="3"/>
      <c r="C452" s="3"/>
      <c r="D452" s="8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2.75">
      <c r="A453" s="3"/>
      <c r="B453" s="3"/>
      <c r="C453" s="3"/>
      <c r="D453" s="8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2.75">
      <c r="A454" s="3"/>
      <c r="B454" s="3"/>
      <c r="C454" s="3"/>
      <c r="D454" s="8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2.75">
      <c r="A455" s="3"/>
      <c r="B455" s="3"/>
      <c r="C455" s="3"/>
      <c r="D455" s="8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2.75">
      <c r="A456" s="3"/>
      <c r="B456" s="3"/>
      <c r="C456" s="3"/>
      <c r="D456" s="8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2.75">
      <c r="A457" s="3"/>
      <c r="B457" s="3"/>
      <c r="C457" s="3"/>
      <c r="D457" s="8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2.75">
      <c r="A458" s="3"/>
      <c r="B458" s="3"/>
      <c r="C458" s="3"/>
      <c r="D458" s="8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2.75">
      <c r="A459" s="3"/>
      <c r="B459" s="3"/>
      <c r="C459" s="3"/>
      <c r="D459" s="8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2.75">
      <c r="A460" s="3"/>
      <c r="B460" s="3"/>
      <c r="C460" s="3"/>
      <c r="D460" s="8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2.75">
      <c r="A461" s="3"/>
      <c r="B461" s="3"/>
      <c r="C461" s="3"/>
      <c r="D461" s="8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2.75">
      <c r="A462" s="3"/>
      <c r="B462" s="3"/>
      <c r="C462" s="3"/>
      <c r="D462" s="8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2.75">
      <c r="A463" s="3"/>
      <c r="B463" s="3"/>
      <c r="C463" s="3"/>
      <c r="D463" s="8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2.75">
      <c r="A464" s="3"/>
      <c r="B464" s="3"/>
      <c r="C464" s="3"/>
      <c r="D464" s="8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2.75">
      <c r="A465" s="3"/>
      <c r="B465" s="3"/>
      <c r="C465" s="3"/>
      <c r="D465" s="8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2.75">
      <c r="A466" s="3"/>
      <c r="B466" s="3"/>
      <c r="C466" s="3"/>
      <c r="D466" s="8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2.75">
      <c r="A467" s="3"/>
      <c r="B467" s="3"/>
      <c r="C467" s="3"/>
      <c r="D467" s="8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2.75">
      <c r="A468" s="3"/>
      <c r="B468" s="3"/>
      <c r="C468" s="3"/>
      <c r="D468" s="8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2.75">
      <c r="A469" s="3"/>
      <c r="B469" s="3"/>
      <c r="C469" s="3"/>
      <c r="D469" s="8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2.75">
      <c r="A470" s="3"/>
      <c r="B470" s="3"/>
      <c r="C470" s="3"/>
      <c r="D470" s="8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2.75">
      <c r="A471" s="3"/>
      <c r="B471" s="3"/>
      <c r="C471" s="3"/>
      <c r="D471" s="8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2.75">
      <c r="A472" s="3"/>
      <c r="B472" s="3"/>
      <c r="C472" s="3"/>
      <c r="D472" s="8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2.75">
      <c r="A473" s="3"/>
      <c r="B473" s="3"/>
      <c r="C473" s="3"/>
      <c r="D473" s="8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2.75">
      <c r="A474" s="3"/>
      <c r="B474" s="3"/>
      <c r="C474" s="3"/>
      <c r="D474" s="8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2.75">
      <c r="A475" s="3"/>
      <c r="B475" s="3"/>
      <c r="C475" s="3"/>
      <c r="D475" s="8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2.75">
      <c r="A476" s="3"/>
      <c r="B476" s="3"/>
      <c r="C476" s="3"/>
      <c r="D476" s="8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2.75">
      <c r="A477" s="3"/>
      <c r="B477" s="3"/>
      <c r="C477" s="3"/>
      <c r="D477" s="8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2.75">
      <c r="A478" s="3"/>
      <c r="B478" s="3"/>
      <c r="C478" s="3"/>
      <c r="D478" s="8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2.75">
      <c r="A479" s="3"/>
      <c r="B479" s="3"/>
      <c r="C479" s="3"/>
      <c r="D479" s="8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2.75">
      <c r="A480" s="3"/>
      <c r="B480" s="3"/>
      <c r="C480" s="3"/>
      <c r="D480" s="8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2.75">
      <c r="A481" s="3"/>
      <c r="B481" s="3"/>
      <c r="C481" s="3"/>
      <c r="D481" s="8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2.75">
      <c r="A482" s="3"/>
      <c r="B482" s="3"/>
      <c r="C482" s="3"/>
      <c r="D482" s="8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2.75">
      <c r="A483" s="3"/>
      <c r="B483" s="3"/>
      <c r="C483" s="3"/>
      <c r="D483" s="8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2.75">
      <c r="A484" s="3"/>
      <c r="B484" s="3"/>
      <c r="C484" s="3"/>
      <c r="D484" s="8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2.75">
      <c r="A485" s="3"/>
      <c r="B485" s="3"/>
      <c r="C485" s="3"/>
      <c r="D485" s="8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2.75">
      <c r="A486" s="3"/>
      <c r="B486" s="3"/>
      <c r="C486" s="3"/>
      <c r="D486" s="8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2.75">
      <c r="A487" s="3"/>
      <c r="B487" s="3"/>
      <c r="C487" s="3"/>
      <c r="D487" s="8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2.75">
      <c r="A488" s="3"/>
      <c r="B488" s="3"/>
      <c r="C488" s="3"/>
      <c r="D488" s="8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2.75">
      <c r="A489" s="3"/>
      <c r="B489" s="3"/>
      <c r="C489" s="3"/>
      <c r="D489" s="8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2.75">
      <c r="A490" s="3"/>
      <c r="B490" s="3"/>
      <c r="C490" s="3"/>
      <c r="D490" s="8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2.75">
      <c r="A491" s="3"/>
      <c r="B491" s="3"/>
      <c r="C491" s="3"/>
      <c r="D491" s="8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2.75">
      <c r="A492" s="3"/>
      <c r="B492" s="3"/>
      <c r="C492" s="3"/>
      <c r="D492" s="8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2.75">
      <c r="A493" s="3"/>
      <c r="B493" s="3"/>
      <c r="C493" s="3"/>
      <c r="D493" s="8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2.75">
      <c r="A494" s="3"/>
      <c r="B494" s="3"/>
      <c r="C494" s="3"/>
      <c r="D494" s="8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2.75">
      <c r="A495" s="3"/>
      <c r="B495" s="3"/>
      <c r="C495" s="3"/>
      <c r="D495" s="8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2.75">
      <c r="A496" s="3"/>
      <c r="B496" s="3"/>
      <c r="C496" s="3"/>
      <c r="D496" s="8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2.75">
      <c r="A497" s="3"/>
      <c r="B497" s="3"/>
      <c r="C497" s="3"/>
      <c r="D497" s="8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2.75">
      <c r="A498" s="3"/>
      <c r="B498" s="3"/>
      <c r="C498" s="3"/>
      <c r="D498" s="8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2.75">
      <c r="A499" s="3"/>
      <c r="B499" s="3"/>
      <c r="C499" s="3"/>
      <c r="D499" s="8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2.75">
      <c r="A500" s="3"/>
      <c r="B500" s="3"/>
      <c r="C500" s="3"/>
      <c r="D500" s="8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2.75">
      <c r="A501" s="3"/>
      <c r="B501" s="3"/>
      <c r="C501" s="3"/>
      <c r="D501" s="8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2.75">
      <c r="A502" s="3"/>
      <c r="B502" s="3"/>
      <c r="C502" s="3"/>
      <c r="D502" s="8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2.75">
      <c r="A503" s="3"/>
      <c r="B503" s="3"/>
      <c r="C503" s="3"/>
      <c r="D503" s="8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2.75">
      <c r="A504" s="3"/>
      <c r="B504" s="3"/>
      <c r="C504" s="3"/>
      <c r="D504" s="8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2.75">
      <c r="A505" s="3"/>
      <c r="B505" s="3"/>
      <c r="C505" s="3"/>
      <c r="D505" s="8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2.75">
      <c r="A506" s="3"/>
      <c r="B506" s="3"/>
      <c r="C506" s="3"/>
      <c r="D506" s="8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2.75">
      <c r="A507" s="3"/>
      <c r="B507" s="3"/>
      <c r="C507" s="3"/>
      <c r="D507" s="8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2.75">
      <c r="A508" s="3"/>
      <c r="B508" s="3"/>
      <c r="C508" s="3"/>
      <c r="D508" s="8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2.75">
      <c r="A509" s="3"/>
      <c r="B509" s="3"/>
      <c r="C509" s="3"/>
      <c r="D509" s="8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2.75">
      <c r="A510" s="3"/>
      <c r="B510" s="3"/>
      <c r="C510" s="3"/>
      <c r="D510" s="8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2.75">
      <c r="A511" s="3"/>
      <c r="B511" s="3"/>
      <c r="C511" s="3"/>
      <c r="D511" s="8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2.75">
      <c r="A512" s="3"/>
      <c r="B512" s="3"/>
      <c r="C512" s="3"/>
      <c r="D512" s="8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2.75">
      <c r="A513" s="3"/>
      <c r="B513" s="3"/>
      <c r="C513" s="3"/>
      <c r="D513" s="8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2.75">
      <c r="A514" s="3"/>
      <c r="B514" s="3"/>
      <c r="C514" s="3"/>
      <c r="D514" s="8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2.75">
      <c r="A515" s="3"/>
      <c r="B515" s="3"/>
      <c r="C515" s="3"/>
      <c r="D515" s="8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2.75">
      <c r="A516" s="3"/>
      <c r="B516" s="3"/>
      <c r="C516" s="3"/>
      <c r="D516" s="8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2.75">
      <c r="A517" s="3"/>
      <c r="B517" s="3"/>
      <c r="C517" s="3"/>
      <c r="D517" s="8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2.75">
      <c r="A518" s="3"/>
      <c r="B518" s="3"/>
      <c r="C518" s="3"/>
      <c r="D518" s="8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2.75">
      <c r="A519" s="3"/>
      <c r="B519" s="3"/>
      <c r="C519" s="3"/>
      <c r="D519" s="8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2.75">
      <c r="A520" s="3"/>
      <c r="B520" s="3"/>
      <c r="C520" s="3"/>
      <c r="D520" s="8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2.75">
      <c r="A521" s="3"/>
      <c r="B521" s="3"/>
      <c r="C521" s="3"/>
      <c r="D521" s="8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2.75">
      <c r="A522" s="3"/>
      <c r="B522" s="3"/>
      <c r="C522" s="3"/>
      <c r="D522" s="8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2.75">
      <c r="A523" s="3"/>
      <c r="B523" s="3"/>
      <c r="C523" s="3"/>
      <c r="D523" s="8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2.75">
      <c r="A524" s="3"/>
      <c r="B524" s="3"/>
      <c r="C524" s="3"/>
      <c r="D524" s="8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2.75">
      <c r="A525" s="3"/>
      <c r="B525" s="3"/>
      <c r="C525" s="3"/>
      <c r="D525" s="8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2.75">
      <c r="A526" s="3"/>
      <c r="B526" s="3"/>
      <c r="C526" s="3"/>
      <c r="D526" s="8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2.75">
      <c r="A527" s="3"/>
      <c r="B527" s="3"/>
      <c r="C527" s="3"/>
      <c r="D527" s="8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2.75">
      <c r="A528" s="3"/>
      <c r="B528" s="3"/>
      <c r="C528" s="3"/>
      <c r="D528" s="8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2.75">
      <c r="A529" s="3"/>
      <c r="B529" s="3"/>
      <c r="C529" s="3"/>
      <c r="D529" s="8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2.75">
      <c r="A530" s="3"/>
      <c r="B530" s="3"/>
      <c r="C530" s="3"/>
      <c r="D530" s="8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2.75">
      <c r="A531" s="3"/>
      <c r="B531" s="3"/>
      <c r="C531" s="3"/>
      <c r="D531" s="8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2.75">
      <c r="A532" s="3"/>
      <c r="B532" s="3"/>
      <c r="C532" s="3"/>
      <c r="D532" s="8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2.75">
      <c r="A533" s="3"/>
      <c r="B533" s="3"/>
      <c r="C533" s="3"/>
      <c r="D533" s="8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2.75">
      <c r="A534" s="3"/>
      <c r="B534" s="3"/>
      <c r="C534" s="3"/>
      <c r="D534" s="8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2.75">
      <c r="A535" s="3"/>
      <c r="B535" s="3"/>
      <c r="C535" s="3"/>
      <c r="D535" s="8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2.75">
      <c r="A536" s="3"/>
      <c r="B536" s="3"/>
      <c r="C536" s="3"/>
      <c r="D536" s="8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2.75">
      <c r="A537" s="3"/>
      <c r="B537" s="3"/>
      <c r="C537" s="3"/>
      <c r="D537" s="8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2.75">
      <c r="A538" s="3"/>
      <c r="B538" s="3"/>
      <c r="C538" s="3"/>
      <c r="D538" s="8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2.75">
      <c r="A539" s="3"/>
      <c r="B539" s="3"/>
      <c r="C539" s="3"/>
      <c r="D539" s="8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2.75">
      <c r="A540" s="3"/>
      <c r="B540" s="3"/>
      <c r="C540" s="3"/>
      <c r="D540" s="8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2.75">
      <c r="A541" s="3"/>
      <c r="B541" s="3"/>
      <c r="C541" s="3"/>
      <c r="D541" s="8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2.75">
      <c r="A542" s="3"/>
      <c r="B542" s="3"/>
      <c r="C542" s="3"/>
      <c r="D542" s="8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2.75">
      <c r="A543" s="3"/>
      <c r="B543" s="3"/>
      <c r="C543" s="3"/>
      <c r="D543" s="8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2.75">
      <c r="A544" s="3"/>
      <c r="B544" s="3"/>
      <c r="C544" s="3"/>
      <c r="D544" s="8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2.75">
      <c r="A545" s="3"/>
      <c r="B545" s="3"/>
      <c r="C545" s="3"/>
      <c r="D545" s="8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2.75">
      <c r="A546" s="3"/>
      <c r="B546" s="3"/>
      <c r="C546" s="3"/>
      <c r="D546" s="8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2.75">
      <c r="A547" s="3"/>
      <c r="B547" s="3"/>
      <c r="C547" s="3"/>
      <c r="D547" s="8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2.75">
      <c r="A548" s="3"/>
      <c r="B548" s="3"/>
      <c r="C548" s="3"/>
      <c r="D548" s="8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2.75">
      <c r="A549" s="3"/>
      <c r="B549" s="3"/>
      <c r="C549" s="3"/>
      <c r="D549" s="8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2.75">
      <c r="A550" s="3"/>
      <c r="B550" s="3"/>
      <c r="C550" s="3"/>
      <c r="D550" s="8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2.75">
      <c r="A551" s="3"/>
      <c r="B551" s="3"/>
      <c r="C551" s="3"/>
      <c r="D551" s="8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2.75">
      <c r="A552" s="3"/>
      <c r="B552" s="3"/>
      <c r="C552" s="3"/>
      <c r="D552" s="8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2.75">
      <c r="A553" s="3"/>
      <c r="B553" s="3"/>
      <c r="C553" s="3"/>
      <c r="D553" s="8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2.75">
      <c r="A554" s="3"/>
      <c r="B554" s="3"/>
      <c r="C554" s="3"/>
      <c r="D554" s="8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2.75">
      <c r="A555" s="3"/>
      <c r="B555" s="3"/>
      <c r="C555" s="3"/>
      <c r="D555" s="8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2.75">
      <c r="A556" s="3"/>
      <c r="B556" s="3"/>
      <c r="C556" s="3"/>
      <c r="D556" s="8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2.75">
      <c r="A557" s="3"/>
      <c r="B557" s="3"/>
      <c r="C557" s="3"/>
      <c r="D557" s="8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2.75">
      <c r="A558" s="3"/>
      <c r="B558" s="3"/>
      <c r="C558" s="3"/>
      <c r="D558" s="8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2.75">
      <c r="A559" s="3"/>
      <c r="B559" s="3"/>
      <c r="C559" s="3"/>
      <c r="D559" s="8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2.75">
      <c r="A560" s="3"/>
      <c r="B560" s="3"/>
      <c r="C560" s="3"/>
      <c r="D560" s="8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2.75">
      <c r="A561" s="3"/>
      <c r="B561" s="3"/>
      <c r="C561" s="3"/>
      <c r="D561" s="8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2.75">
      <c r="A562" s="3"/>
      <c r="B562" s="3"/>
      <c r="C562" s="3"/>
      <c r="D562" s="8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2.75">
      <c r="A563" s="3"/>
      <c r="B563" s="3"/>
      <c r="C563" s="3"/>
      <c r="D563" s="8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2.75">
      <c r="A564" s="3"/>
      <c r="B564" s="3"/>
      <c r="C564" s="3"/>
      <c r="D564" s="8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2.75">
      <c r="A565" s="3"/>
      <c r="B565" s="3"/>
      <c r="C565" s="3"/>
      <c r="D565" s="8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2.75">
      <c r="A566" s="3"/>
      <c r="B566" s="3"/>
      <c r="C566" s="3"/>
      <c r="D566" s="8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2.75">
      <c r="A567" s="3"/>
      <c r="B567" s="3"/>
      <c r="C567" s="3"/>
      <c r="D567" s="8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2.75">
      <c r="A568" s="3"/>
      <c r="B568" s="3"/>
      <c r="C568" s="3"/>
      <c r="D568" s="8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2.75">
      <c r="A569" s="3"/>
      <c r="B569" s="3"/>
      <c r="C569" s="3"/>
      <c r="D569" s="8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2.75">
      <c r="A570" s="3"/>
      <c r="B570" s="3"/>
      <c r="C570" s="3"/>
      <c r="D570" s="8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2.75">
      <c r="A571" s="3"/>
      <c r="B571" s="3"/>
      <c r="C571" s="3"/>
      <c r="D571" s="8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2.75">
      <c r="A572" s="3"/>
      <c r="B572" s="3"/>
      <c r="C572" s="3"/>
      <c r="D572" s="8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2.75">
      <c r="A573" s="3"/>
      <c r="B573" s="3"/>
      <c r="C573" s="3"/>
      <c r="D573" s="8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2.75">
      <c r="A574" s="3"/>
      <c r="B574" s="3"/>
      <c r="C574" s="3"/>
      <c r="D574" s="8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2.75">
      <c r="A575" s="3"/>
      <c r="B575" s="3"/>
      <c r="C575" s="3"/>
      <c r="D575" s="8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2.75">
      <c r="A576" s="3"/>
      <c r="B576" s="3"/>
      <c r="C576" s="3"/>
      <c r="D576" s="8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2.75">
      <c r="A577" s="3"/>
      <c r="B577" s="3"/>
      <c r="C577" s="3"/>
      <c r="D577" s="8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2.75">
      <c r="A578" s="3"/>
      <c r="B578" s="3"/>
      <c r="C578" s="3"/>
      <c r="D578" s="8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2.75">
      <c r="A579" s="3"/>
      <c r="B579" s="3"/>
      <c r="C579" s="3"/>
      <c r="D579" s="8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2.75">
      <c r="A580" s="3"/>
      <c r="B580" s="3"/>
      <c r="C580" s="3"/>
      <c r="D580" s="8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2.75">
      <c r="A581" s="3"/>
      <c r="B581" s="3"/>
      <c r="C581" s="3"/>
      <c r="D581" s="8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2.75">
      <c r="A582" s="3"/>
      <c r="B582" s="3"/>
      <c r="C582" s="3"/>
      <c r="D582" s="8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2.75">
      <c r="A583" s="3"/>
      <c r="B583" s="3"/>
      <c r="C583" s="3"/>
      <c r="D583" s="8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2.75">
      <c r="A584" s="3"/>
      <c r="B584" s="3"/>
      <c r="C584" s="3"/>
      <c r="D584" s="8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2.75">
      <c r="A585" s="3"/>
      <c r="B585" s="3"/>
      <c r="C585" s="3"/>
      <c r="D585" s="8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2.75">
      <c r="A586" s="3"/>
      <c r="B586" s="3"/>
      <c r="C586" s="3"/>
      <c r="D586" s="8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2.75">
      <c r="A587" s="3"/>
      <c r="B587" s="3"/>
      <c r="C587" s="3"/>
      <c r="D587" s="8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2.75">
      <c r="A588" s="3"/>
      <c r="B588" s="3"/>
      <c r="C588" s="3"/>
      <c r="D588" s="8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2.75">
      <c r="A589" s="3"/>
      <c r="B589" s="3"/>
      <c r="C589" s="3"/>
      <c r="D589" s="8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2.75">
      <c r="A590" s="3"/>
      <c r="B590" s="3"/>
      <c r="C590" s="3"/>
      <c r="D590" s="8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2.75">
      <c r="A591" s="3"/>
      <c r="B591" s="3"/>
      <c r="C591" s="3"/>
      <c r="D591" s="8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2.75">
      <c r="A592" s="3"/>
      <c r="B592" s="3"/>
      <c r="C592" s="3"/>
      <c r="D592" s="8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2.75">
      <c r="A593" s="3"/>
      <c r="B593" s="3"/>
      <c r="C593" s="3"/>
      <c r="D593" s="8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2.75">
      <c r="A594" s="3"/>
      <c r="B594" s="3"/>
      <c r="C594" s="3"/>
      <c r="D594" s="8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2.75">
      <c r="A595" s="3"/>
      <c r="B595" s="3"/>
      <c r="C595" s="3"/>
      <c r="D595" s="8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2.75">
      <c r="A596" s="3"/>
      <c r="B596" s="3"/>
      <c r="C596" s="3"/>
      <c r="D596" s="8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2.75">
      <c r="A597" s="3"/>
      <c r="B597" s="3"/>
      <c r="C597" s="3"/>
      <c r="D597" s="8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2.75">
      <c r="A598" s="3"/>
      <c r="B598" s="3"/>
      <c r="C598" s="3"/>
      <c r="D598" s="8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2.75">
      <c r="A599" s="3"/>
      <c r="B599" s="3"/>
      <c r="C599" s="3"/>
      <c r="D599" s="8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2.75">
      <c r="A600" s="3"/>
      <c r="B600" s="3"/>
      <c r="C600" s="3"/>
      <c r="D600" s="8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2.75">
      <c r="A601" s="3"/>
      <c r="B601" s="3"/>
      <c r="C601" s="3"/>
      <c r="D601" s="8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2.75">
      <c r="A602" s="3"/>
      <c r="B602" s="3"/>
      <c r="C602" s="3"/>
      <c r="D602" s="8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2.75">
      <c r="A603" s="3"/>
      <c r="B603" s="3"/>
      <c r="C603" s="3"/>
      <c r="D603" s="8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2.75">
      <c r="A604" s="3"/>
      <c r="B604" s="3"/>
      <c r="C604" s="3"/>
      <c r="D604" s="8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2.75">
      <c r="A605" s="3"/>
      <c r="B605" s="3"/>
      <c r="C605" s="3"/>
      <c r="D605" s="8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2.75">
      <c r="A606" s="3"/>
      <c r="B606" s="3"/>
      <c r="C606" s="3"/>
      <c r="D606" s="8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2.75">
      <c r="A607" s="3"/>
      <c r="B607" s="3"/>
      <c r="C607" s="3"/>
      <c r="D607" s="8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2.75">
      <c r="A608" s="3"/>
      <c r="B608" s="3"/>
      <c r="C608" s="3"/>
      <c r="D608" s="8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2.75">
      <c r="A609" s="3"/>
      <c r="B609" s="3"/>
      <c r="C609" s="3"/>
      <c r="D609" s="8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2.75">
      <c r="A610" s="3"/>
      <c r="B610" s="3"/>
      <c r="C610" s="3"/>
      <c r="D610" s="8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2.75">
      <c r="A611" s="3"/>
      <c r="B611" s="3"/>
      <c r="C611" s="3"/>
      <c r="D611" s="8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2.75">
      <c r="A612" s="3"/>
      <c r="B612" s="3"/>
      <c r="C612" s="3"/>
      <c r="D612" s="8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2.75">
      <c r="A613" s="3"/>
      <c r="B613" s="3"/>
      <c r="C613" s="3"/>
      <c r="D613" s="8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2.75">
      <c r="A614" s="3"/>
      <c r="B614" s="3"/>
      <c r="C614" s="3"/>
      <c r="D614" s="8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2.75">
      <c r="A615" s="3"/>
      <c r="B615" s="3"/>
      <c r="C615" s="3"/>
      <c r="D615" s="8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2.75">
      <c r="A616" s="3"/>
      <c r="B616" s="3"/>
      <c r="C616" s="3"/>
      <c r="D616" s="8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2.75">
      <c r="A617" s="3"/>
      <c r="B617" s="3"/>
      <c r="C617" s="3"/>
      <c r="D617" s="8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2.75">
      <c r="A618" s="3"/>
      <c r="B618" s="3"/>
      <c r="C618" s="3"/>
      <c r="D618" s="8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2.75">
      <c r="A619" s="3"/>
      <c r="B619" s="3"/>
      <c r="C619" s="3"/>
      <c r="D619" s="8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2.75">
      <c r="A620" s="3"/>
      <c r="B620" s="3"/>
      <c r="C620" s="3"/>
      <c r="D620" s="8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2.75">
      <c r="A621" s="3"/>
      <c r="B621" s="3"/>
      <c r="C621" s="3"/>
      <c r="D621" s="8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2.75">
      <c r="A622" s="3"/>
      <c r="B622" s="3"/>
      <c r="C622" s="3"/>
      <c r="D622" s="8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2.75">
      <c r="A623" s="3"/>
      <c r="B623" s="3"/>
      <c r="C623" s="3"/>
      <c r="D623" s="8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2.75">
      <c r="A624" s="3"/>
      <c r="B624" s="3"/>
      <c r="C624" s="3"/>
      <c r="D624" s="8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2.75">
      <c r="A625" s="3"/>
      <c r="B625" s="3"/>
      <c r="C625" s="3"/>
      <c r="D625" s="8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2.75">
      <c r="A626" s="3"/>
      <c r="B626" s="3"/>
      <c r="C626" s="3"/>
      <c r="D626" s="8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2.75">
      <c r="A627" s="3"/>
      <c r="B627" s="3"/>
      <c r="C627" s="3"/>
      <c r="D627" s="8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2.75">
      <c r="A628" s="3"/>
      <c r="B628" s="3"/>
      <c r="C628" s="3"/>
      <c r="D628" s="8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2.75">
      <c r="A629" s="3"/>
      <c r="B629" s="3"/>
      <c r="C629" s="3"/>
      <c r="D629" s="8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2.75">
      <c r="A630" s="3"/>
      <c r="B630" s="3"/>
      <c r="C630" s="3"/>
      <c r="D630" s="8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2.75">
      <c r="A631" s="3"/>
      <c r="B631" s="3"/>
      <c r="C631" s="3"/>
      <c r="D631" s="8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2.75">
      <c r="A632" s="3"/>
      <c r="B632" s="3"/>
      <c r="C632" s="3"/>
      <c r="D632" s="8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2.75">
      <c r="A633" s="3"/>
      <c r="B633" s="3"/>
      <c r="C633" s="3"/>
      <c r="D633" s="8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2.75">
      <c r="A634" s="3"/>
      <c r="B634" s="3"/>
      <c r="C634" s="3"/>
      <c r="D634" s="8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2.75">
      <c r="A635" s="3"/>
      <c r="B635" s="3"/>
      <c r="C635" s="3"/>
      <c r="D635" s="8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2.75">
      <c r="A636" s="3"/>
      <c r="B636" s="3"/>
      <c r="C636" s="3"/>
      <c r="D636" s="8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2.75">
      <c r="A637" s="3"/>
      <c r="B637" s="3"/>
      <c r="C637" s="3"/>
      <c r="D637" s="8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2.75">
      <c r="A638" s="3"/>
      <c r="B638" s="3"/>
      <c r="C638" s="3"/>
      <c r="D638" s="8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2.75">
      <c r="A639" s="3"/>
      <c r="B639" s="3"/>
      <c r="C639" s="3"/>
      <c r="D639" s="8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2.75">
      <c r="A640" s="3"/>
      <c r="B640" s="3"/>
      <c r="C640" s="3"/>
      <c r="D640" s="8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2.75">
      <c r="A641" s="3"/>
      <c r="B641" s="3"/>
      <c r="C641" s="3"/>
      <c r="D641" s="8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2.75">
      <c r="A642" s="3"/>
      <c r="B642" s="3"/>
      <c r="C642" s="3"/>
      <c r="D642" s="8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2.75">
      <c r="A643" s="3"/>
      <c r="B643" s="3"/>
      <c r="C643" s="3"/>
      <c r="D643" s="8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2.75">
      <c r="A644" s="3"/>
      <c r="B644" s="3"/>
      <c r="C644" s="3"/>
      <c r="D644" s="8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2.75">
      <c r="A645" s="3"/>
      <c r="B645" s="3"/>
      <c r="C645" s="3"/>
      <c r="D645" s="8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2.75">
      <c r="A646" s="3"/>
      <c r="B646" s="3"/>
      <c r="C646" s="3"/>
      <c r="D646" s="8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2.75">
      <c r="A647" s="3"/>
      <c r="B647" s="3"/>
      <c r="C647" s="3"/>
      <c r="D647" s="8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2.75">
      <c r="A648" s="3"/>
      <c r="B648" s="3"/>
      <c r="C648" s="3"/>
      <c r="D648" s="8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2.75">
      <c r="A649" s="3"/>
      <c r="B649" s="3"/>
      <c r="C649" s="3"/>
      <c r="D649" s="8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2.75">
      <c r="A650" s="3"/>
      <c r="B650" s="3"/>
      <c r="C650" s="3"/>
      <c r="D650" s="8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2.75">
      <c r="A651" s="3"/>
      <c r="B651" s="3"/>
      <c r="C651" s="3"/>
      <c r="D651" s="8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2.75">
      <c r="A652" s="3"/>
      <c r="B652" s="3"/>
      <c r="C652" s="3"/>
      <c r="D652" s="8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2.75">
      <c r="A653" s="3"/>
      <c r="B653" s="3"/>
      <c r="C653" s="3"/>
      <c r="D653" s="8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2.75">
      <c r="A654" s="3"/>
      <c r="B654" s="3"/>
      <c r="C654" s="3"/>
      <c r="D654" s="8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2.75">
      <c r="A655" s="3"/>
      <c r="B655" s="3"/>
      <c r="C655" s="3"/>
      <c r="D655" s="8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2.75">
      <c r="A656" s="3"/>
      <c r="B656" s="3"/>
      <c r="C656" s="3"/>
      <c r="D656" s="8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2.75">
      <c r="A657" s="3"/>
      <c r="B657" s="3"/>
      <c r="C657" s="3"/>
      <c r="D657" s="8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2.75">
      <c r="A658" s="3"/>
      <c r="B658" s="3"/>
      <c r="C658" s="3"/>
      <c r="D658" s="8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2.75">
      <c r="A659" s="3"/>
      <c r="B659" s="3"/>
      <c r="C659" s="3"/>
      <c r="D659" s="8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2.75">
      <c r="A660" s="3"/>
      <c r="B660" s="3"/>
      <c r="C660" s="3"/>
      <c r="D660" s="8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2.75">
      <c r="A661" s="3"/>
      <c r="B661" s="3"/>
      <c r="C661" s="3"/>
      <c r="D661" s="8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2.75">
      <c r="A662" s="3"/>
      <c r="B662" s="3"/>
      <c r="C662" s="3"/>
      <c r="D662" s="8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2.75">
      <c r="A663" s="3"/>
      <c r="B663" s="3"/>
      <c r="C663" s="3"/>
      <c r="D663" s="8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2.75">
      <c r="A664" s="3"/>
      <c r="B664" s="3"/>
      <c r="C664" s="3"/>
      <c r="D664" s="8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2.75">
      <c r="A665" s="3"/>
      <c r="B665" s="3"/>
      <c r="C665" s="3"/>
      <c r="D665" s="8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2.75">
      <c r="A666" s="3"/>
      <c r="B666" s="3"/>
      <c r="C666" s="3"/>
      <c r="D666" s="8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2.75">
      <c r="A667" s="3"/>
      <c r="B667" s="3"/>
      <c r="C667" s="3"/>
      <c r="D667" s="8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2.75">
      <c r="A668" s="3"/>
      <c r="B668" s="3"/>
      <c r="C668" s="3"/>
      <c r="D668" s="8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2.75">
      <c r="A669" s="3"/>
      <c r="B669" s="3"/>
      <c r="C669" s="3"/>
      <c r="D669" s="8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2.75">
      <c r="A670" s="3"/>
      <c r="B670" s="3"/>
      <c r="C670" s="3"/>
      <c r="D670" s="8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2.75">
      <c r="A671" s="3"/>
      <c r="B671" s="3"/>
      <c r="C671" s="3"/>
      <c r="D671" s="8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2.75">
      <c r="A672" s="3"/>
      <c r="B672" s="3"/>
      <c r="C672" s="3"/>
      <c r="D672" s="8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2.75">
      <c r="A673" s="3"/>
      <c r="B673" s="3"/>
      <c r="C673" s="3"/>
      <c r="D673" s="8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2.75">
      <c r="A674" s="3"/>
      <c r="B674" s="3"/>
      <c r="C674" s="3"/>
      <c r="D674" s="8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2.75">
      <c r="A675" s="3"/>
      <c r="B675" s="3"/>
      <c r="C675" s="3"/>
      <c r="D675" s="8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2.75">
      <c r="A676" s="3"/>
      <c r="B676" s="3"/>
      <c r="C676" s="3"/>
      <c r="D676" s="8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2.75">
      <c r="A677" s="3"/>
      <c r="B677" s="3"/>
      <c r="C677" s="3"/>
      <c r="D677" s="8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2.75">
      <c r="A678" s="3"/>
      <c r="B678" s="3"/>
      <c r="C678" s="3"/>
      <c r="D678" s="8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2.75">
      <c r="A679" s="3"/>
      <c r="B679" s="3"/>
      <c r="C679" s="3"/>
      <c r="D679" s="8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2.75">
      <c r="A680" s="3"/>
      <c r="B680" s="3"/>
      <c r="C680" s="3"/>
      <c r="D680" s="8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2.75">
      <c r="A681" s="3"/>
      <c r="B681" s="3"/>
      <c r="C681" s="3"/>
      <c r="D681" s="8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2.75">
      <c r="A682" s="3"/>
      <c r="B682" s="3"/>
      <c r="C682" s="3"/>
      <c r="D682" s="8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2.75">
      <c r="A683" s="3"/>
      <c r="B683" s="3"/>
      <c r="C683" s="3"/>
      <c r="D683" s="8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2.75">
      <c r="A684" s="3"/>
      <c r="B684" s="3"/>
      <c r="C684" s="3"/>
      <c r="D684" s="8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2.75">
      <c r="A685" s="3"/>
      <c r="B685" s="3"/>
      <c r="C685" s="3"/>
      <c r="D685" s="8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2.75">
      <c r="A686" s="3"/>
      <c r="B686" s="3"/>
      <c r="C686" s="3"/>
      <c r="D686" s="8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2.75">
      <c r="A687" s="3"/>
      <c r="B687" s="3"/>
      <c r="C687" s="3"/>
      <c r="D687" s="8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2.75">
      <c r="A688" s="3"/>
      <c r="B688" s="3"/>
      <c r="C688" s="3"/>
      <c r="D688" s="8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2.75">
      <c r="A689" s="3"/>
      <c r="B689" s="3"/>
      <c r="C689" s="3"/>
      <c r="D689" s="8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2.75">
      <c r="A690" s="3"/>
      <c r="B690" s="3"/>
      <c r="C690" s="3"/>
      <c r="D690" s="8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2.75">
      <c r="A691" s="3"/>
      <c r="B691" s="3"/>
      <c r="C691" s="3"/>
      <c r="D691" s="8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2.75">
      <c r="A692" s="3"/>
      <c r="B692" s="3"/>
      <c r="C692" s="3"/>
      <c r="D692" s="8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2.75">
      <c r="A693" s="3"/>
      <c r="B693" s="3"/>
      <c r="C693" s="3"/>
      <c r="D693" s="8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2.75">
      <c r="A694" s="3"/>
      <c r="B694" s="3"/>
      <c r="C694" s="3"/>
      <c r="D694" s="8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2.75">
      <c r="A695" s="3"/>
      <c r="B695" s="3"/>
      <c r="C695" s="3"/>
      <c r="D695" s="8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2.75">
      <c r="A696" s="3"/>
      <c r="B696" s="3"/>
      <c r="C696" s="3"/>
      <c r="D696" s="8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2.75">
      <c r="A697" s="3"/>
      <c r="B697" s="3"/>
      <c r="C697" s="3"/>
      <c r="D697" s="8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2.75">
      <c r="A698" s="3"/>
      <c r="B698" s="3"/>
      <c r="C698" s="3"/>
      <c r="D698" s="8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2.75">
      <c r="A699" s="3"/>
      <c r="B699" s="3"/>
      <c r="C699" s="3"/>
      <c r="D699" s="8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2.75">
      <c r="A700" s="3"/>
      <c r="B700" s="3"/>
      <c r="C700" s="3"/>
      <c r="D700" s="8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2.75">
      <c r="A701" s="3"/>
      <c r="B701" s="3"/>
      <c r="C701" s="3"/>
      <c r="D701" s="8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2.75">
      <c r="A702" s="3"/>
      <c r="B702" s="3"/>
      <c r="C702" s="3"/>
      <c r="D702" s="8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2.75">
      <c r="A703" s="3"/>
      <c r="B703" s="3"/>
      <c r="C703" s="3"/>
      <c r="D703" s="8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2.75">
      <c r="A704" s="3"/>
      <c r="B704" s="3"/>
      <c r="C704" s="3"/>
      <c r="D704" s="8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2.75">
      <c r="A705" s="3"/>
      <c r="B705" s="3"/>
      <c r="C705" s="3"/>
      <c r="D705" s="8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2.75">
      <c r="A706" s="3"/>
      <c r="B706" s="3"/>
      <c r="C706" s="3"/>
      <c r="D706" s="8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2.75">
      <c r="A707" s="3"/>
      <c r="B707" s="3"/>
      <c r="C707" s="3"/>
      <c r="D707" s="8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2.75">
      <c r="A708" s="3"/>
      <c r="B708" s="3"/>
      <c r="C708" s="3"/>
      <c r="D708" s="8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2.75">
      <c r="A709" s="3"/>
      <c r="B709" s="3"/>
      <c r="C709" s="3"/>
      <c r="D709" s="8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2.75">
      <c r="A710" s="3"/>
      <c r="B710" s="3"/>
      <c r="C710" s="3"/>
      <c r="D710" s="8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2.75">
      <c r="A711" s="3"/>
      <c r="B711" s="3"/>
      <c r="C711" s="3"/>
      <c r="D711" s="8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2.75">
      <c r="A712" s="3"/>
      <c r="B712" s="3"/>
      <c r="C712" s="3"/>
      <c r="D712" s="8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2.75">
      <c r="A713" s="3"/>
      <c r="B713" s="3"/>
      <c r="C713" s="3"/>
      <c r="D713" s="8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2.75">
      <c r="A714" s="3"/>
      <c r="B714" s="3"/>
      <c r="C714" s="3"/>
      <c r="D714" s="8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2.75">
      <c r="A715" s="3"/>
      <c r="B715" s="3"/>
      <c r="C715" s="3"/>
      <c r="D715" s="8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2.75">
      <c r="A716" s="3"/>
      <c r="B716" s="3"/>
      <c r="C716" s="3"/>
      <c r="D716" s="8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2.75">
      <c r="A717" s="3"/>
      <c r="B717" s="3"/>
      <c r="C717" s="3"/>
      <c r="D717" s="8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2.75">
      <c r="A718" s="3"/>
      <c r="B718" s="3"/>
      <c r="C718" s="3"/>
      <c r="D718" s="8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2.75">
      <c r="A719" s="3"/>
      <c r="B719" s="3"/>
      <c r="C719" s="3"/>
      <c r="D719" s="8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2.75">
      <c r="A720" s="3"/>
      <c r="B720" s="3"/>
      <c r="C720" s="3"/>
      <c r="D720" s="8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2.75">
      <c r="A721" s="3"/>
      <c r="B721" s="3"/>
      <c r="C721" s="3"/>
      <c r="D721" s="8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2.75">
      <c r="A722" s="3"/>
      <c r="B722" s="3"/>
      <c r="C722" s="3"/>
      <c r="D722" s="8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2.75">
      <c r="A723" s="3"/>
      <c r="B723" s="3"/>
      <c r="C723" s="3"/>
      <c r="D723" s="8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2.75">
      <c r="A724" s="3"/>
      <c r="B724" s="3"/>
      <c r="C724" s="3"/>
      <c r="D724" s="8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2.75">
      <c r="A725" s="3"/>
      <c r="B725" s="3"/>
      <c r="C725" s="3"/>
      <c r="D725" s="8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2.75">
      <c r="A726" s="3"/>
      <c r="B726" s="3"/>
      <c r="C726" s="3"/>
      <c r="D726" s="8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2.75">
      <c r="A727" s="3"/>
      <c r="B727" s="3"/>
      <c r="C727" s="3"/>
      <c r="D727" s="8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2.75">
      <c r="A728" s="3"/>
      <c r="B728" s="3"/>
      <c r="C728" s="3"/>
      <c r="D728" s="8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2.75">
      <c r="A729" s="3"/>
      <c r="B729" s="3"/>
      <c r="C729" s="3"/>
      <c r="D729" s="8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2.75">
      <c r="A730" s="3"/>
      <c r="B730" s="3"/>
      <c r="C730" s="3"/>
      <c r="D730" s="8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2.75">
      <c r="A731" s="3"/>
      <c r="B731" s="3"/>
      <c r="C731" s="3"/>
      <c r="D731" s="8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2.75">
      <c r="A732" s="3"/>
      <c r="B732" s="3"/>
      <c r="C732" s="3"/>
      <c r="D732" s="8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2.75">
      <c r="A733" s="3"/>
      <c r="B733" s="3"/>
      <c r="C733" s="3"/>
      <c r="D733" s="8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2.75">
      <c r="A734" s="3"/>
      <c r="B734" s="3"/>
      <c r="C734" s="3"/>
      <c r="D734" s="8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2.75">
      <c r="A735" s="3"/>
      <c r="B735" s="3"/>
      <c r="C735" s="3"/>
      <c r="D735" s="8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2.75">
      <c r="A736" s="3"/>
      <c r="B736" s="3"/>
      <c r="C736" s="3"/>
      <c r="D736" s="8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2.75">
      <c r="A737" s="3"/>
      <c r="B737" s="3"/>
      <c r="C737" s="3"/>
      <c r="D737" s="8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2.75">
      <c r="A738" s="3"/>
      <c r="B738" s="3"/>
      <c r="C738" s="3"/>
      <c r="D738" s="8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2.75">
      <c r="A739" s="3"/>
      <c r="B739" s="3"/>
      <c r="C739" s="3"/>
      <c r="D739" s="8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2.75">
      <c r="A740" s="3"/>
      <c r="B740" s="3"/>
      <c r="C740" s="3"/>
      <c r="D740" s="8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2.75">
      <c r="A741" s="3"/>
      <c r="B741" s="3"/>
      <c r="C741" s="3"/>
      <c r="D741" s="8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2.75">
      <c r="A742" s="3"/>
      <c r="B742" s="3"/>
      <c r="C742" s="3"/>
      <c r="D742" s="8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2.75">
      <c r="A743" s="3"/>
      <c r="B743" s="3"/>
      <c r="C743" s="3"/>
      <c r="D743" s="8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2.75">
      <c r="A744" s="3"/>
      <c r="B744" s="3"/>
      <c r="C744" s="3"/>
      <c r="D744" s="8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2.75">
      <c r="A745" s="3"/>
      <c r="B745" s="3"/>
      <c r="C745" s="3"/>
      <c r="D745" s="8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2.75">
      <c r="A746" s="3"/>
      <c r="B746" s="3"/>
      <c r="C746" s="3"/>
      <c r="D746" s="8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2.75">
      <c r="A747" s="3"/>
      <c r="B747" s="3"/>
      <c r="C747" s="3"/>
      <c r="D747" s="8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2.75">
      <c r="A748" s="3"/>
      <c r="B748" s="3"/>
      <c r="C748" s="3"/>
      <c r="D748" s="8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2.75">
      <c r="A749" s="3"/>
      <c r="B749" s="3"/>
      <c r="C749" s="3"/>
      <c r="D749" s="8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2.75">
      <c r="A750" s="3"/>
      <c r="B750" s="3"/>
      <c r="C750" s="3"/>
      <c r="D750" s="8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2.75">
      <c r="A751" s="3"/>
      <c r="B751" s="3"/>
      <c r="C751" s="3"/>
      <c r="D751" s="8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2.75">
      <c r="A752" s="3"/>
      <c r="B752" s="3"/>
      <c r="C752" s="3"/>
      <c r="D752" s="8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2.75">
      <c r="A753" s="3"/>
      <c r="B753" s="3"/>
      <c r="C753" s="3"/>
      <c r="D753" s="8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2.75">
      <c r="A754" s="3"/>
      <c r="B754" s="3"/>
      <c r="C754" s="3"/>
      <c r="D754" s="8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2.75">
      <c r="A755" s="3"/>
      <c r="B755" s="3"/>
      <c r="C755" s="3"/>
      <c r="D755" s="8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2.75">
      <c r="A756" s="3"/>
      <c r="B756" s="3"/>
      <c r="C756" s="3"/>
      <c r="D756" s="8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2.75">
      <c r="A757" s="3"/>
      <c r="B757" s="3"/>
      <c r="C757" s="3"/>
      <c r="D757" s="8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2.75">
      <c r="A758" s="3"/>
      <c r="B758" s="3"/>
      <c r="C758" s="3"/>
      <c r="D758" s="8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2.75">
      <c r="A759" s="3"/>
      <c r="B759" s="3"/>
      <c r="C759" s="3"/>
      <c r="D759" s="8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2.75">
      <c r="A760" s="3"/>
      <c r="B760" s="3"/>
      <c r="C760" s="3"/>
      <c r="D760" s="8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2.75">
      <c r="A761" s="3"/>
      <c r="B761" s="3"/>
      <c r="C761" s="3"/>
      <c r="D761" s="8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2.75">
      <c r="A762" s="3"/>
      <c r="B762" s="3"/>
      <c r="C762" s="3"/>
      <c r="D762" s="8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2.75">
      <c r="A763" s="3"/>
      <c r="B763" s="3"/>
      <c r="C763" s="3"/>
      <c r="D763" s="8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2.75">
      <c r="A764" s="3"/>
      <c r="B764" s="3"/>
      <c r="C764" s="3"/>
      <c r="D764" s="8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2.75">
      <c r="A765" s="3"/>
      <c r="B765" s="3"/>
      <c r="C765" s="3"/>
      <c r="D765" s="8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2.75">
      <c r="A766" s="3"/>
      <c r="B766" s="3"/>
      <c r="C766" s="3"/>
      <c r="D766" s="8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2.75">
      <c r="A767" s="3"/>
      <c r="B767" s="3"/>
      <c r="C767" s="3"/>
      <c r="D767" s="8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2.75">
      <c r="A768" s="3"/>
      <c r="B768" s="3"/>
      <c r="C768" s="3"/>
      <c r="D768" s="8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2.75">
      <c r="A769" s="3"/>
      <c r="B769" s="3"/>
      <c r="C769" s="3"/>
      <c r="D769" s="8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2.75">
      <c r="A770" s="3"/>
      <c r="B770" s="3"/>
      <c r="C770" s="3"/>
      <c r="D770" s="8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2.75">
      <c r="A771" s="3"/>
      <c r="B771" s="3"/>
      <c r="C771" s="3"/>
      <c r="D771" s="8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2.75">
      <c r="A772" s="3"/>
      <c r="B772" s="3"/>
      <c r="C772" s="3"/>
      <c r="D772" s="8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2.75">
      <c r="A773" s="3"/>
      <c r="B773" s="3"/>
      <c r="C773" s="3"/>
      <c r="D773" s="8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2.75">
      <c r="A774" s="3"/>
      <c r="B774" s="3"/>
      <c r="C774" s="3"/>
      <c r="D774" s="8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2.75">
      <c r="A775" s="3"/>
      <c r="B775" s="3"/>
      <c r="C775" s="3"/>
      <c r="D775" s="8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2.75">
      <c r="A776" s="3"/>
      <c r="B776" s="3"/>
      <c r="C776" s="3"/>
      <c r="D776" s="8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2.75">
      <c r="A777" s="3"/>
      <c r="B777" s="3"/>
      <c r="C777" s="3"/>
      <c r="D777" s="8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2.75">
      <c r="A778" s="3"/>
      <c r="B778" s="3"/>
      <c r="C778" s="3"/>
      <c r="D778" s="8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2.75">
      <c r="A779" s="3"/>
      <c r="B779" s="3"/>
      <c r="C779" s="3"/>
      <c r="D779" s="8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2.75">
      <c r="A780" s="3"/>
      <c r="B780" s="3"/>
      <c r="C780" s="3"/>
      <c r="D780" s="8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2.75">
      <c r="A781" s="3"/>
      <c r="B781" s="3"/>
      <c r="C781" s="3"/>
      <c r="D781" s="8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2.75">
      <c r="A782" s="3"/>
      <c r="B782" s="3"/>
      <c r="C782" s="3"/>
      <c r="D782" s="8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2.75">
      <c r="A783" s="3"/>
      <c r="B783" s="3"/>
      <c r="C783" s="3"/>
      <c r="D783" s="8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2.75">
      <c r="A784" s="3"/>
      <c r="B784" s="3"/>
      <c r="C784" s="3"/>
      <c r="D784" s="8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2.75">
      <c r="A785" s="3"/>
      <c r="B785" s="3"/>
      <c r="C785" s="3"/>
      <c r="D785" s="8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2.75">
      <c r="A786" s="3"/>
      <c r="B786" s="3"/>
      <c r="C786" s="3"/>
      <c r="D786" s="8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2.75">
      <c r="A787" s="3"/>
      <c r="B787" s="3"/>
      <c r="C787" s="3"/>
      <c r="D787" s="8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2.75">
      <c r="A788" s="3"/>
      <c r="B788" s="3"/>
      <c r="C788" s="3"/>
      <c r="D788" s="8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2.75">
      <c r="A789" s="3"/>
      <c r="B789" s="3"/>
      <c r="C789" s="3"/>
      <c r="D789" s="8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2.75">
      <c r="A790" s="3"/>
      <c r="B790" s="3"/>
      <c r="C790" s="3"/>
      <c r="D790" s="8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2.75">
      <c r="A791" s="3"/>
      <c r="B791" s="3"/>
      <c r="C791" s="3"/>
      <c r="D791" s="8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2.75">
      <c r="A792" s="3"/>
      <c r="B792" s="3"/>
      <c r="C792" s="3"/>
      <c r="D792" s="8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2.75">
      <c r="A793" s="3"/>
      <c r="B793" s="3"/>
      <c r="C793" s="3"/>
      <c r="D793" s="8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2.75">
      <c r="A794" s="3"/>
      <c r="B794" s="3"/>
      <c r="C794" s="3"/>
      <c r="D794" s="8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2.75">
      <c r="A795" s="3"/>
      <c r="B795" s="3"/>
      <c r="C795" s="3"/>
      <c r="D795" s="8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2.75">
      <c r="A796" s="3"/>
      <c r="B796" s="3"/>
      <c r="C796" s="3"/>
      <c r="D796" s="8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2.75">
      <c r="A797" s="3"/>
      <c r="B797" s="3"/>
      <c r="C797" s="3"/>
      <c r="D797" s="8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2.75">
      <c r="A798" s="3"/>
      <c r="B798" s="3"/>
      <c r="C798" s="3"/>
      <c r="D798" s="8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2.75">
      <c r="A799" s="3"/>
      <c r="B799" s="3"/>
      <c r="C799" s="3"/>
      <c r="D799" s="8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2.75">
      <c r="A800" s="3"/>
      <c r="B800" s="3"/>
      <c r="C800" s="3"/>
      <c r="D800" s="8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2.75">
      <c r="A801" s="3"/>
      <c r="B801" s="3"/>
      <c r="C801" s="3"/>
      <c r="D801" s="8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2.75">
      <c r="A802" s="3"/>
      <c r="B802" s="3"/>
      <c r="C802" s="3"/>
      <c r="D802" s="8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2.75">
      <c r="A803" s="3"/>
      <c r="B803" s="3"/>
      <c r="C803" s="3"/>
      <c r="D803" s="8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2.75">
      <c r="A804" s="3"/>
      <c r="B804" s="3"/>
      <c r="C804" s="3"/>
      <c r="D804" s="8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2.75">
      <c r="A805" s="3"/>
      <c r="B805" s="3"/>
      <c r="C805" s="3"/>
      <c r="D805" s="8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2.75">
      <c r="A806" s="3"/>
      <c r="B806" s="3"/>
      <c r="C806" s="3"/>
      <c r="D806" s="8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2.75">
      <c r="A807" s="3"/>
      <c r="B807" s="3"/>
      <c r="C807" s="3"/>
      <c r="D807" s="8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2.75">
      <c r="A808" s="3"/>
      <c r="B808" s="3"/>
      <c r="C808" s="3"/>
      <c r="D808" s="8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2.75">
      <c r="A809" s="3"/>
      <c r="B809" s="3"/>
      <c r="C809" s="3"/>
      <c r="D809" s="8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2.75">
      <c r="A810" s="3"/>
      <c r="B810" s="3"/>
      <c r="C810" s="3"/>
      <c r="D810" s="8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2.75">
      <c r="A811" s="3"/>
      <c r="B811" s="3"/>
      <c r="C811" s="3"/>
      <c r="D811" s="8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2.75">
      <c r="A812" s="3"/>
      <c r="B812" s="3"/>
      <c r="C812" s="3"/>
      <c r="D812" s="8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2.75">
      <c r="A813" s="3"/>
      <c r="B813" s="3"/>
      <c r="C813" s="3"/>
      <c r="D813" s="8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2.75">
      <c r="A814" s="3"/>
      <c r="B814" s="3"/>
      <c r="C814" s="3"/>
      <c r="D814" s="8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2.75">
      <c r="A815" s="3"/>
      <c r="B815" s="3"/>
      <c r="C815" s="3"/>
      <c r="D815" s="8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2.75">
      <c r="A816" s="3"/>
      <c r="B816" s="3"/>
      <c r="C816" s="3"/>
      <c r="D816" s="8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2.75">
      <c r="A817" s="3"/>
      <c r="B817" s="3"/>
      <c r="C817" s="3"/>
      <c r="D817" s="8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2.75">
      <c r="A818" s="3"/>
      <c r="B818" s="3"/>
      <c r="C818" s="3"/>
      <c r="D818" s="8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2.75">
      <c r="A819" s="3"/>
      <c r="B819" s="3"/>
      <c r="C819" s="3"/>
      <c r="D819" s="8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2.75">
      <c r="A820" s="3"/>
      <c r="B820" s="3"/>
      <c r="C820" s="3"/>
      <c r="D820" s="8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2.75">
      <c r="A821" s="3"/>
      <c r="B821" s="3"/>
      <c r="C821" s="3"/>
      <c r="D821" s="8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2.75">
      <c r="A822" s="3"/>
      <c r="B822" s="3"/>
      <c r="C822" s="3"/>
      <c r="D822" s="8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2.75">
      <c r="A823" s="3"/>
      <c r="B823" s="3"/>
      <c r="C823" s="3"/>
      <c r="D823" s="8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2.75">
      <c r="A824" s="3"/>
      <c r="B824" s="3"/>
      <c r="C824" s="3"/>
      <c r="D824" s="8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2.75">
      <c r="A825" s="3"/>
      <c r="B825" s="3"/>
      <c r="C825" s="3"/>
      <c r="D825" s="8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2.75">
      <c r="A826" s="3"/>
      <c r="B826" s="3"/>
      <c r="C826" s="3"/>
      <c r="D826" s="8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2.75">
      <c r="A827" s="3"/>
      <c r="B827" s="3"/>
      <c r="C827" s="3"/>
      <c r="D827" s="8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2.75">
      <c r="A828" s="3"/>
      <c r="B828" s="3"/>
      <c r="C828" s="3"/>
      <c r="D828" s="8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2.75">
      <c r="A829" s="3"/>
      <c r="B829" s="3"/>
      <c r="C829" s="3"/>
      <c r="D829" s="8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2.75">
      <c r="A830" s="3"/>
      <c r="B830" s="3"/>
      <c r="C830" s="3"/>
      <c r="D830" s="8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2.75">
      <c r="A831" s="3"/>
      <c r="B831" s="3"/>
      <c r="C831" s="3"/>
      <c r="D831" s="8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2.75">
      <c r="A832" s="3"/>
      <c r="B832" s="3"/>
      <c r="C832" s="3"/>
      <c r="D832" s="8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2.75">
      <c r="A833" s="3"/>
      <c r="B833" s="3"/>
      <c r="C833" s="3"/>
      <c r="D833" s="8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2.75">
      <c r="A834" s="3"/>
      <c r="B834" s="3"/>
      <c r="C834" s="3"/>
      <c r="D834" s="8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2.75">
      <c r="A835" s="3"/>
      <c r="B835" s="3"/>
      <c r="C835" s="3"/>
      <c r="D835" s="8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2.75">
      <c r="A836" s="3"/>
      <c r="B836" s="3"/>
      <c r="C836" s="3"/>
      <c r="D836" s="8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2.75">
      <c r="A837" s="3"/>
      <c r="B837" s="3"/>
      <c r="C837" s="3"/>
      <c r="D837" s="8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2.75">
      <c r="A838" s="3"/>
      <c r="B838" s="3"/>
      <c r="C838" s="3"/>
      <c r="D838" s="8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2.75">
      <c r="A839" s="3"/>
      <c r="B839" s="3"/>
      <c r="C839" s="3"/>
      <c r="D839" s="8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2.75">
      <c r="A840" s="3"/>
      <c r="B840" s="3"/>
      <c r="C840" s="3"/>
      <c r="D840" s="8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2.75">
      <c r="A841" s="3"/>
      <c r="B841" s="3"/>
      <c r="C841" s="3"/>
      <c r="D841" s="8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2.75">
      <c r="A842" s="3"/>
      <c r="B842" s="3"/>
      <c r="C842" s="3"/>
      <c r="D842" s="8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2.75">
      <c r="A843" s="3"/>
      <c r="B843" s="3"/>
      <c r="C843" s="3"/>
      <c r="D843" s="8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2.75">
      <c r="A844" s="3"/>
      <c r="B844" s="3"/>
      <c r="C844" s="3"/>
      <c r="D844" s="8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2.75">
      <c r="A845" s="3"/>
      <c r="B845" s="3"/>
      <c r="C845" s="3"/>
      <c r="D845" s="8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2.75">
      <c r="A846" s="3"/>
      <c r="B846" s="3"/>
      <c r="C846" s="3"/>
      <c r="D846" s="8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2.75">
      <c r="A847" s="3"/>
      <c r="B847" s="3"/>
      <c r="C847" s="3"/>
      <c r="D847" s="8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2.75">
      <c r="A848" s="3"/>
      <c r="B848" s="3"/>
      <c r="C848" s="3"/>
      <c r="D848" s="8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2.75">
      <c r="A849" s="3"/>
      <c r="B849" s="3"/>
      <c r="C849" s="3"/>
      <c r="D849" s="8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2.75">
      <c r="A850" s="3"/>
      <c r="B850" s="3"/>
      <c r="C850" s="3"/>
      <c r="D850" s="8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2.75">
      <c r="A851" s="3"/>
      <c r="B851" s="3"/>
      <c r="C851" s="3"/>
      <c r="D851" s="8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2.75">
      <c r="A852" s="3"/>
      <c r="B852" s="3"/>
      <c r="C852" s="3"/>
      <c r="D852" s="8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2.75">
      <c r="A853" s="3"/>
      <c r="B853" s="3"/>
      <c r="C853" s="3"/>
      <c r="D853" s="8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2.75">
      <c r="A854" s="3"/>
      <c r="B854" s="3"/>
      <c r="C854" s="3"/>
      <c r="D854" s="8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2.75">
      <c r="A855" s="3"/>
      <c r="B855" s="3"/>
      <c r="C855" s="3"/>
      <c r="D855" s="8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2.75">
      <c r="A856" s="3"/>
      <c r="B856" s="3"/>
      <c r="C856" s="3"/>
      <c r="D856" s="8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2.75">
      <c r="A857" s="3"/>
      <c r="B857" s="3"/>
      <c r="C857" s="3"/>
      <c r="D857" s="8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2.75">
      <c r="A858" s="3"/>
      <c r="B858" s="3"/>
      <c r="C858" s="3"/>
      <c r="D858" s="8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2.75">
      <c r="A859" s="3"/>
      <c r="B859" s="3"/>
      <c r="C859" s="3"/>
      <c r="D859" s="8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2.75">
      <c r="A860" s="3"/>
      <c r="B860" s="3"/>
      <c r="C860" s="3"/>
      <c r="D860" s="8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2.75">
      <c r="A861" s="3"/>
      <c r="B861" s="3"/>
      <c r="C861" s="3"/>
      <c r="D861" s="8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2.75">
      <c r="A862" s="3"/>
      <c r="B862" s="3"/>
      <c r="C862" s="3"/>
      <c r="D862" s="8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2.75">
      <c r="A863" s="3"/>
      <c r="B863" s="3"/>
      <c r="C863" s="3"/>
      <c r="D863" s="8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2.75">
      <c r="A864" s="3"/>
      <c r="B864" s="3"/>
      <c r="C864" s="3"/>
      <c r="D864" s="8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2.75">
      <c r="A865" s="3"/>
      <c r="B865" s="3"/>
      <c r="C865" s="3"/>
      <c r="D865" s="8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2.75">
      <c r="A866" s="3"/>
      <c r="B866" s="3"/>
      <c r="C866" s="3"/>
      <c r="D866" s="8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2.75">
      <c r="A867" s="3"/>
      <c r="B867" s="3"/>
      <c r="C867" s="3"/>
      <c r="D867" s="8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2.75">
      <c r="A868" s="3"/>
      <c r="B868" s="3"/>
      <c r="C868" s="3"/>
      <c r="D868" s="8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2.75">
      <c r="A869" s="3"/>
      <c r="B869" s="3"/>
      <c r="C869" s="3"/>
      <c r="D869" s="8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2.75">
      <c r="A870" s="3"/>
      <c r="B870" s="3"/>
      <c r="C870" s="3"/>
      <c r="D870" s="8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2.75">
      <c r="A871" s="3"/>
      <c r="B871" s="3"/>
      <c r="C871" s="3"/>
      <c r="D871" s="8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2.75">
      <c r="A872" s="3"/>
      <c r="B872" s="3"/>
      <c r="C872" s="3"/>
      <c r="D872" s="8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2.75">
      <c r="A873" s="3"/>
      <c r="B873" s="3"/>
      <c r="C873" s="3"/>
      <c r="D873" s="8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2.75">
      <c r="A874" s="3"/>
      <c r="B874" s="3"/>
      <c r="C874" s="3"/>
      <c r="D874" s="8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2.75">
      <c r="A875" s="3"/>
      <c r="B875" s="3"/>
      <c r="C875" s="3"/>
      <c r="D875" s="8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2.75">
      <c r="A876" s="3"/>
      <c r="B876" s="3"/>
      <c r="C876" s="3"/>
      <c r="D876" s="8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2.75">
      <c r="A877" s="3"/>
      <c r="B877" s="3"/>
      <c r="C877" s="3"/>
      <c r="D877" s="8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2.75">
      <c r="A878" s="3"/>
      <c r="B878" s="3"/>
      <c r="C878" s="3"/>
      <c r="D878" s="8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2.75">
      <c r="A879" s="3"/>
      <c r="B879" s="3"/>
      <c r="C879" s="3"/>
      <c r="D879" s="8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2.75">
      <c r="A880" s="3"/>
      <c r="B880" s="3"/>
      <c r="C880" s="3"/>
      <c r="D880" s="8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2.75">
      <c r="A881" s="3"/>
      <c r="B881" s="3"/>
      <c r="C881" s="3"/>
      <c r="D881" s="8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2.75">
      <c r="A882" s="3"/>
      <c r="B882" s="3"/>
      <c r="C882" s="3"/>
      <c r="D882" s="8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2.75">
      <c r="A883" s="3"/>
      <c r="B883" s="3"/>
      <c r="C883" s="3"/>
      <c r="D883" s="8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2.75">
      <c r="A884" s="3"/>
      <c r="B884" s="3"/>
      <c r="C884" s="3"/>
      <c r="D884" s="8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2.75">
      <c r="A885" s="3"/>
      <c r="B885" s="3"/>
      <c r="C885" s="3"/>
      <c r="D885" s="8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2.75">
      <c r="A886" s="3"/>
      <c r="B886" s="3"/>
      <c r="C886" s="3"/>
      <c r="D886" s="8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2.75">
      <c r="A887" s="3"/>
      <c r="B887" s="3"/>
      <c r="C887" s="3"/>
      <c r="D887" s="8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2.75">
      <c r="A888" s="3"/>
      <c r="B888" s="3"/>
      <c r="C888" s="3"/>
      <c r="D888" s="8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2.75">
      <c r="A889" s="3"/>
      <c r="B889" s="3"/>
      <c r="C889" s="3"/>
      <c r="D889" s="8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2.75">
      <c r="A890" s="3"/>
      <c r="B890" s="3"/>
      <c r="C890" s="3"/>
      <c r="D890" s="8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2.75">
      <c r="A891" s="3"/>
      <c r="B891" s="3"/>
      <c r="C891" s="3"/>
      <c r="D891" s="8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2.75">
      <c r="A892" s="3"/>
      <c r="B892" s="3"/>
      <c r="C892" s="3"/>
      <c r="D892" s="8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2.75">
      <c r="A893" s="3"/>
      <c r="B893" s="3"/>
      <c r="C893" s="3"/>
      <c r="D893" s="8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2.75">
      <c r="A894" s="3"/>
      <c r="B894" s="3"/>
      <c r="C894" s="3"/>
      <c r="D894" s="8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2.75">
      <c r="A895" s="3"/>
      <c r="B895" s="3"/>
      <c r="C895" s="3"/>
      <c r="D895" s="8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2.75">
      <c r="A896" s="3"/>
      <c r="B896" s="3"/>
      <c r="C896" s="3"/>
      <c r="D896" s="8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2.75">
      <c r="A897" s="3"/>
      <c r="B897" s="3"/>
      <c r="C897" s="3"/>
      <c r="D897" s="8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2.75">
      <c r="A898" s="3"/>
      <c r="B898" s="3"/>
      <c r="C898" s="3"/>
      <c r="D898" s="8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2.75">
      <c r="A899" s="3"/>
      <c r="B899" s="3"/>
      <c r="C899" s="3"/>
      <c r="D899" s="8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2.75">
      <c r="A900" s="3"/>
      <c r="B900" s="3"/>
      <c r="C900" s="3"/>
      <c r="D900" s="8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2.75">
      <c r="A901" s="3"/>
      <c r="B901" s="3"/>
      <c r="C901" s="3"/>
      <c r="D901" s="8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2.75">
      <c r="A902" s="3"/>
      <c r="B902" s="3"/>
      <c r="C902" s="3"/>
      <c r="D902" s="8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2.75">
      <c r="A903" s="3"/>
      <c r="B903" s="3"/>
      <c r="C903" s="3"/>
      <c r="D903" s="8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2.75">
      <c r="A904" s="3"/>
      <c r="B904" s="3"/>
      <c r="C904" s="3"/>
      <c r="D904" s="8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2.75">
      <c r="A905" s="3"/>
      <c r="B905" s="3"/>
      <c r="C905" s="3"/>
      <c r="D905" s="8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2.75">
      <c r="A906" s="3"/>
      <c r="B906" s="3"/>
      <c r="C906" s="3"/>
      <c r="D906" s="8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2.75">
      <c r="A907" s="3"/>
      <c r="B907" s="3"/>
      <c r="C907" s="3"/>
      <c r="D907" s="8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2.75">
      <c r="A908" s="3"/>
      <c r="B908" s="3"/>
      <c r="C908" s="3"/>
      <c r="D908" s="8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2.75">
      <c r="A909" s="3"/>
      <c r="B909" s="3"/>
      <c r="C909" s="3"/>
      <c r="D909" s="8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2.75">
      <c r="A910" s="3"/>
      <c r="B910" s="3"/>
      <c r="C910" s="3"/>
      <c r="D910" s="8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2.75">
      <c r="A911" s="3"/>
      <c r="B911" s="3"/>
      <c r="C911" s="3"/>
      <c r="D911" s="8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2.75">
      <c r="A912" s="3"/>
      <c r="B912" s="3"/>
      <c r="C912" s="3"/>
      <c r="D912" s="8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2.75">
      <c r="A913" s="3"/>
      <c r="B913" s="3"/>
      <c r="C913" s="3"/>
      <c r="D913" s="8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2.75">
      <c r="A914" s="3"/>
      <c r="B914" s="3"/>
      <c r="C914" s="3"/>
      <c r="D914" s="8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2.75">
      <c r="A915" s="3"/>
      <c r="B915" s="3"/>
      <c r="C915" s="3"/>
      <c r="D915" s="8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2.75">
      <c r="A916" s="3"/>
      <c r="B916" s="3"/>
      <c r="C916" s="3"/>
      <c r="D916" s="8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2.75">
      <c r="A917" s="3"/>
      <c r="B917" s="3"/>
      <c r="C917" s="3"/>
      <c r="D917" s="8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2.75">
      <c r="A918" s="3"/>
      <c r="B918" s="3"/>
      <c r="C918" s="3"/>
      <c r="D918" s="8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2.75">
      <c r="A919" s="3"/>
      <c r="B919" s="3"/>
      <c r="C919" s="3"/>
      <c r="D919" s="8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2.75">
      <c r="A920" s="3"/>
      <c r="B920" s="3"/>
      <c r="C920" s="3"/>
      <c r="D920" s="8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2.75">
      <c r="A921" s="3"/>
      <c r="B921" s="3"/>
      <c r="C921" s="3"/>
      <c r="D921" s="8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2.75">
      <c r="A922" s="3"/>
      <c r="B922" s="3"/>
      <c r="C922" s="3"/>
      <c r="D922" s="8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2.75">
      <c r="A923" s="3"/>
      <c r="B923" s="3"/>
      <c r="C923" s="3"/>
      <c r="D923" s="8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2.75">
      <c r="A924" s="3"/>
      <c r="B924" s="3"/>
      <c r="C924" s="3"/>
      <c r="D924" s="8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2.75">
      <c r="A925" s="3"/>
      <c r="B925" s="3"/>
      <c r="C925" s="3"/>
      <c r="D925" s="8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2.75">
      <c r="A926" s="3"/>
      <c r="B926" s="3"/>
      <c r="C926" s="3"/>
      <c r="D926" s="8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2.75">
      <c r="A927" s="3"/>
      <c r="B927" s="3"/>
      <c r="C927" s="3"/>
      <c r="D927" s="8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2.75">
      <c r="A928" s="3"/>
      <c r="B928" s="3"/>
      <c r="C928" s="3"/>
      <c r="D928" s="8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2.75">
      <c r="A929" s="3"/>
      <c r="B929" s="3"/>
      <c r="C929" s="3"/>
      <c r="D929" s="8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2.75">
      <c r="A930" s="3"/>
      <c r="B930" s="3"/>
      <c r="C930" s="3"/>
      <c r="D930" s="8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2.75">
      <c r="A931" s="3"/>
      <c r="B931" s="3"/>
      <c r="C931" s="3"/>
      <c r="D931" s="8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2.75">
      <c r="A932" s="3"/>
      <c r="B932" s="3"/>
      <c r="C932" s="3"/>
      <c r="D932" s="8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2.75">
      <c r="A933" s="3"/>
      <c r="B933" s="3"/>
      <c r="C933" s="3"/>
      <c r="D933" s="8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2.75">
      <c r="A934" s="3"/>
      <c r="B934" s="3"/>
      <c r="C934" s="3"/>
      <c r="D934" s="8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2.75">
      <c r="A935" s="3"/>
      <c r="B935" s="3"/>
      <c r="C935" s="3"/>
      <c r="D935" s="8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2.75">
      <c r="A936" s="3"/>
      <c r="B936" s="3"/>
      <c r="C936" s="3"/>
      <c r="D936" s="8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2.75">
      <c r="A937" s="3"/>
      <c r="B937" s="3"/>
      <c r="C937" s="3"/>
      <c r="D937" s="8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2.75">
      <c r="A938" s="3"/>
      <c r="B938" s="3"/>
      <c r="C938" s="3"/>
      <c r="D938" s="8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2.75">
      <c r="A939" s="3"/>
      <c r="B939" s="3"/>
      <c r="C939" s="3"/>
      <c r="D939" s="8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2.75">
      <c r="A940" s="3"/>
      <c r="B940" s="3"/>
      <c r="C940" s="3"/>
      <c r="D940" s="8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2.75">
      <c r="A941" s="3"/>
      <c r="B941" s="3"/>
      <c r="C941" s="3"/>
      <c r="D941" s="8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2.75">
      <c r="A942" s="3"/>
      <c r="B942" s="3"/>
      <c r="C942" s="3"/>
      <c r="D942" s="8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2.75">
      <c r="A943" s="3"/>
      <c r="B943" s="3"/>
      <c r="C943" s="3"/>
      <c r="D943" s="8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2.75">
      <c r="A944" s="3"/>
      <c r="B944" s="3"/>
      <c r="C944" s="3"/>
      <c r="D944" s="8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2.75">
      <c r="A945" s="3"/>
      <c r="B945" s="3"/>
      <c r="C945" s="3"/>
      <c r="D945" s="8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2.75">
      <c r="A946" s="3"/>
      <c r="B946" s="3"/>
      <c r="C946" s="3"/>
      <c r="D946" s="8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2.75">
      <c r="A947" s="3"/>
      <c r="B947" s="3"/>
      <c r="C947" s="3"/>
      <c r="D947" s="8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2.75">
      <c r="A948" s="3"/>
      <c r="B948" s="3"/>
      <c r="C948" s="3"/>
      <c r="D948" s="8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2.75">
      <c r="A949" s="3"/>
      <c r="B949" s="3"/>
      <c r="C949" s="3"/>
      <c r="D949" s="8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2.75">
      <c r="A950" s="3"/>
      <c r="B950" s="3"/>
      <c r="C950" s="3"/>
      <c r="D950" s="8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2.75">
      <c r="A951" s="3"/>
      <c r="B951" s="3"/>
      <c r="C951" s="3"/>
      <c r="D951" s="8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2.75">
      <c r="A952" s="3"/>
      <c r="B952" s="3"/>
      <c r="C952" s="3"/>
      <c r="D952" s="8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2.75">
      <c r="A953" s="3"/>
      <c r="B953" s="3"/>
      <c r="C953" s="3"/>
      <c r="D953" s="8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2.75">
      <c r="A954" s="3"/>
      <c r="B954" s="3"/>
      <c r="C954" s="3"/>
      <c r="D954" s="8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2.75">
      <c r="A955" s="3"/>
      <c r="B955" s="3"/>
      <c r="C955" s="3"/>
      <c r="D955" s="8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2.75">
      <c r="A956" s="3"/>
      <c r="B956" s="3"/>
      <c r="C956" s="3"/>
      <c r="D956" s="8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2.75">
      <c r="A957" s="3"/>
      <c r="B957" s="3"/>
      <c r="C957" s="3"/>
      <c r="D957" s="8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2.75">
      <c r="A958" s="3"/>
      <c r="B958" s="3"/>
      <c r="C958" s="3"/>
      <c r="D958" s="8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2.75">
      <c r="A959" s="3"/>
      <c r="B959" s="3"/>
      <c r="C959" s="3"/>
      <c r="D959" s="8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2.75">
      <c r="A960" s="3"/>
      <c r="B960" s="3"/>
      <c r="C960" s="3"/>
      <c r="D960" s="8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2.75">
      <c r="A961" s="3"/>
      <c r="B961" s="3"/>
      <c r="C961" s="3"/>
      <c r="D961" s="8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2.7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2.7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2.7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2.7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2.7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2.7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</sheetData>
  <autoFilter ref="A1:E230" xr:uid="{00000000-0009-0000-0000-000001000000}">
    <filterColumn colId="1">
      <filters>
        <filter val="LOG"/>
        <filter val="ADM"/>
      </filters>
    </filterColumn>
    <filterColumn colId="2">
      <filters>
        <filter val="VESTIDOR HOMBRES"/>
      </filters>
    </filterColumn>
  </autoFilter>
  <conditionalFormatting sqref="C2:C236 D2:D272">
    <cfRule type="containsText" dxfId="8" priority="2" operator="containsText" text="Disponible">
      <formula>NOT(ISERROR(SEARCH(("Disponible"),(C2))))</formula>
    </cfRule>
  </conditionalFormatting>
  <conditionalFormatting sqref="D2:D272">
    <cfRule type="containsText" dxfId="7" priority="1" operator="containsText" text="DISPONIBLE">
      <formula>NOT(ISERROR(SEARCH(("DISPONIBLE"),(D2))))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FF00"/>
    <outlinePr summaryBelow="0" summaryRight="0"/>
  </sheetPr>
  <dimension ref="A1:P968"/>
  <sheetViews>
    <sheetView showGridLines="0" workbookViewId="0"/>
  </sheetViews>
  <sheetFormatPr baseColWidth="10" defaultColWidth="12.5703125" defaultRowHeight="15.75" customHeight="1"/>
  <cols>
    <col min="1" max="1" width="21" customWidth="1"/>
    <col min="2" max="2" width="21.5703125" customWidth="1"/>
    <col min="3" max="3" width="45.85546875" customWidth="1"/>
  </cols>
  <sheetData>
    <row r="1" spans="1:16" ht="36">
      <c r="A1" s="1" t="s">
        <v>0</v>
      </c>
      <c r="B1" s="1" t="s">
        <v>3</v>
      </c>
      <c r="C1" s="1" t="s">
        <v>5</v>
      </c>
      <c r="D1" s="1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6.5" hidden="1">
      <c r="A2" s="10" t="s">
        <v>14</v>
      </c>
      <c r="B2" s="11" t="s">
        <v>15</v>
      </c>
      <c r="C2" s="20" t="str">
        <f>IF(COUNTIFS(ASIGNACIONES!G:G,A2,ASIGNACIONES!K:K,B2)=0,"CODIGO DISPONIBLE","CODIGO ASIGNADO")</f>
        <v>CODIGO ASIGNADO</v>
      </c>
      <c r="D2" s="3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6.5" hidden="1">
      <c r="A3" s="10" t="s">
        <v>22</v>
      </c>
      <c r="B3" s="11" t="s">
        <v>15</v>
      </c>
      <c r="C3" s="20" t="str">
        <f>IF(COUNTIFS(ASIGNACIONES!G:G,A3,ASIGNACIONES!K:K,B3)=0,"CODIGO DISPONIBLE","CODIGO ASIGNADO")</f>
        <v>CODIGO ASIGNADO</v>
      </c>
      <c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ht="16.5" hidden="1">
      <c r="A4" s="10" t="s">
        <v>29</v>
      </c>
      <c r="B4" s="11" t="s">
        <v>15</v>
      </c>
      <c r="C4" s="20" t="str">
        <f>IF(COUNTIFS(ASIGNACIONES!G:G,A4,ASIGNACIONES!K:K,B4)=0,"CODIGO DISPONIBLE","CODIGO ASIGNADO")</f>
        <v>CODIGO ASIGNADO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6.5" hidden="1">
      <c r="A5" s="10" t="s">
        <v>37</v>
      </c>
      <c r="B5" s="11" t="s">
        <v>15</v>
      </c>
      <c r="C5" s="20" t="str">
        <f>IF(COUNTIFS(ASIGNACIONES!G:G,A5,ASIGNACIONES!K:K,B5)=0,"CODIGO DISPONIBLE","CODIGO ASIGNADO")</f>
        <v>CODIGO ASIGNADO</v>
      </c>
      <c r="D5" s="3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16.5" hidden="1">
      <c r="A6" s="10" t="s">
        <v>45</v>
      </c>
      <c r="B6" s="11" t="s">
        <v>15</v>
      </c>
      <c r="C6" s="20" t="str">
        <f>IF(COUNTIFS(ASIGNACIONES!G:G,A6,ASIGNACIONES!K:K,B6)=0,"CODIGO DISPONIBLE","CODIGO ASIGNADO")</f>
        <v>CODIGO ASIGNADO</v>
      </c>
      <c r="D6" s="3">
        <v>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6.5" hidden="1">
      <c r="A7" s="10" t="s">
        <v>55</v>
      </c>
      <c r="B7" s="11" t="s">
        <v>15</v>
      </c>
      <c r="C7" s="20" t="str">
        <f>IF(COUNTIFS(ASIGNACIONES!G:G,A7,ASIGNACIONES!K:K,B7)=0,"CODIGO DISPONIBLE","CODIGO ASIGNADO")</f>
        <v>CODIGO ASIGNADO</v>
      </c>
      <c r="D7" s="3">
        <v>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6.5" hidden="1">
      <c r="A8" s="10" t="s">
        <v>65</v>
      </c>
      <c r="B8" s="11" t="s">
        <v>15</v>
      </c>
      <c r="C8" s="20" t="str">
        <f>IF(COUNTIFS(ASIGNACIONES!G:G,A8,ASIGNACIONES!K:K,B8)=0,"CODIGO DISPONIBLE","CODIGO ASIGNADO")</f>
        <v>CODIGO ASIGNADO</v>
      </c>
      <c r="D8" s="3">
        <v>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6.5" hidden="1">
      <c r="A9" s="10" t="s">
        <v>74</v>
      </c>
      <c r="B9" s="11" t="s">
        <v>15</v>
      </c>
      <c r="C9" s="20" t="str">
        <f>IF(COUNTIFS(ASIGNACIONES!G:G,A9,ASIGNACIONES!K:K,B9)=0,"CODIGO DISPONIBLE","CODIGO ASIGNADO")</f>
        <v>CODIGO ASIGNADO</v>
      </c>
      <c r="D9" s="3">
        <v>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16.5" hidden="1">
      <c r="A10" s="10" t="s">
        <v>85</v>
      </c>
      <c r="B10" s="11" t="s">
        <v>15</v>
      </c>
      <c r="C10" s="20" t="str">
        <f>IF(COUNTIFS(ASIGNACIONES!G:G,A10,ASIGNACIONES!K:K,B10)=0,"CODIGO DISPONIBLE","CODIGO ASIGNADO")</f>
        <v>CODIGO ASIGNADO</v>
      </c>
      <c r="D10" s="3">
        <v>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16.5" hidden="1">
      <c r="A11" s="10" t="s">
        <v>96</v>
      </c>
      <c r="B11" s="11" t="s">
        <v>15</v>
      </c>
      <c r="C11" s="20" t="str">
        <f>IF(COUNTIFS(ASIGNACIONES!G:G,A11,ASIGNACIONES!K:K,B11)=0,"CODIGO DISPONIBLE","CODIGO ASIGNADO")</f>
        <v>CODIGO ASIGNADO</v>
      </c>
      <c r="D11" s="3">
        <v>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ht="16.5" hidden="1">
      <c r="A12" s="10" t="s">
        <v>104</v>
      </c>
      <c r="B12" s="11" t="s">
        <v>15</v>
      </c>
      <c r="C12" s="20" t="str">
        <f>IF(COUNTIFS(ASIGNACIONES!G:G,A12,ASIGNACIONES!K:K,B12)=0,"CODIGO DISPONIBLE","CODIGO ASIGNADO")</f>
        <v>CODIGO ASIGNADO</v>
      </c>
      <c r="D12" s="3">
        <v>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ht="16.5" hidden="1">
      <c r="A13" s="10" t="s">
        <v>116</v>
      </c>
      <c r="B13" s="11" t="s">
        <v>15</v>
      </c>
      <c r="C13" s="20" t="str">
        <f>IF(COUNTIFS(ASIGNACIONES!G:G,A13,ASIGNACIONES!K:K,B13)=0,"CODIGO DISPONIBLE","CODIGO ASIGNADO")</f>
        <v>CODIGO ASIGNADO</v>
      </c>
      <c r="D13" s="3">
        <v>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ht="16.5" hidden="1">
      <c r="A14" s="10" t="s">
        <v>125</v>
      </c>
      <c r="B14" s="11" t="s">
        <v>15</v>
      </c>
      <c r="C14" s="20" t="str">
        <f>IF(COUNTIFS(ASIGNACIONES!G:G,A14,ASIGNACIONES!K:K,B14)=0,"CODIGO DISPONIBLE","CODIGO ASIGNADO")</f>
        <v>CODIGO ASIGNADO</v>
      </c>
      <c r="D14" s="3">
        <v>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6.5" hidden="1">
      <c r="A15" s="10" t="s">
        <v>138</v>
      </c>
      <c r="B15" s="11" t="s">
        <v>15</v>
      </c>
      <c r="C15" s="20" t="str">
        <f>IF(COUNTIFS(ASIGNACIONES!G:G,A15,ASIGNACIONES!K:K,B15)=0,"CODIGO DISPONIBLE","CODIGO ASIGNADO")</f>
        <v>CODIGO ASIGNADO</v>
      </c>
      <c r="D15" s="3">
        <v>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ht="16.5" hidden="1">
      <c r="A16" s="10" t="s">
        <v>150</v>
      </c>
      <c r="B16" s="11" t="s">
        <v>15</v>
      </c>
      <c r="C16" s="20" t="str">
        <f>IF(COUNTIFS(ASIGNACIONES!G:G,A16,ASIGNACIONES!K:K,B16)=0,"CODIGO DISPONIBLE","CODIGO ASIGNADO")</f>
        <v>CODIGO ASIGNADO</v>
      </c>
      <c r="D16" s="3">
        <v>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6.5" hidden="1">
      <c r="A17" s="10" t="s">
        <v>159</v>
      </c>
      <c r="B17" s="11" t="s">
        <v>15</v>
      </c>
      <c r="C17" s="20" t="str">
        <f>IF(COUNTIFS(ASIGNACIONES!G:G,A17,ASIGNACIONES!K:K,B17)=0,"CODIGO DISPONIBLE","CODIGO ASIGNADO")</f>
        <v>CODIGO ASIGNADO</v>
      </c>
      <c r="D17" s="3">
        <v>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ht="16.5" hidden="1">
      <c r="A18" s="10" t="s">
        <v>174</v>
      </c>
      <c r="B18" s="11" t="s">
        <v>15</v>
      </c>
      <c r="C18" s="20" t="str">
        <f>IF(COUNTIFS(ASIGNACIONES!G:G,A18,ASIGNACIONES!K:K,B18)=0,"CODIGO DISPONIBLE","CODIGO ASIGNADO")</f>
        <v>CODIGO ASIGNADO</v>
      </c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6.5" hidden="1">
      <c r="A19" s="10" t="s">
        <v>185</v>
      </c>
      <c r="B19" s="11" t="s">
        <v>15</v>
      </c>
      <c r="C19" s="20" t="str">
        <f>IF(COUNTIFS(ASIGNACIONES!G:G,A19,ASIGNACIONES!K:K,B19)=0,"CODIGO DISPONIBLE","CODIGO ASIGNADO")</f>
        <v>CODIGO ASIGNADO</v>
      </c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ht="16.5" hidden="1">
      <c r="A20" s="10" t="s">
        <v>192</v>
      </c>
      <c r="B20" s="11" t="s">
        <v>15</v>
      </c>
      <c r="C20" s="20" t="str">
        <f>IF(COUNTIFS(ASIGNACIONES!G:G,A20,ASIGNACIONES!K:K,B20)=0,"CODIGO DISPONIBLE","CODIGO ASIGNADO")</f>
        <v>CODIGO ASIGNADO</v>
      </c>
      <c r="D20" s="3">
        <v>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6.5" hidden="1">
      <c r="A21" s="10" t="s">
        <v>193</v>
      </c>
      <c r="B21" s="11" t="s">
        <v>15</v>
      </c>
      <c r="C21" s="20" t="str">
        <f>IF(COUNTIFS(ASIGNACIONES!G:G,A21,ASIGNACIONES!K:K,B21)=0,"CODIGO DISPONIBLE","CODIGO ASIGNADO")</f>
        <v>CODIGO ASIGNADO</v>
      </c>
      <c r="D21" s="3">
        <v>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ht="16.5" hidden="1">
      <c r="A22" s="10" t="s">
        <v>203</v>
      </c>
      <c r="B22" s="11" t="s">
        <v>15</v>
      </c>
      <c r="C22" s="20" t="str">
        <f>IF(COUNTIFS(ASIGNACIONES!G:G,A22,ASIGNACIONES!K:K,B22)=0,"CODIGO DISPONIBLE","CODIGO ASIGNADO")</f>
        <v>CODIGO ASIGNADO</v>
      </c>
      <c r="D22" s="3">
        <v>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6.5" hidden="1">
      <c r="A23" s="10" t="s">
        <v>212</v>
      </c>
      <c r="B23" s="11" t="s">
        <v>15</v>
      </c>
      <c r="C23" s="20" t="str">
        <f>IF(COUNTIFS(ASIGNACIONES!G:G,A23,ASIGNACIONES!K:K,B23)=0,"CODIGO DISPONIBLE","CODIGO ASIGNADO")</f>
        <v>CODIGO ASIGNADO</v>
      </c>
      <c r="D23" s="3">
        <v>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16.5" hidden="1">
      <c r="A24" s="10" t="s">
        <v>223</v>
      </c>
      <c r="B24" s="11" t="s">
        <v>15</v>
      </c>
      <c r="C24" s="20" t="str">
        <f>IF(COUNTIFS(ASIGNACIONES!G:G,A24,ASIGNACIONES!K:K,B24)=0,"CODIGO DISPONIBLE","CODIGO ASIGNADO")</f>
        <v>CODIGO ASIGNADO</v>
      </c>
      <c r="D24" s="3">
        <v>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6.5" hidden="1">
      <c r="A25" s="10" t="s">
        <v>232</v>
      </c>
      <c r="B25" s="11" t="s">
        <v>15</v>
      </c>
      <c r="C25" s="20" t="str">
        <f>IF(COUNTIFS(ASIGNACIONES!G:G,A25,ASIGNACIONES!K:K,B25)=0,"CODIGO DISPONIBLE","CODIGO ASIGNADO")</f>
        <v>CODIGO ASIGNADO</v>
      </c>
      <c r="D25" s="3">
        <v>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6.5" hidden="1">
      <c r="A26" s="10" t="s">
        <v>246</v>
      </c>
      <c r="B26" s="11" t="s">
        <v>15</v>
      </c>
      <c r="C26" s="20" t="str">
        <f>IF(COUNTIFS(ASIGNACIONES!G:G,A26,ASIGNACIONES!K:K,B26)=0,"CODIGO DISPONIBLE","CODIGO ASIGNADO")</f>
        <v>CODIGO ASIGNADO</v>
      </c>
      <c r="D26" s="3">
        <v>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6.5" hidden="1">
      <c r="A27" s="10" t="s">
        <v>258</v>
      </c>
      <c r="B27" s="11" t="s">
        <v>15</v>
      </c>
      <c r="C27" s="20" t="str">
        <f>IF(COUNTIFS(ASIGNACIONES!G:G,A27,ASIGNACIONES!K:K,B27)=0,"CODIGO DISPONIBLE","CODIGO ASIGNADO")</f>
        <v>CODIGO ASIGNADO</v>
      </c>
      <c r="D27" s="3">
        <v>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ht="16.5" hidden="1">
      <c r="A28" s="10" t="s">
        <v>273</v>
      </c>
      <c r="B28" s="11" t="s">
        <v>15</v>
      </c>
      <c r="C28" s="20" t="str">
        <f>IF(COUNTIFS(ASIGNACIONES!G:G,A28,ASIGNACIONES!K:K,B28)=0,"CODIGO DISPONIBLE","CODIGO ASIGNADO")</f>
        <v>CODIGO ASIGNADO</v>
      </c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16.5" hidden="1">
      <c r="A29" s="10" t="s">
        <v>286</v>
      </c>
      <c r="B29" s="11" t="s">
        <v>15</v>
      </c>
      <c r="C29" s="20" t="str">
        <f>IF(COUNTIFS(ASIGNACIONES!G:G,A29,ASIGNACIONES!K:K,B29)=0,"CODIGO DISPONIBLE","CODIGO ASIGNADO")</f>
        <v>CODIGO ASIGNADO</v>
      </c>
      <c r="D29" s="3">
        <v>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ht="16.5" hidden="1">
      <c r="A30" s="10" t="s">
        <v>304</v>
      </c>
      <c r="B30" s="11" t="s">
        <v>15</v>
      </c>
      <c r="C30" s="20" t="str">
        <f>IF(COUNTIFS(ASIGNACIONES!G:G,A30,ASIGNACIONES!K:K,B30)=0,"CODIGO DISPONIBLE","CODIGO ASIGNADO")</f>
        <v>CODIGO ASIGNADO</v>
      </c>
      <c r="D30" s="3">
        <v>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6.5" hidden="1">
      <c r="A31" s="10" t="s">
        <v>317</v>
      </c>
      <c r="B31" s="11" t="s">
        <v>15</v>
      </c>
      <c r="C31" s="20" t="str">
        <f>IF(COUNTIFS(ASIGNACIONES!G:G,A31,ASIGNACIONES!K:K,B31)=0,"CODIGO DISPONIBLE","CODIGO ASIGNADO")</f>
        <v>CODIGO ASIGNADO</v>
      </c>
      <c r="D31" s="3">
        <v>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6.5" hidden="1">
      <c r="A32" s="10" t="s">
        <v>333</v>
      </c>
      <c r="B32" s="11" t="s">
        <v>15</v>
      </c>
      <c r="C32" s="20" t="str">
        <f>IF(COUNTIFS(ASIGNACIONES!G:G,A32,ASIGNACIONES!K:K,B32)=0,"CODIGO DISPONIBLE","CODIGO ASIGNADO")</f>
        <v>CODIGO ASIGNADO</v>
      </c>
      <c r="D32" s="3">
        <v>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16.5" hidden="1">
      <c r="A33" s="10" t="s">
        <v>346</v>
      </c>
      <c r="B33" s="11" t="s">
        <v>15</v>
      </c>
      <c r="C33" s="20" t="str">
        <f>IF(COUNTIFS(ASIGNACIONES!G:G,A33,ASIGNACIONES!K:K,B33)=0,"CODIGO DISPONIBLE","CODIGO ASIGNADO")</f>
        <v>CODIGO ASIGNADO</v>
      </c>
      <c r="D33" s="3">
        <v>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ht="16.5" hidden="1">
      <c r="A34" s="10" t="s">
        <v>359</v>
      </c>
      <c r="B34" s="11" t="s">
        <v>15</v>
      </c>
      <c r="C34" s="20" t="str">
        <f>IF(COUNTIFS(ASIGNACIONES!G:G,A34,ASIGNACIONES!K:K,B34)=0,"CODIGO DISPONIBLE","CODIGO ASIGNADO")</f>
        <v>CODIGO ASIGNADO</v>
      </c>
      <c r="D34" s="3">
        <v>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6.5" hidden="1">
      <c r="A35" s="10" t="s">
        <v>376</v>
      </c>
      <c r="B35" s="11" t="s">
        <v>15</v>
      </c>
      <c r="C35" s="20" t="str">
        <f>IF(COUNTIFS(ASIGNACIONES!G:G,A35,ASIGNACIONES!K:K,B35)=0,"CODIGO DISPONIBLE","CODIGO ASIGNADO")</f>
        <v>CODIGO ASIGNADO</v>
      </c>
      <c r="D35" s="3">
        <v>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16.5" hidden="1">
      <c r="A36" s="10" t="s">
        <v>384</v>
      </c>
      <c r="B36" s="11" t="s">
        <v>15</v>
      </c>
      <c r="C36" s="20" t="str">
        <f>IF(COUNTIFS(ASIGNACIONES!G:G,A36,ASIGNACIONES!K:K,B36)=0,"CODIGO DISPONIBLE","CODIGO ASIGNADO")</f>
        <v>CODIGO ASIGNADO</v>
      </c>
      <c r="D36" s="3">
        <v>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16.5" hidden="1">
      <c r="A37" s="10" t="s">
        <v>395</v>
      </c>
      <c r="B37" s="11" t="s">
        <v>15</v>
      </c>
      <c r="C37" s="20" t="str">
        <f>IF(COUNTIFS(ASIGNACIONES!G:G,A37,ASIGNACIONES!K:K,B37)=0,"CODIGO DISPONIBLE","CODIGO ASIGNADO")</f>
        <v>CODIGO ASIGNADO</v>
      </c>
      <c r="D37" s="3">
        <v>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16.5" hidden="1">
      <c r="A38" s="10" t="s">
        <v>407</v>
      </c>
      <c r="B38" s="11" t="s">
        <v>15</v>
      </c>
      <c r="C38" s="20" t="str">
        <f>IF(COUNTIFS(ASIGNACIONES!G:G,A38,ASIGNACIONES!K:K,B38)=0,"CODIGO DISPONIBLE","CODIGO ASIGNADO")</f>
        <v>CODIGO ASIGNADO</v>
      </c>
      <c r="D38" s="3">
        <v>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16.5" hidden="1">
      <c r="A39" s="10" t="s">
        <v>422</v>
      </c>
      <c r="B39" s="11" t="s">
        <v>15</v>
      </c>
      <c r="C39" s="20" t="str">
        <f>IF(COUNTIFS(ASIGNACIONES!G:G,A39,ASIGNACIONES!K:K,B39)=0,"CODIGO DISPONIBLE","CODIGO ASIGNADO")</f>
        <v>CODIGO ASIGNADO</v>
      </c>
      <c r="D39" s="3">
        <v>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16.5" hidden="1">
      <c r="A40" s="10" t="s">
        <v>433</v>
      </c>
      <c r="B40" s="11" t="s">
        <v>15</v>
      </c>
      <c r="C40" s="20" t="str">
        <f>IF(COUNTIFS(ASIGNACIONES!G:G,A40,ASIGNACIONES!K:K,B40)=0,"CODIGO DISPONIBLE","CODIGO ASIGNADO")</f>
        <v>CODIGO DISPONIBLE</v>
      </c>
      <c r="D40" s="3">
        <v>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6.5" hidden="1">
      <c r="A41" s="10" t="s">
        <v>447</v>
      </c>
      <c r="B41" s="11" t="s">
        <v>15</v>
      </c>
      <c r="C41" s="20" t="str">
        <f>IF(COUNTIFS(ASIGNACIONES!G:G,A41,ASIGNACIONES!K:K,B41)=0,"CODIGO DISPONIBLE","CODIGO ASIGNADO")</f>
        <v>CODIGO ASIGNADO</v>
      </c>
      <c r="D41" s="3">
        <v>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16.5" hidden="1">
      <c r="A42" s="10" t="s">
        <v>460</v>
      </c>
      <c r="B42" s="11" t="s">
        <v>15</v>
      </c>
      <c r="C42" s="20" t="str">
        <f>IF(COUNTIFS(ASIGNACIONES!G:G,A42,ASIGNACIONES!K:K,B42)=0,"CODIGO DISPONIBLE","CODIGO ASIGNADO")</f>
        <v>CODIGO ASIGNADO</v>
      </c>
      <c r="D42" s="3">
        <v>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16.5" hidden="1">
      <c r="A43" s="10" t="s">
        <v>472</v>
      </c>
      <c r="B43" s="11" t="s">
        <v>15</v>
      </c>
      <c r="C43" s="20" t="str">
        <f>IF(COUNTIFS(ASIGNACIONES!G:G,A43,ASIGNACIONES!K:K,B43)=0,"CODIGO DISPONIBLE","CODIGO ASIGNADO")</f>
        <v>CODIGO ASIGNADO</v>
      </c>
      <c r="D43" s="3">
        <v>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16.5" hidden="1">
      <c r="A44" s="10" t="s">
        <v>483</v>
      </c>
      <c r="B44" s="11" t="s">
        <v>15</v>
      </c>
      <c r="C44" s="20" t="str">
        <f>IF(COUNTIFS(ASIGNACIONES!G:G,A44,ASIGNACIONES!K:K,B44)=0,"CODIGO DISPONIBLE","CODIGO ASIGNADO")</f>
        <v>CODIGO ASIGNADO</v>
      </c>
      <c r="D44" s="3">
        <v>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6.5" hidden="1">
      <c r="A45" s="10" t="s">
        <v>495</v>
      </c>
      <c r="B45" s="11" t="s">
        <v>15</v>
      </c>
      <c r="C45" s="20" t="str">
        <f>IF(COUNTIFS(ASIGNACIONES!G:G,A45,ASIGNACIONES!K:K,B45)=0,"CODIGO DISPONIBLE","CODIGO ASIGNADO")</f>
        <v>CODIGO ASIGNADO</v>
      </c>
      <c r="D45" s="3">
        <v>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6.5" hidden="1">
      <c r="A46" s="10" t="s">
        <v>508</v>
      </c>
      <c r="B46" s="11" t="s">
        <v>15</v>
      </c>
      <c r="C46" s="20" t="str">
        <f>IF(COUNTIFS(ASIGNACIONES!G:G,A46,ASIGNACIONES!K:K,B46)=0,"CODIGO DISPONIBLE","CODIGO ASIGNADO")</f>
        <v>CODIGO ASIGNADO</v>
      </c>
      <c r="D46" s="3">
        <v>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16.5" hidden="1">
      <c r="A47" s="10" t="s">
        <v>521</v>
      </c>
      <c r="B47" s="11" t="s">
        <v>15</v>
      </c>
      <c r="C47" s="20" t="str">
        <f>IF(COUNTIFS(ASIGNACIONES!G:G,A47,ASIGNACIONES!K:K,B47)=0,"CODIGO DISPONIBLE","CODIGO ASIGNADO")</f>
        <v>CODIGO ASIGNADO</v>
      </c>
      <c r="D47" s="3">
        <v>1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6.5" hidden="1">
      <c r="A48" s="10" t="s">
        <v>536</v>
      </c>
      <c r="B48" s="11" t="s">
        <v>15</v>
      </c>
      <c r="C48" s="20" t="str">
        <f>IF(COUNTIFS(ASIGNACIONES!G:G,A48,ASIGNACIONES!K:K,B48)=0,"CODIGO DISPONIBLE","CODIGO ASIGNADO")</f>
        <v>CODIGO ASIGNADO</v>
      </c>
      <c r="D48" s="3">
        <v>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6.5" hidden="1">
      <c r="A49" s="10" t="s">
        <v>560</v>
      </c>
      <c r="B49" s="11" t="s">
        <v>15</v>
      </c>
      <c r="C49" s="20" t="str">
        <f>IF(COUNTIFS(ASIGNACIONES!G:G,A49,ASIGNACIONES!K:K,B49)=0,"CODIGO DISPONIBLE","CODIGO ASIGNADO")</f>
        <v>CODIGO ASIGNADO</v>
      </c>
      <c r="D49" s="3">
        <v>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ht="16.5" hidden="1">
      <c r="A50" s="10" t="s">
        <v>573</v>
      </c>
      <c r="B50" s="11" t="s">
        <v>15</v>
      </c>
      <c r="C50" s="20" t="str">
        <f>IF(COUNTIFS(ASIGNACIONES!G:G,A50,ASIGNACIONES!K:K,B50)=0,"CODIGO DISPONIBLE","CODIGO ASIGNADO")</f>
        <v>CODIGO ASIGNADO</v>
      </c>
      <c r="D50" s="3">
        <v>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ht="16.5" hidden="1">
      <c r="A51" s="10" t="s">
        <v>582</v>
      </c>
      <c r="B51" s="11" t="s">
        <v>15</v>
      </c>
      <c r="C51" s="20" t="str">
        <f>IF(COUNTIFS(ASIGNACIONES!G:G,A51,ASIGNACIONES!K:K,B51)=0,"CODIGO DISPONIBLE","CODIGO ASIGNADO")</f>
        <v>CODIGO ASIGNADO</v>
      </c>
      <c r="D51" s="3">
        <v>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6.5" hidden="1">
      <c r="A52" s="10" t="s">
        <v>596</v>
      </c>
      <c r="B52" s="11" t="s">
        <v>15</v>
      </c>
      <c r="C52" s="20" t="str">
        <f>IF(COUNTIFS(ASIGNACIONES!G:G,A52,ASIGNACIONES!K:K,B52)=0,"CODIGO DISPONIBLE","CODIGO ASIGNADO")</f>
        <v>CODIGO ASIGNADO</v>
      </c>
      <c r="D52" s="3">
        <v>1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6.5" hidden="1">
      <c r="A53" s="10" t="s">
        <v>608</v>
      </c>
      <c r="B53" s="11" t="s">
        <v>15</v>
      </c>
      <c r="C53" s="20" t="str">
        <f>IF(COUNTIFS(ASIGNACIONES!G:G,A53,ASIGNACIONES!K:K,B53)=0,"CODIGO DISPONIBLE","CODIGO ASIGNADO")</f>
        <v>CODIGO ASIGNADO</v>
      </c>
      <c r="D53" s="3">
        <v>1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ht="16.5" hidden="1">
      <c r="A54" s="10" t="s">
        <v>622</v>
      </c>
      <c r="B54" s="11" t="s">
        <v>15</v>
      </c>
      <c r="C54" s="20" t="str">
        <f>IF(COUNTIFS(ASIGNACIONES!G:G,A54,ASIGNACIONES!K:K,B54)=0,"CODIGO DISPONIBLE","CODIGO ASIGNADO")</f>
        <v>CODIGO ASIGNADO</v>
      </c>
      <c r="D54" s="3">
        <v>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6.5" hidden="1">
      <c r="A55" s="10" t="s">
        <v>632</v>
      </c>
      <c r="B55" s="11" t="s">
        <v>15</v>
      </c>
      <c r="C55" s="20" t="str">
        <f>IF(COUNTIFS(ASIGNACIONES!G:G,A55,ASIGNACIONES!K:K,B55)=0,"CODIGO DISPONIBLE","CODIGO ASIGNADO")</f>
        <v>CODIGO DISPONIBLE</v>
      </c>
      <c r="D55" s="3">
        <v>1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ht="16.5" hidden="1">
      <c r="A56" s="10" t="s">
        <v>647</v>
      </c>
      <c r="B56" s="11" t="s">
        <v>15</v>
      </c>
      <c r="C56" s="20" t="str">
        <f>IF(COUNTIFS(ASIGNACIONES!G:G,A56,ASIGNACIONES!K:K,B56)=0,"CODIGO DISPONIBLE","CODIGO ASIGNADO")</f>
        <v>CODIGO DISPONIBLE</v>
      </c>
      <c r="D56" s="3">
        <v>1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ht="16.5" hidden="1">
      <c r="A57" s="10" t="s">
        <v>662</v>
      </c>
      <c r="B57" s="11" t="s">
        <v>31</v>
      </c>
      <c r="C57" s="20" t="str">
        <f>IF(COUNTIFS(ASIGNACIONES!G:G,A57,ASIGNACIONES!K:K,B57)=0,"CODIGO DISPONIBLE","CODIGO ASIGNADO")</f>
        <v>CODIGO ASIGNADO</v>
      </c>
      <c r="D57" s="3">
        <v>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ht="16.5" hidden="1">
      <c r="A58" s="10" t="s">
        <v>678</v>
      </c>
      <c r="B58" s="11" t="s">
        <v>31</v>
      </c>
      <c r="C58" s="20" t="str">
        <f>IF(COUNTIFS(ASIGNACIONES!G:G,A58,ASIGNACIONES!K:K,B58)=0,"CODIGO DISPONIBLE","CODIGO ASIGNADO")</f>
        <v>CODIGO ASIGNADO</v>
      </c>
      <c r="D58" s="3">
        <v>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6.5" hidden="1">
      <c r="A59" s="10" t="s">
        <v>686</v>
      </c>
      <c r="B59" s="11" t="s">
        <v>31</v>
      </c>
      <c r="C59" s="20" t="str">
        <f>IF(COUNTIFS(ASIGNACIONES!G:G,A59,ASIGNACIONES!K:K,B59)=0,"CODIGO DISPONIBLE","CODIGO ASIGNADO")</f>
        <v>CODIGO ASIGNADO</v>
      </c>
      <c r="D59" s="3">
        <v>1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ht="16.5" hidden="1">
      <c r="A60" s="10" t="s">
        <v>266</v>
      </c>
      <c r="B60" s="11" t="s">
        <v>15</v>
      </c>
      <c r="C60" s="20" t="str">
        <f>IF(COUNTIFS(ASIGNACIONES!G:G,A60,ASIGNACIONES!K:K,B60)=0,"CODIGO DISPONIBLE","CODIGO ASIGNADO")</f>
        <v>CODIGO ASIGNADO</v>
      </c>
      <c r="D60" s="3">
        <v>1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ht="16.5" hidden="1">
      <c r="A61" s="10" t="s">
        <v>275</v>
      </c>
      <c r="B61" s="11" t="s">
        <v>15</v>
      </c>
      <c r="C61" s="20" t="str">
        <f>IF(COUNTIFS(ASIGNACIONES!G:G,A61,ASIGNACIONES!K:K,B61)=0,"CODIGO DISPONIBLE","CODIGO ASIGNADO")</f>
        <v>CODIGO ASIGNADO</v>
      </c>
      <c r="D61" s="3">
        <v>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6.5" hidden="1">
      <c r="A62" s="10" t="s">
        <v>728</v>
      </c>
      <c r="B62" s="11" t="s">
        <v>15</v>
      </c>
      <c r="C62" s="20" t="str">
        <f>IF(COUNTIFS(ASIGNACIONES!G:G,A62,ASIGNACIONES!K:K,B62)=0,"CODIGO DISPONIBLE","CODIGO ASIGNADO")</f>
        <v>CODIGO ASIGNADO</v>
      </c>
      <c r="D62" s="3">
        <v>1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ht="16.5" hidden="1">
      <c r="A63" s="10" t="s">
        <v>742</v>
      </c>
      <c r="B63" s="11" t="s">
        <v>15</v>
      </c>
      <c r="C63" s="20" t="str">
        <f>IF(COUNTIFS(ASIGNACIONES!G:G,A63,ASIGNACIONES!K:K,B63)=0,"CODIGO DISPONIBLE","CODIGO ASIGNADO")</f>
        <v>CODIGO ASIGNADO</v>
      </c>
      <c r="D63" s="3">
        <v>1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ht="16.5" hidden="1">
      <c r="A64" s="10" t="s">
        <v>294</v>
      </c>
      <c r="B64" s="11" t="s">
        <v>15</v>
      </c>
      <c r="C64" s="20" t="str">
        <f>IF(COUNTIFS(ASIGNACIONES!G:G,A64,ASIGNACIONES!K:K,B64)=0,"CODIGO DISPONIBLE","CODIGO ASIGNADO")</f>
        <v>CODIGO ASIGNADO</v>
      </c>
      <c r="D64" s="3">
        <v>1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ht="16.5" hidden="1">
      <c r="A65" s="10" t="s">
        <v>764</v>
      </c>
      <c r="B65" s="11" t="s">
        <v>15</v>
      </c>
      <c r="C65" s="20" t="str">
        <f>IF(COUNTIFS(ASIGNACIONES!G:G,A65,ASIGNACIONES!K:K,B65)=0,"CODIGO DISPONIBLE","CODIGO ASIGNADO")</f>
        <v>CODIGO ASIGNADO</v>
      </c>
      <c r="D65" s="3">
        <v>1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6.5" hidden="1">
      <c r="A66" s="10" t="s">
        <v>306</v>
      </c>
      <c r="B66" s="11" t="s">
        <v>15</v>
      </c>
      <c r="C66" s="20" t="str">
        <f>IF(COUNTIFS(ASIGNACIONES!G:G,A66,ASIGNACIONES!K:K,B66)=0,"CODIGO DISPONIBLE","CODIGO ASIGNADO")</f>
        <v>CODIGO ASIGNADO</v>
      </c>
      <c r="D66" s="3">
        <v>1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ht="16.5" hidden="1">
      <c r="A67" s="10" t="s">
        <v>326</v>
      </c>
      <c r="B67" s="11" t="s">
        <v>15</v>
      </c>
      <c r="C67" s="20" t="str">
        <f>IF(COUNTIFS(ASIGNACIONES!G:G,A67,ASIGNACIONES!K:K,B67)=0,"CODIGO DISPONIBLE","CODIGO ASIGNADO")</f>
        <v>CODIGO ASIGNADO</v>
      </c>
      <c r="D67" s="3">
        <v>1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ht="16.5" hidden="1">
      <c r="A68" s="10" t="s">
        <v>334</v>
      </c>
      <c r="B68" s="11" t="s">
        <v>15</v>
      </c>
      <c r="C68" s="20" t="str">
        <f>IF(COUNTIFS(ASIGNACIONES!G:G,A68,ASIGNACIONES!K:K,B68)=0,"CODIGO DISPONIBLE","CODIGO ASIGNADO")</f>
        <v>CODIGO ASIGNADO</v>
      </c>
      <c r="D68" s="3">
        <v>1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ht="16.5" hidden="1">
      <c r="A69" s="10" t="s">
        <v>344</v>
      </c>
      <c r="B69" s="11" t="s">
        <v>15</v>
      </c>
      <c r="C69" s="20" t="str">
        <f>IF(COUNTIFS(ASIGNACIONES!G:G,A69,ASIGNACIONES!K:K,B69)=0,"CODIGO DISPONIBLE","CODIGO ASIGNADO")</f>
        <v>CODIGO ASIGNADO</v>
      </c>
      <c r="D69" s="3">
        <v>1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6.5" hidden="1">
      <c r="A70" s="10" t="s">
        <v>807</v>
      </c>
      <c r="B70" s="11" t="s">
        <v>15</v>
      </c>
      <c r="C70" s="20" t="str">
        <f>IF(COUNTIFS(ASIGNACIONES!G:G,A70,ASIGNACIONES!K:K,B70)=0,"CODIGO DISPONIBLE","CODIGO ASIGNADO")</f>
        <v>CODIGO ASIGNADO</v>
      </c>
      <c r="D70" s="3">
        <v>1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6.5" hidden="1">
      <c r="A71" s="10" t="s">
        <v>821</v>
      </c>
      <c r="B71" s="11" t="s">
        <v>15</v>
      </c>
      <c r="C71" s="20" t="str">
        <f>IF(COUNTIFS(ASIGNACIONES!G:G,A71,ASIGNACIONES!K:K,B71)=0,"CODIGO DISPONIBLE","CODIGO ASIGNADO")</f>
        <v>CODIGO ASIGNADO</v>
      </c>
      <c r="D71" s="3">
        <v>1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16.5" hidden="1">
      <c r="A72" s="10" t="s">
        <v>836</v>
      </c>
      <c r="B72" s="11" t="s">
        <v>15</v>
      </c>
      <c r="C72" s="20" t="str">
        <f>IF(COUNTIFS(ASIGNACIONES!G:G,A72,ASIGNACIONES!K:K,B72)=0,"CODIGO DISPONIBLE","CODIGO ASIGNADO")</f>
        <v>CODIGO ASIGNADO</v>
      </c>
      <c r="D72" s="3">
        <v>1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16.5" hidden="1">
      <c r="A73" s="10" t="s">
        <v>475</v>
      </c>
      <c r="B73" s="11" t="s">
        <v>15</v>
      </c>
      <c r="C73" s="20" t="str">
        <f>IF(COUNTIFS(ASIGNACIONES!G:G,A73,ASIGNACIONES!K:K,B73)=0,"CODIGO DISPONIBLE","CODIGO ASIGNADO")</f>
        <v>CODIGO ASIGNADO</v>
      </c>
      <c r="D73" s="3">
        <v>1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ht="16.5" hidden="1">
      <c r="A74" s="10" t="s">
        <v>504</v>
      </c>
      <c r="B74" s="11" t="s">
        <v>15</v>
      </c>
      <c r="C74" s="20" t="str">
        <f>IF(COUNTIFS(ASIGNACIONES!G:G,A74,ASIGNACIONES!K:K,B74)=0,"CODIGO DISPONIBLE","CODIGO ASIGNADO")</f>
        <v>CODIGO ASIGNADO</v>
      </c>
      <c r="D74" s="3">
        <v>1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6.5" hidden="1">
      <c r="A75" s="10" t="s">
        <v>516</v>
      </c>
      <c r="B75" s="11" t="s">
        <v>15</v>
      </c>
      <c r="C75" s="20" t="str">
        <f>IF(COUNTIFS(ASIGNACIONES!G:G,A75,ASIGNACIONES!K:K,B75)=0,"CODIGO DISPONIBLE","CODIGO ASIGNADO")</f>
        <v>CODIGO ASIGNADO</v>
      </c>
      <c r="D75" s="3">
        <v>1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ht="16.5" hidden="1">
      <c r="A76" s="10" t="s">
        <v>529</v>
      </c>
      <c r="B76" s="11" t="s">
        <v>15</v>
      </c>
      <c r="C76" s="20" t="str">
        <f>IF(COUNTIFS(ASIGNACIONES!G:G,A76,ASIGNACIONES!K:K,B76)=0,"CODIGO DISPONIBLE","CODIGO ASIGNADO")</f>
        <v>CODIGO ASIGNADO</v>
      </c>
      <c r="D76" s="3">
        <v>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ht="16.5" hidden="1">
      <c r="A77" s="10" t="s">
        <v>548</v>
      </c>
      <c r="B77" s="11" t="s">
        <v>15</v>
      </c>
      <c r="C77" s="20" t="str">
        <f>IF(COUNTIFS(ASIGNACIONES!G:G,A77,ASIGNACIONES!K:K,B77)=0,"CODIGO DISPONIBLE","CODIGO ASIGNADO")</f>
        <v>CODIGO ASIGNADO</v>
      </c>
      <c r="D77" s="3">
        <v>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ht="16.5" hidden="1">
      <c r="A78" s="10" t="s">
        <v>590</v>
      </c>
      <c r="B78" s="11" t="s">
        <v>15</v>
      </c>
      <c r="C78" s="20" t="str">
        <f>IF(COUNTIFS(ASIGNACIONES!G:G,A78,ASIGNACIONES!K:K,B78)=0,"CODIGO DISPONIBLE","CODIGO ASIGNADO")</f>
        <v>CODIGO ASIGNADO</v>
      </c>
      <c r="D78" s="3">
        <v>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6.5" hidden="1">
      <c r="A79" s="10" t="s">
        <v>931</v>
      </c>
      <c r="B79" s="11" t="s">
        <v>15</v>
      </c>
      <c r="C79" s="20" t="str">
        <f>IF(COUNTIFS(ASIGNACIONES!G:G,A79,ASIGNACIONES!K:K,B79)=0,"CODIGO DISPONIBLE","CODIGO ASIGNADO")</f>
        <v>CODIGO ASIGNADO</v>
      </c>
      <c r="D79" s="3">
        <v>1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ht="16.5" hidden="1">
      <c r="A80" s="10" t="s">
        <v>944</v>
      </c>
      <c r="B80" s="11" t="s">
        <v>15</v>
      </c>
      <c r="C80" s="20" t="str">
        <f>IF(COUNTIFS(ASIGNACIONES!G:G,A80,ASIGNACIONES!K:K,B80)=0,"CODIGO DISPONIBLE","CODIGO ASIGNADO")</f>
        <v>CODIGO ASIGNADO</v>
      </c>
      <c r="D80" s="3">
        <v>1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ht="16.5" hidden="1">
      <c r="A81" s="10" t="s">
        <v>615</v>
      </c>
      <c r="B81" s="11" t="s">
        <v>15</v>
      </c>
      <c r="C81" s="20" t="str">
        <f>IF(COUNTIFS(ASIGNACIONES!G:G,A81,ASIGNACIONES!K:K,B81)=0,"CODIGO DISPONIBLE","CODIGO ASIGNADO")</f>
        <v>CODIGO ASIGNADO</v>
      </c>
      <c r="D81" s="3">
        <v>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6.5" hidden="1">
      <c r="A82" s="10" t="s">
        <v>655</v>
      </c>
      <c r="B82" s="11" t="s">
        <v>15</v>
      </c>
      <c r="C82" s="20" t="str">
        <f>IF(COUNTIFS(ASIGNACIONES!G:G,A82,ASIGNACIONES!K:K,B82)=0,"CODIGO DISPONIBLE","CODIGO ASIGNADO")</f>
        <v>CODIGO ASIGNADO</v>
      </c>
      <c r="D82" s="3">
        <v>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16.5" hidden="1">
      <c r="A83" s="10" t="s">
        <v>673</v>
      </c>
      <c r="B83" s="11" t="s">
        <v>15</v>
      </c>
      <c r="C83" s="20" t="str">
        <f>IF(COUNTIFS(ASIGNACIONES!G:G,A83,ASIGNACIONES!K:K,B83)=0,"CODIGO DISPONIBLE","CODIGO ASIGNADO")</f>
        <v>CODIGO ASIGNADO</v>
      </c>
      <c r="D83" s="3">
        <v>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ht="16.5" hidden="1">
      <c r="A84" s="10" t="s">
        <v>972</v>
      </c>
      <c r="B84" s="11" t="s">
        <v>15</v>
      </c>
      <c r="C84" s="20" t="str">
        <f>IF(COUNTIFS(ASIGNACIONES!G:G,A84,ASIGNACIONES!K:K,B84)=0,"CODIGO DISPONIBLE","CODIGO ASIGNADO")</f>
        <v>CODIGO ASIGNADO</v>
      </c>
      <c r="D84" s="3">
        <v>1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ht="16.5" hidden="1">
      <c r="A85" s="10" t="s">
        <v>978</v>
      </c>
      <c r="B85" s="11" t="s">
        <v>15</v>
      </c>
      <c r="C85" s="20" t="str">
        <f>IF(COUNTIFS(ASIGNACIONES!G:G,A85,ASIGNACIONES!K:K,B85)=0,"CODIGO DISPONIBLE","CODIGO ASIGNADO")</f>
        <v>CODIGO ASIGNADO</v>
      </c>
      <c r="D85" s="3">
        <v>1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6.5" hidden="1">
      <c r="A86" s="10" t="s">
        <v>710</v>
      </c>
      <c r="B86" s="11" t="s">
        <v>15</v>
      </c>
      <c r="C86" s="20" t="str">
        <f>IF(COUNTIFS(ASIGNACIONES!G:G,A86,ASIGNACIONES!K:K,B86)=0,"CODIGO DISPONIBLE","CODIGO ASIGNADO")</f>
        <v>CODIGO ASIGNADO</v>
      </c>
      <c r="D86" s="3">
        <v>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ht="16.5" hidden="1">
      <c r="A87" s="10" t="s">
        <v>775</v>
      </c>
      <c r="B87" s="11" t="s">
        <v>15</v>
      </c>
      <c r="C87" s="20" t="str">
        <f>IF(COUNTIFS(ASIGNACIONES!G:G,A87,ASIGNACIONES!K:K,B87)=0,"CODIGO DISPONIBLE","CODIGO ASIGNADO")</f>
        <v>CODIGO ASIGNADO</v>
      </c>
      <c r="D87" s="3">
        <v>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ht="16.5" hidden="1">
      <c r="A88" s="10" t="s">
        <v>1008</v>
      </c>
      <c r="B88" s="11" t="s">
        <v>15</v>
      </c>
      <c r="C88" s="20" t="str">
        <f>IF(COUNTIFS(ASIGNACIONES!G:G,A88,ASIGNACIONES!K:K,B88)=0,"CODIGO DISPONIBLE","CODIGO ASIGNADO")</f>
        <v>CODIGO ASIGNADO</v>
      </c>
      <c r="D88" s="3">
        <v>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6.5" hidden="1">
      <c r="A89" s="10" t="s">
        <v>844</v>
      </c>
      <c r="B89" s="11" t="s">
        <v>15</v>
      </c>
      <c r="C89" s="20" t="str">
        <f>IF(COUNTIFS(ASIGNACIONES!G:G,A89,ASIGNACIONES!K:K,B89)=0,"CODIGO DISPONIBLE","CODIGO ASIGNADO")</f>
        <v>CODIGO ASIGNADO</v>
      </c>
      <c r="D89" s="3">
        <v>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6.5" hidden="1">
      <c r="A90" s="10" t="s">
        <v>1038</v>
      </c>
      <c r="B90" s="11" t="s">
        <v>15</v>
      </c>
      <c r="C90" s="20" t="str">
        <f>IF(COUNTIFS(ASIGNACIONES!G:G,A90,ASIGNACIONES!K:K,B90)=0,"CODIGO DISPONIBLE","CODIGO ASIGNADO")</f>
        <v>CODIGO ASIGNADO</v>
      </c>
      <c r="D90" s="3">
        <v>1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ht="16.5" hidden="1">
      <c r="A91" s="10" t="s">
        <v>1049</v>
      </c>
      <c r="B91" s="11" t="s">
        <v>15</v>
      </c>
      <c r="C91" s="20" t="str">
        <f>IF(COUNTIFS(ASIGNACIONES!G:G,A91,ASIGNACIONES!K:K,B91)=0,"CODIGO DISPONIBLE","CODIGO ASIGNADO")</f>
        <v>CODIGO ASIGNADO</v>
      </c>
      <c r="D91" s="3">
        <v>1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ht="16.5" hidden="1">
      <c r="A92" s="10" t="s">
        <v>1060</v>
      </c>
      <c r="B92" s="11" t="s">
        <v>15</v>
      </c>
      <c r="C92" s="20" t="str">
        <f>IF(COUNTIFS(ASIGNACIONES!G:G,A92,ASIGNACIONES!K:K,B92)=0,"CODIGO DISPONIBLE","CODIGO ASIGNADO")</f>
        <v>CODIGO ASIGNADO</v>
      </c>
      <c r="D92" s="3">
        <v>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6.5" hidden="1">
      <c r="A93" s="10" t="s">
        <v>1067</v>
      </c>
      <c r="B93" s="11" t="s">
        <v>15</v>
      </c>
      <c r="C93" s="20" t="str">
        <f>IF(COUNTIFS(ASIGNACIONES!G:G,A93,ASIGNACIONES!K:K,B93)=0,"CODIGO DISPONIBLE","CODIGO ASIGNADO")</f>
        <v>CODIGO ASIGNADO</v>
      </c>
      <c r="D93" s="3">
        <v>1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ht="16.5" hidden="1">
      <c r="A94" s="10" t="s">
        <v>1077</v>
      </c>
      <c r="B94" s="11" t="s">
        <v>15</v>
      </c>
      <c r="C94" s="20" t="str">
        <f>IF(COUNTIFS(ASIGNACIONES!G:G,A94,ASIGNACIONES!K:K,B94)=0,"CODIGO DISPONIBLE","CODIGO ASIGNADO")</f>
        <v>CODIGO DISPONIBLE</v>
      </c>
      <c r="D94" s="3">
        <v>1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ht="16.5" hidden="1">
      <c r="A95" s="10" t="s">
        <v>1087</v>
      </c>
      <c r="B95" s="11" t="s">
        <v>15</v>
      </c>
      <c r="C95" s="20" t="str">
        <f>IF(COUNTIFS(ASIGNACIONES!G:G,A95,ASIGNACIONES!K:K,B95)=0,"CODIGO DISPONIBLE","CODIGO ASIGNADO")</f>
        <v>CODIGO ASIGNADO</v>
      </c>
      <c r="D95" s="3">
        <v>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ht="16.5" hidden="1">
      <c r="A96" s="10" t="s">
        <v>1101</v>
      </c>
      <c r="B96" s="11" t="s">
        <v>15</v>
      </c>
      <c r="C96" s="20" t="str">
        <f>IF(COUNTIFS(ASIGNACIONES!G:G,A96,ASIGNACIONES!K:K,B96)=0,"CODIGO DISPONIBLE","CODIGO ASIGNADO")</f>
        <v>CODIGO ASIGNADO</v>
      </c>
      <c r="D96" s="3">
        <v>1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6.5" hidden="1">
      <c r="A97" s="10" t="s">
        <v>1113</v>
      </c>
      <c r="B97" s="11" t="s">
        <v>15</v>
      </c>
      <c r="C97" s="20" t="str">
        <f>IF(COUNTIFS(ASIGNACIONES!G:G,A97,ASIGNACIONES!K:K,B97)=0,"CODIGO DISPONIBLE","CODIGO ASIGNADO")</f>
        <v>CODIGO ASIGNADO</v>
      </c>
      <c r="D97" s="3">
        <v>1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ht="16.5" hidden="1">
      <c r="A98" s="10" t="s">
        <v>971</v>
      </c>
      <c r="B98" s="11" t="s">
        <v>15</v>
      </c>
      <c r="C98" s="20" t="str">
        <f>IF(COUNTIFS(ASIGNACIONES!G:G,A98,ASIGNACIONES!K:K,B98)=0,"CODIGO DISPONIBLE","CODIGO ASIGNADO")</f>
        <v>CODIGO ASIGNADO</v>
      </c>
      <c r="D98" s="3">
        <v>1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ht="16.5" hidden="1">
      <c r="A99" s="10" t="s">
        <v>1002</v>
      </c>
      <c r="B99" s="11" t="s">
        <v>15</v>
      </c>
      <c r="C99" s="20" t="str">
        <f>IF(COUNTIFS(ASIGNACIONES!G:G,A99,ASIGNACIONES!K:K,B99)=0,"CODIGO DISPONIBLE","CODIGO ASIGNADO")</f>
        <v>CODIGO ASIGNADO</v>
      </c>
      <c r="D99" s="3">
        <v>1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ht="16.5" hidden="1">
      <c r="A100" s="10" t="s">
        <v>1012</v>
      </c>
      <c r="B100" s="11" t="s">
        <v>15</v>
      </c>
      <c r="C100" s="20" t="str">
        <f>IF(COUNTIFS(ASIGNACIONES!G:G,A100,ASIGNACIONES!K:K,B100)=0,"CODIGO DISPONIBLE","CODIGO ASIGNADO")</f>
        <v>CODIGO ASIGNADO</v>
      </c>
      <c r="D100" s="3">
        <v>1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ht="16.5" hidden="1">
      <c r="A101" s="10" t="s">
        <v>1028</v>
      </c>
      <c r="B101" s="11" t="s">
        <v>15</v>
      </c>
      <c r="C101" s="20" t="str">
        <f>IF(COUNTIFS(ASIGNACIONES!G:G,A101,ASIGNACIONES!K:K,B101)=0,"CODIGO DISPONIBLE","CODIGO ASIGNADO")</f>
        <v>CODIGO ASIGNADO</v>
      </c>
      <c r="D101" s="3">
        <v>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ht="16.5" hidden="1">
      <c r="A102" s="10" t="s">
        <v>1182</v>
      </c>
      <c r="B102" s="11" t="s">
        <v>15</v>
      </c>
      <c r="C102" s="20" t="str">
        <f>IF(COUNTIFS(ASIGNACIONES!G:G,A102,ASIGNACIONES!K:K,B102)=0,"CODIGO DISPONIBLE","CODIGO ASIGNADO")</f>
        <v>CODIGO ASIGNADO</v>
      </c>
      <c r="D102" s="3">
        <v>1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ht="16.5" hidden="1">
      <c r="A103" s="10" t="s">
        <v>1196</v>
      </c>
      <c r="B103" s="11" t="s">
        <v>15</v>
      </c>
      <c r="C103" s="20" t="str">
        <f>IF(COUNTIFS(ASIGNACIONES!G:G,A103,ASIGNACIONES!K:K,B103)=0,"CODIGO DISPONIBLE","CODIGO ASIGNADO")</f>
        <v>CODIGO ASIGNADO</v>
      </c>
      <c r="D103" s="3">
        <v>1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6.5" hidden="1">
      <c r="A104" s="10" t="s">
        <v>1204</v>
      </c>
      <c r="B104" s="11" t="s">
        <v>15</v>
      </c>
      <c r="C104" s="20" t="str">
        <f>IF(COUNTIFS(ASIGNACIONES!G:G,A104,ASIGNACIONES!K:K,B104)=0,"CODIGO DISPONIBLE","CODIGO ASIGNADO")</f>
        <v>CODIGO ASIGNADO</v>
      </c>
      <c r="D104" s="3">
        <v>1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6.5" hidden="1">
      <c r="A105" s="10" t="s">
        <v>1215</v>
      </c>
      <c r="B105" s="11" t="s">
        <v>15</v>
      </c>
      <c r="C105" s="20" t="str">
        <f>IF(COUNTIFS(ASIGNACIONES!G:G,A105,ASIGNACIONES!K:K,B105)=0,"CODIGO DISPONIBLE","CODIGO ASIGNADO")</f>
        <v>CODIGO ASIGNADO</v>
      </c>
      <c r="D105" s="3">
        <v>1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ht="16.5" hidden="1">
      <c r="A106" s="10" t="s">
        <v>1227</v>
      </c>
      <c r="B106" s="11" t="s">
        <v>15</v>
      </c>
      <c r="C106" s="20" t="str">
        <f>IF(COUNTIFS(ASIGNACIONES!G:G,A106,ASIGNACIONES!K:K,B106)=0,"CODIGO DISPONIBLE","CODIGO ASIGNADO")</f>
        <v>CODIGO ASIGNADO</v>
      </c>
      <c r="D106" s="3">
        <v>1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ht="16.5" hidden="1">
      <c r="A107" s="10" t="s">
        <v>1240</v>
      </c>
      <c r="B107" s="11" t="s">
        <v>15</v>
      </c>
      <c r="C107" s="20" t="str">
        <f>IF(COUNTIFS(ASIGNACIONES!G:G,A107,ASIGNACIONES!K:K,B107)=0,"CODIGO DISPONIBLE","CODIGO ASIGNADO")</f>
        <v>CODIGO ASIGNADO</v>
      </c>
      <c r="D107" s="3">
        <v>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ht="16.5" hidden="1">
      <c r="A108" s="10" t="s">
        <v>1193</v>
      </c>
      <c r="B108" s="11" t="s">
        <v>15</v>
      </c>
      <c r="C108" s="20" t="str">
        <f>IF(COUNTIFS(ASIGNACIONES!G:G,A108,ASIGNACIONES!K:K,B108)=0,"CODIGO DISPONIBLE","CODIGO ASIGNADO")</f>
        <v>CODIGO ASIGNADO</v>
      </c>
      <c r="D108" s="3">
        <v>1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ht="16.5" hidden="1">
      <c r="A109" s="10" t="s">
        <v>1258</v>
      </c>
      <c r="B109" s="11" t="s">
        <v>15</v>
      </c>
      <c r="C109" s="20" t="str">
        <f>IF(COUNTIFS(ASIGNACIONES!G:G,A109,ASIGNACIONES!K:K,B109)=0,"CODIGO DISPONIBLE","CODIGO ASIGNADO")</f>
        <v>CODIGO ASIGNADO</v>
      </c>
      <c r="D109" s="3">
        <v>1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ht="16.5" hidden="1">
      <c r="A110" s="10" t="s">
        <v>1269</v>
      </c>
      <c r="B110" s="11" t="s">
        <v>15</v>
      </c>
      <c r="C110" s="20" t="str">
        <f>IF(COUNTIFS(ASIGNACIONES!G:G,A110,ASIGNACIONES!K:K,B110)=0,"CODIGO DISPONIBLE","CODIGO ASIGNADO")</f>
        <v>CODIGO ASIGNADO</v>
      </c>
      <c r="D110" s="3">
        <v>1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ht="16.5" hidden="1">
      <c r="A111" s="10" t="s">
        <v>1120</v>
      </c>
      <c r="B111" s="11" t="s">
        <v>15</v>
      </c>
      <c r="C111" s="20" t="str">
        <f>IF(COUNTIFS(ASIGNACIONES!G:G,A111,ASIGNACIONES!K:K,B111)=0,"CODIGO DISPONIBLE","CODIGO ASIGNADO")</f>
        <v>CODIGO ASIGNADO</v>
      </c>
      <c r="D111" s="3">
        <v>1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ht="16.5" hidden="1">
      <c r="A112" s="10" t="s">
        <v>1187</v>
      </c>
      <c r="B112" s="11" t="s">
        <v>15</v>
      </c>
      <c r="C112" s="20" t="str">
        <f>IF(COUNTIFS(ASIGNACIONES!G:G,A112,ASIGNACIONES!K:K,B112)=0,"CODIGO DISPONIBLE","CODIGO ASIGNADO")</f>
        <v>CODIGO ASIGNADO</v>
      </c>
      <c r="D112" s="3">
        <v>1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ht="16.5" hidden="1">
      <c r="A113" s="10" t="s">
        <v>1138</v>
      </c>
      <c r="B113" s="11" t="s">
        <v>15</v>
      </c>
      <c r="C113" s="20" t="str">
        <f>IF(COUNTIFS(ASIGNACIONES!G:G,A113,ASIGNACIONES!K:K,B113)=0,"CODIGO DISPONIBLE","CODIGO ASIGNADO")</f>
        <v>CODIGO ASIGNADO</v>
      </c>
      <c r="D113" s="3">
        <v>1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ht="16.5" hidden="1">
      <c r="A114" s="10" t="s">
        <v>1066</v>
      </c>
      <c r="B114" s="11" t="s">
        <v>15</v>
      </c>
      <c r="C114" s="20" t="str">
        <f>IF(COUNTIFS(ASIGNACIONES!G:G,A114,ASIGNACIONES!K:K,B114)=0,"CODIGO DISPONIBLE","CODIGO ASIGNADO")</f>
        <v>CODIGO ASIGNADO</v>
      </c>
      <c r="D114" s="3">
        <v>1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16.5" hidden="1">
      <c r="A115" s="10" t="s">
        <v>1154</v>
      </c>
      <c r="B115" s="11" t="s">
        <v>15</v>
      </c>
      <c r="C115" s="20" t="str">
        <f>IF(COUNTIFS(ASIGNACIONES!G:G,A115,ASIGNACIONES!K:K,B115)=0,"CODIGO DISPONIBLE","CODIGO ASIGNADO")</f>
        <v>CODIGO ASIGNADO</v>
      </c>
      <c r="D115" s="3">
        <v>1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ht="16.5" hidden="1">
      <c r="A116" s="10" t="s">
        <v>1207</v>
      </c>
      <c r="B116" s="11" t="s">
        <v>15</v>
      </c>
      <c r="C116" s="20" t="str">
        <f>IF(COUNTIFS(ASIGNACIONES!G:G,A116,ASIGNACIONES!K:K,B116)=0,"CODIGO DISPONIBLE","CODIGO ASIGNADO")</f>
        <v>CODIGO ASIGNADO</v>
      </c>
      <c r="D116" s="3">
        <v>1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ht="16.5" hidden="1">
      <c r="A117" s="10" t="s">
        <v>568</v>
      </c>
      <c r="B117" s="11" t="s">
        <v>15</v>
      </c>
      <c r="C117" s="20" t="str">
        <f>IF(COUNTIFS(ASIGNACIONES!G:G,A117,ASIGNACIONES!K:K,B117)=0,"CODIGO DISPONIBLE","CODIGO ASIGNADO")</f>
        <v>CODIGO ASIGNADO</v>
      </c>
      <c r="D117" s="3">
        <v>1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ht="16.5" hidden="1">
      <c r="A118" s="10" t="s">
        <v>1355</v>
      </c>
      <c r="B118" s="11" t="s">
        <v>15</v>
      </c>
      <c r="C118" s="20" t="str">
        <f>IF(COUNTIFS(ASIGNACIONES!G:G,A118,ASIGNACIONES!K:K,B118)=0,"CODIGO DISPONIBLE","CODIGO ASIGNADO")</f>
        <v>CODIGO ASIGNADO</v>
      </c>
      <c r="D118" s="3">
        <v>1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ht="16.5" hidden="1">
      <c r="A119" s="10" t="s">
        <v>1365</v>
      </c>
      <c r="B119" s="56" t="s">
        <v>15</v>
      </c>
      <c r="C119" s="20" t="str">
        <f>IF(COUNTIFS(ASIGNACIONES!G:G,A119,ASIGNACIONES!K:K,B119)=0,"CODIGO DISPONIBLE","CODIGO ASIGNADO")</f>
        <v>CODIGO ASIGNADO</v>
      </c>
      <c r="D119" s="3">
        <v>1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ht="16.5" hidden="1">
      <c r="A120" s="10" t="s">
        <v>1380</v>
      </c>
      <c r="B120" s="56" t="s">
        <v>15</v>
      </c>
      <c r="C120" s="20" t="str">
        <f>IF(COUNTIFS(ASIGNACIONES!G:G,A120,ASIGNACIONES!K:K,B120)=0,"CODIGO DISPONIBLE","CODIGO ASIGNADO")</f>
        <v>CODIGO ASIGNADO</v>
      </c>
      <c r="D120" s="3">
        <v>1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ht="16.5" hidden="1">
      <c r="A121" s="10" t="s">
        <v>1391</v>
      </c>
      <c r="B121" s="11" t="s">
        <v>15</v>
      </c>
      <c r="C121" s="20" t="str">
        <f>IF(COUNTIFS(ASIGNACIONES!G:G,A121,ASIGNACIONES!K:K,B121)=0,"CODIGO DISPONIBLE","CODIGO ASIGNADO")</f>
        <v>CODIGO ASIGNADO</v>
      </c>
      <c r="D121" s="3">
        <v>1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ht="16.5" hidden="1">
      <c r="A122" s="10" t="s">
        <v>1402</v>
      </c>
      <c r="B122" s="56" t="s">
        <v>15</v>
      </c>
      <c r="C122" s="20" t="str">
        <f>IF(COUNTIFS(ASIGNACIONES!G:G,A122,ASIGNACIONES!K:K,B122)=0,"CODIGO DISPONIBLE","CODIGO ASIGNADO")</f>
        <v>CODIGO ASIGNADO</v>
      </c>
      <c r="D122" s="3">
        <v>1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ht="16.5" hidden="1">
      <c r="A123" s="10" t="s">
        <v>374</v>
      </c>
      <c r="B123" s="11" t="s">
        <v>15</v>
      </c>
      <c r="C123" s="20" t="str">
        <f>IF(COUNTIFS(ASIGNACIONES!G:G,A123,ASIGNACIONES!K:K,B123)=0,"CODIGO DISPONIBLE","CODIGO ASIGNADO")</f>
        <v>CODIGO ASIGNADO</v>
      </c>
      <c r="D123" s="3">
        <v>1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ht="16.5" hidden="1">
      <c r="A124" s="10" t="s">
        <v>454</v>
      </c>
      <c r="B124" s="56" t="s">
        <v>15</v>
      </c>
      <c r="C124" s="20" t="str">
        <f>IF(COUNTIFS(ASIGNACIONES!G:G,A124,ASIGNACIONES!K:K,B124)=0,"CODIGO DISPONIBLE","CODIGO ASIGNADO")</f>
        <v>CODIGO ASIGNADO</v>
      </c>
      <c r="D124" s="3">
        <v>1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ht="16.5" hidden="1">
      <c r="A125" s="10" t="s">
        <v>1432</v>
      </c>
      <c r="B125" s="56" t="s">
        <v>15</v>
      </c>
      <c r="C125" s="20" t="str">
        <f>IF(COUNTIFS(ASIGNACIONES!G:G,A125,ASIGNACIONES!K:K,B125)=0,"CODIGO DISPONIBLE","CODIGO ASIGNADO")</f>
        <v>CODIGO ASIGNADO</v>
      </c>
      <c r="D125" s="3">
        <v>1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ht="16.5" hidden="1">
      <c r="A126" s="10" t="s">
        <v>698</v>
      </c>
      <c r="B126" s="11" t="s">
        <v>15</v>
      </c>
      <c r="C126" s="20" t="str">
        <f>IF(COUNTIFS(ASIGNACIONES!G:G,A126,ASIGNACIONES!K:K,B126)=0,"CODIGO DISPONIBLE","CODIGO ASIGNADO")</f>
        <v>CODIGO ASIGNADO</v>
      </c>
      <c r="D126" s="3">
        <v>1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ht="16.5" hidden="1">
      <c r="A127" s="10" t="s">
        <v>1267</v>
      </c>
      <c r="B127" s="56" t="s">
        <v>15</v>
      </c>
      <c r="C127" s="20" t="str">
        <f>IF(COUNTIFS(ASIGNACIONES!G:G,A127,ASIGNACIONES!K:K,B127)=0,"CODIGO DISPONIBLE","CODIGO ASIGNADO")</f>
        <v>CODIGO ASIGNADO</v>
      </c>
      <c r="D127" s="3">
        <v>1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ht="16.5" hidden="1">
      <c r="A128" s="10" t="s">
        <v>782</v>
      </c>
      <c r="B128" s="11" t="s">
        <v>15</v>
      </c>
      <c r="C128" s="20" t="str">
        <f>IF(COUNTIFS(ASIGNACIONES!G:G,A128,ASIGNACIONES!K:K,B128)=0,"CODIGO DISPONIBLE","CODIGO ASIGNADO")</f>
        <v>CODIGO ASIGNADO</v>
      </c>
      <c r="D128" s="3">
        <v>1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ht="16.5" hidden="1">
      <c r="A129" s="10" t="s">
        <v>830</v>
      </c>
      <c r="B129" s="56" t="s">
        <v>15</v>
      </c>
      <c r="C129" s="20" t="str">
        <f>IF(COUNTIFS(ASIGNACIONES!G:G,A129,ASIGNACIONES!K:K,B129)=0,"CODIGO DISPONIBLE","CODIGO ASIGNADO")</f>
        <v>CODIGO ASIGNADO</v>
      </c>
      <c r="D129" s="3">
        <v>1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ht="16.5" hidden="1">
      <c r="A130" s="10" t="s">
        <v>1283</v>
      </c>
      <c r="B130" s="56" t="s">
        <v>15</v>
      </c>
      <c r="C130" s="20" t="str">
        <f>IF(COUNTIFS(ASIGNACIONES!G:G,A130,ASIGNACIONES!K:K,B130)=0,"CODIGO DISPONIBLE","CODIGO ASIGNADO")</f>
        <v>CODIGO ASIGNADO</v>
      </c>
      <c r="D130" s="3">
        <v>1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16.5" hidden="1">
      <c r="A131" s="10" t="s">
        <v>1173</v>
      </c>
      <c r="B131" s="11" t="s">
        <v>15</v>
      </c>
      <c r="C131" s="20" t="str">
        <f>IF(COUNTIFS(ASIGNACIONES!G:G,A131,ASIGNACIONES!K:K,B131)=0,"CODIGO DISPONIBLE","CODIGO ASIGNADO")</f>
        <v>CODIGO ASIGNADO</v>
      </c>
      <c r="D131" s="3">
        <v>1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ht="16.5" hidden="1">
      <c r="A132" s="10" t="s">
        <v>1519</v>
      </c>
      <c r="B132" s="56" t="s">
        <v>15</v>
      </c>
      <c r="C132" s="20" t="str">
        <f>IF(COUNTIFS(ASIGNACIONES!G:G,A132,ASIGNACIONES!K:K,B132)=0,"CODIGO DISPONIBLE","CODIGO ASIGNADO")</f>
        <v>CODIGO ASIGNADO</v>
      </c>
      <c r="D132" s="3">
        <v>1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ht="16.5" hidden="1">
      <c r="A133" s="10" t="s">
        <v>1533</v>
      </c>
      <c r="B133" s="11" t="s">
        <v>15</v>
      </c>
      <c r="C133" s="20" t="str">
        <f>IF(COUNTIFS(ASIGNACIONES!G:G,A133,ASIGNACIONES!K:K,B133)=0,"CODIGO DISPONIBLE","CODIGO ASIGNADO")</f>
        <v>CODIGO ASIGNADO</v>
      </c>
      <c r="D133" s="3">
        <v>1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ht="16.5" hidden="1">
      <c r="A134" s="10" t="s">
        <v>720</v>
      </c>
      <c r="B134" s="11" t="s">
        <v>31</v>
      </c>
      <c r="C134" s="20" t="str">
        <f>IF(COUNTIFS(ASIGNACIONES!G:G,A134,ASIGNACIONES!K:K,B134)=0,"CODIGO DISPONIBLE","CODIGO ASIGNADO")</f>
        <v>CODIGO ASIGNADO</v>
      </c>
      <c r="D134" s="3">
        <v>1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ht="16.5" hidden="1">
      <c r="A135" s="10" t="s">
        <v>1531</v>
      </c>
      <c r="B135" s="11" t="s">
        <v>31</v>
      </c>
      <c r="C135" s="20" t="str">
        <f>IF(COUNTIFS(ASIGNACIONES!G:G,A135,ASIGNACIONES!K:K,B135)=0,"CODIGO DISPONIBLE","CODIGO ASIGNADO")</f>
        <v>CODIGO DISPONIBLE</v>
      </c>
      <c r="D135" s="3">
        <v>1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ht="16.5" hidden="1">
      <c r="A136" s="10" t="s">
        <v>1559</v>
      </c>
      <c r="B136" s="58" t="s">
        <v>15</v>
      </c>
      <c r="C136" s="20" t="str">
        <f>IF(COUNTIFS(ASIGNACIONES!G:G,A136,ASIGNACIONES!K:K,B136)=0,"CODIGO DISPONIBLE","CODIGO ASIGNADO")</f>
        <v>CODIGO ASIGNADO</v>
      </c>
      <c r="D136" s="3">
        <v>1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ht="16.5" hidden="1">
      <c r="A137" s="10" t="s">
        <v>1497</v>
      </c>
      <c r="B137" s="58" t="s">
        <v>15</v>
      </c>
      <c r="C137" s="20" t="str">
        <f>IF(COUNTIFS(ASIGNACIONES!G:G,A137,ASIGNACIONES!K:K,B137)=0,"CODIGO DISPONIBLE","CODIGO ASIGNADO")</f>
        <v>CODIGO ASIGNADO</v>
      </c>
      <c r="D137" s="3">
        <v>1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ht="16.5" hidden="1">
      <c r="A138" s="10" t="s">
        <v>542</v>
      </c>
      <c r="B138" s="58" t="s">
        <v>15</v>
      </c>
      <c r="C138" s="20" t="str">
        <f>IF(COUNTIFS(ASIGNACIONES!G:G,A138,ASIGNACIONES!K:K,B138)=0,"CODIGO DISPONIBLE","CODIGO ASIGNADO")</f>
        <v>CODIGO ASIGNADO</v>
      </c>
      <c r="D138" s="3">
        <v>1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ht="16.5" hidden="1">
      <c r="A139" s="10" t="s">
        <v>645</v>
      </c>
      <c r="B139" s="58" t="s">
        <v>15</v>
      </c>
      <c r="C139" s="20" t="str">
        <f>IF(COUNTIFS(ASIGNACIONES!G:G,A139,ASIGNACIONES!K:K,B139)=0,"CODIGO DISPONIBLE","CODIGO ASIGNADO")</f>
        <v>CODIGO ASIGNADO</v>
      </c>
      <c r="D139" s="3">
        <v>1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ht="16.5" hidden="1">
      <c r="A140" s="10" t="s">
        <v>1596</v>
      </c>
      <c r="B140" s="58" t="s">
        <v>15</v>
      </c>
      <c r="C140" s="20" t="str">
        <f>IF(COUNTIFS(ASIGNACIONES!G:G,A140,ASIGNACIONES!K:K,B140)=0,"CODIGO DISPONIBLE","CODIGO ASIGNADO")</f>
        <v>CODIGO ASIGNADO</v>
      </c>
      <c r="D140" s="3">
        <v>1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ht="16.5" hidden="1">
      <c r="A141" s="10" t="s">
        <v>1108</v>
      </c>
      <c r="B141" s="58" t="s">
        <v>15</v>
      </c>
      <c r="C141" s="20" t="str">
        <f>IF(COUNTIFS(ASIGNACIONES!G:G,A141,ASIGNACIONES!K:K,B141)=0,"CODIGO DISPONIBLE","CODIGO ASIGNADO")</f>
        <v>CODIGO ASIGNADO</v>
      </c>
      <c r="D141" s="3">
        <v>1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ht="16.5" hidden="1">
      <c r="A142" s="10" t="s">
        <v>1614</v>
      </c>
      <c r="B142" s="58" t="s">
        <v>15</v>
      </c>
      <c r="C142" s="20" t="str">
        <f>IF(COUNTIFS(ASIGNACIONES!G:G,A142,ASIGNACIONES!K:K,B142)=0,"CODIGO DISPONIBLE","CODIGO ASIGNADO")</f>
        <v>CODIGO ASIGNADO</v>
      </c>
      <c r="D142" s="3">
        <v>1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ht="16.5" hidden="1">
      <c r="A143" s="10" t="s">
        <v>1459</v>
      </c>
      <c r="B143" s="58" t="s">
        <v>15</v>
      </c>
      <c r="C143" s="20" t="str">
        <f>IF(COUNTIFS(ASIGNACIONES!G:G,A143,ASIGNACIONES!K:K,B143)=0,"CODIGO DISPONIBLE","CODIGO ASIGNADO")</f>
        <v>CODIGO DISPONIBLE</v>
      </c>
      <c r="D143" s="3">
        <v>1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ht="16.5" hidden="1">
      <c r="A144" s="10" t="s">
        <v>818</v>
      </c>
      <c r="B144" s="58" t="s">
        <v>15</v>
      </c>
      <c r="C144" s="20" t="str">
        <f>IF(COUNTIFS(ASIGNACIONES!G:G,A144,ASIGNACIONES!K:K,B144)=0,"CODIGO DISPONIBLE","CODIGO ASIGNADO")</f>
        <v>CODIGO ASIGNADO</v>
      </c>
      <c r="D144" s="3">
        <v>1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ht="16.5" hidden="1">
      <c r="A145" s="10" t="s">
        <v>1354</v>
      </c>
      <c r="B145" s="58" t="s">
        <v>15</v>
      </c>
      <c r="C145" s="20" t="str">
        <f>IF(COUNTIFS(ASIGNACIONES!G:G,A145,ASIGNACIONES!K:K,B145)=0,"CODIGO DISPONIBLE","CODIGO ASIGNADO")</f>
        <v>CODIGO ASIGNADO</v>
      </c>
      <c r="D145" s="3">
        <v>1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ht="16.5" hidden="1">
      <c r="A146" s="10" t="s">
        <v>1220</v>
      </c>
      <c r="B146" s="58" t="s">
        <v>15</v>
      </c>
      <c r="C146" s="20" t="str">
        <f>IF(COUNTIFS(ASIGNACIONES!G:G,A146,ASIGNACIONES!K:K,B146)=0,"CODIGO DISPONIBLE","CODIGO ASIGNADO")</f>
        <v>CODIGO ASIGNADO</v>
      </c>
      <c r="D146" s="3">
        <v>1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ht="16.5" hidden="1">
      <c r="A147" s="10" t="s">
        <v>1655</v>
      </c>
      <c r="B147" s="58" t="s">
        <v>15</v>
      </c>
      <c r="C147" s="20" t="str">
        <f>IF(COUNTIFS(ASIGNACIONES!G:G,A147,ASIGNACIONES!K:K,B147)=0,"CODIGO DISPONIBLE","CODIGO ASIGNADO")</f>
        <v>CODIGO ASIGNADO</v>
      </c>
      <c r="D147" s="3">
        <v>1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ht="16.5" hidden="1">
      <c r="A148" s="10" t="s">
        <v>987</v>
      </c>
      <c r="B148" s="58" t="s">
        <v>15</v>
      </c>
      <c r="C148" s="20" t="str">
        <f>IF(COUNTIFS(ASIGNACIONES!G:G,A148,ASIGNACIONES!K:K,B148)=0,"CODIGO DISPONIBLE","CODIGO ASIGNADO")</f>
        <v>CODIGO ASIGNADO</v>
      </c>
      <c r="D148" s="3">
        <v>1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ht="16.5" hidden="1">
      <c r="A149" s="10" t="s">
        <v>1034</v>
      </c>
      <c r="B149" s="58" t="s">
        <v>15</v>
      </c>
      <c r="C149" s="20" t="str">
        <f>IF(COUNTIFS(ASIGNACIONES!G:G,A149,ASIGNACIONES!K:K,B149)=0,"CODIGO DISPONIBLE","CODIGO ASIGNADO")</f>
        <v>CODIGO ASIGNADO</v>
      </c>
      <c r="D149" s="3">
        <v>1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ht="16.5" hidden="1">
      <c r="A150" s="10" t="s">
        <v>1064</v>
      </c>
      <c r="B150" s="58" t="s">
        <v>15</v>
      </c>
      <c r="C150" s="20" t="str">
        <f>IF(COUNTIFS(ASIGNACIONES!G:G,A150,ASIGNACIONES!K:K,B150)=0,"CODIGO DISPONIBLE","CODIGO ASIGNADO")</f>
        <v>CODIGO ASIGNADO</v>
      </c>
      <c r="D150" s="3">
        <v>1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ht="16.5" hidden="1">
      <c r="A151" s="10" t="s">
        <v>1086</v>
      </c>
      <c r="B151" s="58" t="s">
        <v>15</v>
      </c>
      <c r="C151" s="20" t="str">
        <f>IF(COUNTIFS(ASIGNACIONES!G:G,A151,ASIGNACIONES!K:K,B151)=0,"CODIGO DISPONIBLE","CODIGO ASIGNADO")</f>
        <v>CODIGO ASIGNADO</v>
      </c>
      <c r="D151" s="3">
        <v>1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ht="16.5" hidden="1">
      <c r="A152" s="10" t="s">
        <v>1191</v>
      </c>
      <c r="B152" s="58" t="s">
        <v>15</v>
      </c>
      <c r="C152" s="20" t="str">
        <f>IF(COUNTIFS(ASIGNACIONES!G:G,A152,ASIGNACIONES!K:K,B152)=0,"CODIGO DISPONIBLE","CODIGO ASIGNADO")</f>
        <v>CODIGO ASIGNADO</v>
      </c>
      <c r="D152" s="3">
        <v>1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ht="16.5" hidden="1">
      <c r="A153" s="10" t="s">
        <v>1273</v>
      </c>
      <c r="B153" s="58" t="s">
        <v>15</v>
      </c>
      <c r="C153" s="20" t="str">
        <f>IF(COUNTIFS(ASIGNACIONES!G:G,A153,ASIGNACIONES!K:K,B153)=0,"CODIGO DISPONIBLE","CODIGO ASIGNADO")</f>
        <v>CODIGO ASIGNADO</v>
      </c>
      <c r="D153" s="3">
        <v>1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ht="16.5" hidden="1">
      <c r="A154" s="10" t="s">
        <v>1107</v>
      </c>
      <c r="B154" s="58" t="s">
        <v>15</v>
      </c>
      <c r="C154" s="20" t="str">
        <f>IF(COUNTIFS(ASIGNACIONES!G:G,A154,ASIGNACIONES!K:K,B154)=0,"CODIGO DISPONIBLE","CODIGO ASIGNADO")</f>
        <v>CODIGO ASIGNADO</v>
      </c>
      <c r="D154" s="3">
        <v>1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ht="16.5" hidden="1">
      <c r="A155" s="10" t="s">
        <v>1460</v>
      </c>
      <c r="B155" s="58" t="s">
        <v>15</v>
      </c>
      <c r="C155" s="20" t="str">
        <f>IF(COUNTIFS(ASIGNACIONES!G:G,A155,ASIGNACIONES!K:K,B155)=0,"CODIGO DISPONIBLE","CODIGO ASIGNADO")</f>
        <v>CODIGO ASIGNADO</v>
      </c>
      <c r="D155" s="3">
        <v>1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ht="16.5" hidden="1">
      <c r="A156" s="10" t="s">
        <v>1493</v>
      </c>
      <c r="B156" s="58" t="s">
        <v>15</v>
      </c>
      <c r="C156" s="20" t="str">
        <f>IF(COUNTIFS(ASIGNACIONES!G:G,A156,ASIGNACIONES!K:K,B156)=0,"CODIGO DISPONIBLE","CODIGO ASIGNADO")</f>
        <v>CODIGO ASIGNADO</v>
      </c>
      <c r="D156" s="3">
        <v>1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ht="16.5" hidden="1">
      <c r="A157" s="10" t="s">
        <v>1485</v>
      </c>
      <c r="B157" s="58" t="s">
        <v>15</v>
      </c>
      <c r="C157" s="20" t="str">
        <f>IF(COUNTIFS(ASIGNACIONES!G:G,A157,ASIGNACIONES!K:K,B157)=0,"CODIGO DISPONIBLE","CODIGO ASIGNADO")</f>
        <v>CODIGO ASIGNADO</v>
      </c>
      <c r="D157" s="3">
        <v>1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ht="16.5" hidden="1">
      <c r="A158" s="10" t="s">
        <v>1654</v>
      </c>
      <c r="B158" s="58" t="s">
        <v>15</v>
      </c>
      <c r="C158" s="20" t="str">
        <f>IF(COUNTIFS(ASIGNACIONES!G:G,A158,ASIGNACIONES!K:K,B158)=0,"CODIGO DISPONIBLE","CODIGO ASIGNADO")</f>
        <v>CODIGO DISPONIBLE</v>
      </c>
      <c r="D158" s="3">
        <v>1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ht="16.5" hidden="1">
      <c r="A159" s="10" t="s">
        <v>1353</v>
      </c>
      <c r="B159" s="58" t="s">
        <v>15</v>
      </c>
      <c r="C159" s="20" t="str">
        <f>IF(COUNTIFS(ASIGNACIONES!G:G,A159,ASIGNACIONES!K:K,B159)=0,"CODIGO DISPONIBLE","CODIGO ASIGNADO")</f>
        <v>CODIGO ASIGNADO</v>
      </c>
      <c r="D159" s="3">
        <v>1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ht="16.5" hidden="1">
      <c r="A160" s="10" t="s">
        <v>1143</v>
      </c>
      <c r="B160" s="58" t="s">
        <v>15</v>
      </c>
      <c r="C160" s="20" t="str">
        <f>IF(COUNTIFS(ASIGNACIONES!G:G,A160,ASIGNACIONES!K:K,B160)=0,"CODIGO DISPONIBLE","CODIGO ASIGNADO")</f>
        <v>CODIGO ASIGNADO</v>
      </c>
      <c r="D160" s="3">
        <v>1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ht="16.5" hidden="1">
      <c r="A161" s="10" t="s">
        <v>1424</v>
      </c>
      <c r="B161" s="58" t="s">
        <v>15</v>
      </c>
      <c r="C161" s="20" t="str">
        <f>IF(COUNTIFS(ASIGNACIONES!G:G,A161,ASIGNACIONES!K:K,B161)=0,"CODIGO DISPONIBLE","CODIGO ASIGNADO")</f>
        <v>CODIGO ASIGNADO</v>
      </c>
      <c r="D161" s="3">
        <v>1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ht="16.5" hidden="1">
      <c r="A162" s="10" t="s">
        <v>1445</v>
      </c>
      <c r="B162" s="58" t="s">
        <v>15</v>
      </c>
      <c r="C162" s="20" t="str">
        <f>IF(COUNTIFS(ASIGNACIONES!G:G,A162,ASIGNACIONES!K:K,B162)=0,"CODIGO DISPONIBLE","CODIGO ASIGNADO")</f>
        <v>CODIGO ASIGNADO</v>
      </c>
      <c r="D162" s="3">
        <v>1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ht="16.5" hidden="1">
      <c r="A163" s="10" t="s">
        <v>1791</v>
      </c>
      <c r="B163" s="41" t="s">
        <v>12</v>
      </c>
      <c r="C163" s="20" t="str">
        <f>IF(COUNTIFS(ASIGNACIONES!G:G,A163,ASIGNACIONES!K:K,B163)=0,"CODIGO DISPONIBLE","CODIGO ASIGNADO")</f>
        <v>CODIGO ASIGNADO</v>
      </c>
      <c r="D163" s="3">
        <v>1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ht="16.5">
      <c r="A164" s="10" t="s">
        <v>441</v>
      </c>
      <c r="B164" s="41" t="s">
        <v>12</v>
      </c>
      <c r="C164" s="20" t="str">
        <f>IF(COUNTIFS(ASIGNACIONES!G:G,A164,ASIGNACIONES!K:K,B164)=0,"CODIGO DISPONIBLE","CODIGO ASIGNADO")</f>
        <v>CODIGO ASIGNADO</v>
      </c>
      <c r="D164" s="3">
        <v>1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ht="16.5">
      <c r="A165" s="10" t="s">
        <v>1306</v>
      </c>
      <c r="B165" s="41" t="s">
        <v>12</v>
      </c>
      <c r="C165" s="20" t="str">
        <f>IF(COUNTIFS(ASIGNACIONES!G:G,A165,ASIGNACIONES!K:K,B165)=0,"CODIGO DISPONIBLE","CODIGO ASIGNADO")</f>
        <v>CODIGO ASIGNADO</v>
      </c>
      <c r="D165" s="3">
        <v>1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ht="16.5">
      <c r="A166" s="10" t="s">
        <v>1452</v>
      </c>
      <c r="B166" s="41" t="s">
        <v>12</v>
      </c>
      <c r="C166" s="20" t="str">
        <f>IF(COUNTIFS(ASIGNACIONES!G:G,A166,ASIGNACIONES!K:K,B166)=0,"CODIGO DISPONIBLE","CODIGO ASIGNADO")</f>
        <v>CODIGO ASIGNADO</v>
      </c>
      <c r="D166" s="3">
        <v>1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ht="16.5">
      <c r="A167" s="10" t="s">
        <v>1650</v>
      </c>
      <c r="B167" s="41" t="s">
        <v>12</v>
      </c>
      <c r="C167" s="20" t="str">
        <f>IF(COUNTIFS(ASIGNACIONES!G:G,A167,ASIGNACIONES!K:K,B167)=0,"CODIGO DISPONIBLE","CODIGO ASIGNADO")</f>
        <v>CODIGO ASIGNADO</v>
      </c>
      <c r="D167" s="3">
        <v>1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ht="16.5">
      <c r="A168" s="10" t="s">
        <v>756</v>
      </c>
      <c r="B168" s="41" t="s">
        <v>12</v>
      </c>
      <c r="C168" s="20" t="str">
        <f>IF(COUNTIFS(ASIGNACIONES!G:G,A168,ASIGNACIONES!K:K,B168)=0,"CODIGO DISPONIBLE","CODIGO ASIGNADO")</f>
        <v>CODIGO ASIGNADO</v>
      </c>
      <c r="D168" s="3">
        <v>1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ht="16.5">
      <c r="A169" s="10" t="s">
        <v>1840</v>
      </c>
      <c r="B169" s="41" t="s">
        <v>12</v>
      </c>
      <c r="C169" s="20" t="str">
        <f>IF(COUNTIFS(ASIGNACIONES!G:G,A169,ASIGNACIONES!K:K,B169)=0,"CODIGO DISPONIBLE","CODIGO ASIGNADO")</f>
        <v>CODIGO ASIGNADO</v>
      </c>
      <c r="D169" s="3">
        <v>1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ht="16.5" hidden="1">
      <c r="A170" s="10" t="s">
        <v>1800</v>
      </c>
      <c r="B170" s="41" t="s">
        <v>12</v>
      </c>
      <c r="C170" s="20" t="str">
        <f>IF(COUNTIFS(ASIGNACIONES!G:G,A170,ASIGNACIONES!K:K,B170)=0,"CODIGO DISPONIBLE","CODIGO ASIGNADO")</f>
        <v>CODIGO ASIGNADO</v>
      </c>
      <c r="D170" s="3">
        <v>1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ht="16.5">
      <c r="A171" s="10" t="s">
        <v>802</v>
      </c>
      <c r="B171" s="41" t="s">
        <v>12</v>
      </c>
      <c r="C171" s="20" t="str">
        <f>IF(COUNTIFS(ASIGNACIONES!G:G,A171,ASIGNACIONES!K:K,B171)=0,"CODIGO DISPONIBLE","CODIGO ASIGNADO")</f>
        <v>CODIGO ASIGNADO</v>
      </c>
      <c r="D171" s="3">
        <v>1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ht="16.5">
      <c r="A172" s="10" t="s">
        <v>1409</v>
      </c>
      <c r="B172" s="41" t="s">
        <v>12</v>
      </c>
      <c r="C172" s="20" t="str">
        <f>IF(COUNTIFS(ASIGNACIONES!G:G,A172,ASIGNACIONES!K:K,B172)=0,"CODIGO DISPONIBLE","CODIGO ASIGNADO")</f>
        <v>CODIGO DISPONIBLE</v>
      </c>
      <c r="D172" s="3">
        <v>1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ht="16.5" hidden="1">
      <c r="A173" s="10" t="s">
        <v>1079</v>
      </c>
      <c r="B173" s="41" t="s">
        <v>12</v>
      </c>
      <c r="C173" s="20" t="str">
        <f>IF(COUNTIFS(ASIGNACIONES!G:G,A173,ASIGNACIONES!K:K,B173)=0,"CODIGO DISPONIBLE","CODIGO ASIGNADO")</f>
        <v>CODIGO DISPONIBLE</v>
      </c>
      <c r="D173" s="3">
        <v>1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ht="16.5">
      <c r="A174" s="10" t="s">
        <v>1181</v>
      </c>
      <c r="B174" s="41" t="s">
        <v>12</v>
      </c>
      <c r="C174" s="20" t="str">
        <f>IF(COUNTIFS(ASIGNACIONES!G:G,A174,ASIGNACIONES!K:K,B174)=0,"CODIGO DISPONIBLE","CODIGO ASIGNADO")</f>
        <v>CODIGO ASIGNADO</v>
      </c>
      <c r="D174" s="3">
        <v>1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ht="16.5">
      <c r="A175" s="10" t="s">
        <v>900</v>
      </c>
      <c r="B175" s="41" t="s">
        <v>12</v>
      </c>
      <c r="C175" s="20" t="str">
        <f>IF(COUNTIFS(ASIGNACIONES!G:G,A175,ASIGNACIONES!K:K,B175)=0,"CODIGO DISPONIBLE","CODIGO ASIGNADO")</f>
        <v>CODIGO ASIGNADO</v>
      </c>
      <c r="D175" s="3">
        <v>1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ht="16.5">
      <c r="A176" s="10" t="s">
        <v>947</v>
      </c>
      <c r="B176" s="41" t="s">
        <v>12</v>
      </c>
      <c r="C176" s="20" t="str">
        <f>IF(COUNTIFS(ASIGNACIONES!G:G,A176,ASIGNACIONES!K:K,B176)=0,"CODIGO DISPONIBLE","CODIGO ASIGNADO")</f>
        <v>CODIGO ASIGNADO</v>
      </c>
      <c r="D176" s="3">
        <v>1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ht="16.5">
      <c r="A177" s="10" t="s">
        <v>957</v>
      </c>
      <c r="B177" s="41" t="s">
        <v>12</v>
      </c>
      <c r="C177" s="20" t="str">
        <f>IF(COUNTIFS(ASIGNACIONES!G:G,A177,ASIGNACIONES!K:K,B177)=0,"CODIGO DISPONIBLE","CODIGO ASIGNADO")</f>
        <v>CODIGO ASIGNADO</v>
      </c>
      <c r="D177" s="3">
        <v>1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ht="16.5">
      <c r="A178" s="10" t="s">
        <v>1051</v>
      </c>
      <c r="B178" s="41" t="s">
        <v>12</v>
      </c>
      <c r="C178" s="20" t="str">
        <f>IF(COUNTIFS(ASIGNACIONES!G:G,A178,ASIGNACIONES!K:K,B178)=0,"CODIGO DISPONIBLE","CODIGO ASIGNADO")</f>
        <v>CODIGO ASIGNADO</v>
      </c>
      <c r="D178" s="3">
        <v>1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ht="16.5" hidden="1">
      <c r="A179" s="10" t="s">
        <v>1932</v>
      </c>
      <c r="B179" s="41" t="s">
        <v>12</v>
      </c>
      <c r="C179" s="20" t="str">
        <f>IF(COUNTIFS(ASIGNACIONES!G:G,A179,ASIGNACIONES!K:K,B179)=0,"CODIGO DISPONIBLE","CODIGO ASIGNADO")</f>
        <v>CODIGO DISPONIBLE</v>
      </c>
      <c r="D179" s="3">
        <v>1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ht="16.5" hidden="1">
      <c r="A180" s="10" t="s">
        <v>1162</v>
      </c>
      <c r="B180" s="41" t="s">
        <v>12</v>
      </c>
      <c r="C180" s="20" t="str">
        <f>IF(COUNTIFS(ASIGNACIONES!G:G,A180,ASIGNACIONES!K:K,B180)=0,"CODIGO DISPONIBLE","CODIGO ASIGNADO")</f>
        <v>CODIGO DISPONIBLE</v>
      </c>
      <c r="D180" s="3">
        <v>1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ht="16.5" hidden="1">
      <c r="A181" s="10" t="s">
        <v>1863</v>
      </c>
      <c r="B181" s="11" t="s">
        <v>31</v>
      </c>
      <c r="C181" s="20" t="str">
        <f>IF(COUNTIFS(ASIGNACIONES!G:G,A181,ASIGNACIONES!K:K,B181)=0,"CODIGO DISPONIBLE","CODIGO ASIGNADO")</f>
        <v>CODIGO ASIGNADO</v>
      </c>
      <c r="D181" s="3">
        <v>1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ht="16.5" hidden="1">
      <c r="A182" s="10" t="s">
        <v>1700</v>
      </c>
      <c r="B182" s="11" t="s">
        <v>31</v>
      </c>
      <c r="C182" s="20" t="str">
        <f>IF(COUNTIFS(ASIGNACIONES!G:G,A182,ASIGNACIONES!K:K,B182)=0,"CODIGO DISPONIBLE","CODIGO ASIGNADO")</f>
        <v>CODIGO DISPONIBLE</v>
      </c>
      <c r="D182" s="3">
        <v>1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ht="16.5" hidden="1">
      <c r="A183" s="10" t="s">
        <v>1226</v>
      </c>
      <c r="B183" s="11" t="s">
        <v>31</v>
      </c>
      <c r="C183" s="20" t="str">
        <f>IF(COUNTIFS(ASIGNACIONES!G:G,A183,ASIGNACIONES!K:K,B183)=0,"CODIGO DISPONIBLE","CODIGO ASIGNADO")</f>
        <v>CODIGO DISPONIBLE</v>
      </c>
      <c r="D183" s="3">
        <v>1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ht="16.5" hidden="1">
      <c r="A184" s="10" t="s">
        <v>941</v>
      </c>
      <c r="B184" s="11" t="s">
        <v>31</v>
      </c>
      <c r="C184" s="20" t="str">
        <f>IF(COUNTIFS(ASIGNACIONES!G:G,A184,ASIGNACIONES!K:K,B184)=0,"CODIGO DISPONIBLE","CODIGO ASIGNADO")</f>
        <v>CODIGO ASIGNADO</v>
      </c>
      <c r="D184" s="3">
        <v>1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ht="16.5" hidden="1">
      <c r="A185" s="10" t="s">
        <v>1796</v>
      </c>
      <c r="B185" s="11" t="s">
        <v>31</v>
      </c>
      <c r="C185" s="20" t="str">
        <f>IF(COUNTIFS(ASIGNACIONES!G:G,A185,ASIGNACIONES!K:K,B185)=0,"CODIGO DISPONIBLE","CODIGO ASIGNADO")</f>
        <v>CODIGO ASIGNADO</v>
      </c>
      <c r="D185" s="3">
        <v>1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ht="16.5" hidden="1">
      <c r="A186" s="10" t="s">
        <v>1669</v>
      </c>
      <c r="B186" s="11" t="s">
        <v>31</v>
      </c>
      <c r="C186" s="20" t="str">
        <f>IF(COUNTIFS(ASIGNACIONES!G:G,A186,ASIGNACIONES!K:K,B186)=0,"CODIGO DISPONIBLE","CODIGO ASIGNADO")</f>
        <v>CODIGO ASIGNADO</v>
      </c>
      <c r="D186" s="3">
        <v>1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ht="16.5" hidden="1">
      <c r="A187" s="10" t="s">
        <v>1693</v>
      </c>
      <c r="B187" s="11" t="s">
        <v>31</v>
      </c>
      <c r="C187" s="20" t="str">
        <f>IF(COUNTIFS(ASIGNACIONES!G:G,A187,ASIGNACIONES!K:K,B187)=0,"CODIGO DISPONIBLE","CODIGO ASIGNADO")</f>
        <v>CODIGO DISPONIBLE</v>
      </c>
      <c r="D187" s="3">
        <v>1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ht="16.5" hidden="1">
      <c r="A188" s="10" t="s">
        <v>1095</v>
      </c>
      <c r="B188" s="11" t="s">
        <v>31</v>
      </c>
      <c r="C188" s="20" t="str">
        <f>IF(COUNTIFS(ASIGNACIONES!G:G,A188,ASIGNACIONES!K:K,B188)=0,"CODIGO DISPONIBLE","CODIGO ASIGNADO")</f>
        <v>CODIGO DISPONIBLE</v>
      </c>
      <c r="D188" s="3">
        <v>1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ht="16.5" hidden="1">
      <c r="A189" s="10" t="s">
        <v>1726</v>
      </c>
      <c r="B189" s="11" t="s">
        <v>31</v>
      </c>
      <c r="C189" s="20" t="str">
        <f>IF(COUNTIFS(ASIGNACIONES!G:G,A189,ASIGNACIONES!K:K,B189)=0,"CODIGO DISPONIBLE","CODIGO ASIGNADO")</f>
        <v>CODIGO DISPONIBLE</v>
      </c>
      <c r="D189" s="3">
        <v>1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ht="16.5" hidden="1">
      <c r="A190" s="10" t="s">
        <v>1615</v>
      </c>
      <c r="B190" s="11" t="s">
        <v>31</v>
      </c>
      <c r="C190" s="20" t="str">
        <f>IF(COUNTIFS(ASIGNACIONES!G:G,A190,ASIGNACIONES!K:K,B190)=0,"CODIGO DISPONIBLE","CODIGO ASIGNADO")</f>
        <v>CODIGO DISPONIBLE</v>
      </c>
      <c r="D190" s="3">
        <v>1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ht="16.5" hidden="1">
      <c r="A191" s="10" t="s">
        <v>1467</v>
      </c>
      <c r="B191" s="11" t="s">
        <v>31</v>
      </c>
      <c r="C191" s="20" t="str">
        <f>IF(COUNTIFS(ASIGNACIONES!G:G,A191,ASIGNACIONES!K:K,B191)=0,"CODIGO DISPONIBLE","CODIGO ASIGNADO")</f>
        <v>CODIGO ASIGNADO</v>
      </c>
      <c r="D191" s="3">
        <v>1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ht="23.25" hidden="1">
      <c r="A192" s="5"/>
      <c r="B192" s="7"/>
      <c r="C192" s="20" t="str">
        <f>IF(COUNTIFS(ASIGNACIONES!G:G,A192,ASIGNACIONES!K:K,B192)=0,"CODIGO DISPONIBLE","CODIGO ASIGNADO")</f>
        <v>CODIGO DISPONIBLE</v>
      </c>
      <c r="D192" s="3">
        <v>1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ht="23.25" hidden="1">
      <c r="A193" s="5"/>
      <c r="B193" s="7"/>
      <c r="C193" s="20" t="str">
        <f>IF(COUNTIFS(ASIGNACIONES!G:G,A193,ASIGNACIONES!K:K,B193)=0,"CODIGO DISPONIBLE","CODIGO ASIGNADO")</f>
        <v>CODIGO DISPONIBLE</v>
      </c>
      <c r="D193" s="3">
        <v>1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ht="23.25" hidden="1">
      <c r="A194" s="5"/>
      <c r="B194" s="7"/>
      <c r="C194" s="20" t="str">
        <f>IF(COUNTIFS(ASIGNACIONES!G:G,A194,ASIGNACIONES!K:K,B194)=0,"CODIGO DISPONIBLE","CODIGO ASIGNADO")</f>
        <v>CODIGO DISPONIBLE</v>
      </c>
      <c r="D194" s="3">
        <v>1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ht="23.25" hidden="1">
      <c r="A195" s="5"/>
      <c r="B195" s="7"/>
      <c r="C195" s="20" t="str">
        <f>IF(COUNTIFS(ASIGNACIONES!G:G,A195,ASIGNACIONES!K:K,B195)=0,"CODIGO DISPONIBLE","CODIGO ASIGNADO")</f>
        <v>CODIGO DISPONIBLE</v>
      </c>
      <c r="D195" s="3">
        <v>1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ht="23.25" hidden="1">
      <c r="A196" s="5"/>
      <c r="B196" s="7"/>
      <c r="C196" s="20" t="str">
        <f>IF(COUNTIFS(ASIGNACIONES!G:G,A196,ASIGNACIONES!K:K,B196)=0,"CODIGO DISPONIBLE","CODIGO ASIGNADO")</f>
        <v>CODIGO DISPONIBLE</v>
      </c>
      <c r="D196" s="3">
        <v>1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ht="23.25" hidden="1">
      <c r="A197" s="5"/>
      <c r="B197" s="7"/>
      <c r="C197" s="20" t="str">
        <f>IF(COUNTIFS(ASIGNACIONES!G:G,A197,ASIGNACIONES!K:K,B197)=0,"CODIGO DISPONIBLE","CODIGO ASIGNADO")</f>
        <v>CODIGO DISPONIBLE</v>
      </c>
      <c r="D197" s="3">
        <v>1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ht="23.25" hidden="1">
      <c r="A198" s="5"/>
      <c r="B198" s="7"/>
      <c r="C198" s="20" t="str">
        <f>IF(COUNTIFS(ASIGNACIONES!G:G,A198,ASIGNACIONES!K:K,B198)=0,"CODIGO DISPONIBLE","CODIGO ASIGNADO")</f>
        <v>CODIGO DISPONIBLE</v>
      </c>
      <c r="D198" s="3">
        <v>1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ht="23.25" hidden="1">
      <c r="A199" s="5"/>
      <c r="B199" s="7"/>
      <c r="C199" s="20" t="str">
        <f>IF(COUNTIFS(ASIGNACIONES!G:G,A199,ASIGNACIONES!K:K,B199)=0,"CODIGO DISPONIBLE","CODIGO ASIGNADO")</f>
        <v>CODIGO DISPONIBLE</v>
      </c>
      <c r="D199" s="3">
        <v>1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ht="23.25" hidden="1">
      <c r="A200" s="5"/>
      <c r="B200" s="7"/>
      <c r="C200" s="20" t="str">
        <f>IF(COUNTIFS(ASIGNACIONES!G:G,A200,ASIGNACIONES!K:K,B200)=0,"CODIGO DISPONIBLE","CODIGO ASIGNADO")</f>
        <v>CODIGO DISPONIBLE</v>
      </c>
      <c r="D200" s="3">
        <v>1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ht="23.25" hidden="1">
      <c r="A201" s="5"/>
      <c r="B201" s="7"/>
      <c r="C201" s="20" t="str">
        <f>IF(COUNTIFS(ASIGNACIONES!G:G,A201,ASIGNACIONES!K:K,B201)=0,"CODIGO DISPONIBLE","CODIGO ASIGNADO")</f>
        <v>CODIGO DISPONIBLE</v>
      </c>
      <c r="D201" s="3">
        <v>1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ht="23.25" hidden="1">
      <c r="A202" s="5"/>
      <c r="B202" s="7"/>
      <c r="C202" s="20" t="str">
        <f>IF(COUNTIFS(ASIGNACIONES!G:G,A202,ASIGNACIONES!K:K,B202)=0,"CODIGO DISPONIBLE","CODIGO ASIGNADO")</f>
        <v>CODIGO DISPONIBLE</v>
      </c>
      <c r="D202" s="3">
        <v>1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ht="23.25" hidden="1">
      <c r="A203" s="5"/>
      <c r="B203" s="7"/>
      <c r="C203" s="20" t="str">
        <f>IF(COUNTIFS(ASIGNACIONES!G:G,A203,ASIGNACIONES!K:K,B203)=0,"CODIGO DISPONIBLE","CODIGO ASIGNADO")</f>
        <v>CODIGO DISPONIBLE</v>
      </c>
      <c r="D203" s="3">
        <v>1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ht="23.25" hidden="1">
      <c r="A204" s="5"/>
      <c r="B204" s="7"/>
      <c r="C204" s="20" t="str">
        <f>IF(COUNTIFS(ASIGNACIONES!G:G,A204,ASIGNACIONES!K:K,B204)=0,"CODIGO DISPONIBLE","CODIGO ASIGNADO")</f>
        <v>CODIGO DISPONIBLE</v>
      </c>
      <c r="D204" s="3">
        <v>1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ht="23.25" hidden="1">
      <c r="A205" s="5"/>
      <c r="B205" s="7"/>
      <c r="C205" s="20" t="str">
        <f>IF(COUNTIFS(ASIGNACIONES!G:G,A205,ASIGNACIONES!K:K,B205)=0,"CODIGO DISPONIBLE","CODIGO ASIGNADO")</f>
        <v>CODIGO DISPONIBLE</v>
      </c>
      <c r="D205" s="3">
        <v>1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ht="23.25" hidden="1">
      <c r="A206" s="5"/>
      <c r="B206" s="7"/>
      <c r="C206" s="20" t="str">
        <f>IF(COUNTIFS(ASIGNACIONES!G:G,A206,ASIGNACIONES!K:K,B206)=0,"CODIGO DISPONIBLE","CODIGO ASIGNADO")</f>
        <v>CODIGO DISPONIBLE</v>
      </c>
      <c r="D206" s="3">
        <v>1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ht="23.25" hidden="1">
      <c r="A207" s="5"/>
      <c r="B207" s="7"/>
      <c r="C207" s="20" t="str">
        <f>IF(COUNTIFS(ASIGNACIONES!G:G,A207,ASIGNACIONES!K:K,B207)=0,"CODIGO DISPONIBLE","CODIGO ASIGNADO")</f>
        <v>CODIGO DISPONIBLE</v>
      </c>
      <c r="D207" s="3">
        <v>1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ht="23.25" hidden="1">
      <c r="A208" s="5"/>
      <c r="B208" s="7"/>
      <c r="C208" s="20" t="str">
        <f>IF(COUNTIFS(ASIGNACIONES!G:G,A208,ASIGNACIONES!K:K,B208)=0,"CODIGO DISPONIBLE","CODIGO ASIGNADO")</f>
        <v>CODIGO DISPONIBLE</v>
      </c>
      <c r="D208" s="3">
        <v>1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ht="23.25" hidden="1">
      <c r="A209" s="5"/>
      <c r="B209" s="7"/>
      <c r="C209" s="20" t="str">
        <f>IF(COUNTIFS(ASIGNACIONES!G:G,A209,ASIGNACIONES!K:K,B209)=0,"CODIGO DISPONIBLE","CODIGO ASIGNADO")</f>
        <v>CODIGO DISPONIBLE</v>
      </c>
      <c r="D209" s="3">
        <v>1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ht="23.25" hidden="1">
      <c r="A210" s="5"/>
      <c r="B210" s="7"/>
      <c r="C210" s="20" t="str">
        <f>IF(COUNTIFS(ASIGNACIONES!G:G,A210,ASIGNACIONES!K:K,B210)=0,"CODIGO DISPONIBLE","CODIGO ASIGNADO")</f>
        <v>CODIGO DISPONIBLE</v>
      </c>
      <c r="D210" s="3">
        <v>1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ht="23.25" hidden="1">
      <c r="A211" s="5"/>
      <c r="B211" s="7"/>
      <c r="C211" s="20" t="str">
        <f>IF(COUNTIFS(ASIGNACIONES!G:G,A211,ASIGNACIONES!K:K,B211)=0,"CODIGO DISPONIBLE","CODIGO ASIGNADO")</f>
        <v>CODIGO DISPONIBLE</v>
      </c>
      <c r="D211" s="3">
        <v>1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ht="23.25" hidden="1">
      <c r="A212" s="5"/>
      <c r="B212" s="7"/>
      <c r="C212" s="20" t="str">
        <f>IF(COUNTIFS(ASIGNACIONES!G:G,A212,ASIGNACIONES!K:K,B212)=0,"CODIGO DISPONIBLE","CODIGO ASIGNADO")</f>
        <v>CODIGO DISPONIBLE</v>
      </c>
      <c r="D212" s="3">
        <v>1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ht="23.25" hidden="1">
      <c r="A213" s="5"/>
      <c r="B213" s="7"/>
      <c r="C213" s="20" t="str">
        <f>IF(COUNTIFS(ASIGNACIONES!G:G,A213,ASIGNACIONES!K:K,B213)=0,"CODIGO DISPONIBLE","CODIGO ASIGNADO")</f>
        <v>CODIGO DISPONIBLE</v>
      </c>
      <c r="D213" s="3">
        <v>1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ht="23.25" hidden="1">
      <c r="A214" s="5"/>
      <c r="B214" s="7"/>
      <c r="C214" s="20" t="str">
        <f>IF(COUNTIFS(ASIGNACIONES!G:G,A214,ASIGNACIONES!K:K,B214)=0,"CODIGO DISPONIBLE","CODIGO ASIGNADO")</f>
        <v>CODIGO DISPONIBLE</v>
      </c>
      <c r="D214" s="3">
        <v>1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ht="23.25" hidden="1">
      <c r="A215" s="5"/>
      <c r="B215" s="7"/>
      <c r="C215" s="20" t="str">
        <f>IF(COUNTIFS(ASIGNACIONES!G:G,A215,ASIGNACIONES!K:K,B215)=0,"CODIGO DISPONIBLE","CODIGO ASIGNADO")</f>
        <v>CODIGO DISPONIBLE</v>
      </c>
      <c r="D215" s="3">
        <v>1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ht="23.25" hidden="1">
      <c r="A216" s="5"/>
      <c r="B216" s="7"/>
      <c r="C216" s="20" t="str">
        <f>IF(COUNTIFS(ASIGNACIONES!G:G,A216,ASIGNACIONES!K:K,B216)=0,"CODIGO DISPONIBLE","CODIGO ASIGNADO")</f>
        <v>CODIGO DISPONIBLE</v>
      </c>
      <c r="D216" s="3">
        <v>1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ht="23.25" hidden="1">
      <c r="A217" s="5"/>
      <c r="B217" s="7"/>
      <c r="C217" s="20" t="str">
        <f>IF(COUNTIFS(ASIGNACIONES!G:G,A217,ASIGNACIONES!K:K,B217)=0,"CODIGO DISPONIBLE","CODIGO ASIGNADO")</f>
        <v>CODIGO DISPONIBLE</v>
      </c>
      <c r="D217" s="3">
        <v>1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ht="23.25" hidden="1">
      <c r="A218" s="5"/>
      <c r="B218" s="7"/>
      <c r="C218" s="20" t="str">
        <f>IF(COUNTIFS(ASIGNACIONES!G:G,A218,ASIGNACIONES!K:K,B218)=0,"CODIGO DISPONIBLE","CODIGO ASIGNADO")</f>
        <v>CODIGO DISPONIBLE</v>
      </c>
      <c r="D218" s="3">
        <v>1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ht="23.25" hidden="1">
      <c r="A219" s="5"/>
      <c r="B219" s="7"/>
      <c r="C219" s="20" t="str">
        <f>IF(COUNTIFS(ASIGNACIONES!G:G,A219,ASIGNACIONES!K:K,B219)=0,"CODIGO DISPONIBLE","CODIGO ASIGNADO")</f>
        <v>CODIGO DISPONIBLE</v>
      </c>
      <c r="D219" s="3">
        <v>1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ht="23.25" hidden="1">
      <c r="A220" s="5"/>
      <c r="B220" s="7"/>
      <c r="C220" s="20" t="str">
        <f>IF(COUNTIFS(ASIGNACIONES!G:G,A220,ASIGNACIONES!K:K,B220)=0,"CODIGO DISPONIBLE","CODIGO ASIGNADO")</f>
        <v>CODIGO DISPONIBLE</v>
      </c>
      <c r="D220" s="3">
        <v>1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ht="23.25" hidden="1">
      <c r="A221" s="5"/>
      <c r="B221" s="7"/>
      <c r="C221" s="20" t="str">
        <f>IF(COUNTIFS(ASIGNACIONES!G:G,A221,ASIGNACIONES!K:K,B221)=0,"CODIGO DISPONIBLE","CODIGO ASIGNADO")</f>
        <v>CODIGO DISPONIBLE</v>
      </c>
      <c r="D221" s="3">
        <v>1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ht="23.25" hidden="1">
      <c r="A222" s="5"/>
      <c r="B222" s="7"/>
      <c r="C222" s="20" t="str">
        <f>IF(COUNTIFS(ASIGNACIONES!G:G,A222,ASIGNACIONES!K:K,B222)=0,"CODIGO DISPONIBLE","CODIGO ASIGNADO")</f>
        <v>CODIGO DISPONIBLE</v>
      </c>
      <c r="D222" s="3">
        <v>1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ht="23.25" hidden="1">
      <c r="A223" s="5"/>
      <c r="B223" s="7"/>
      <c r="C223" s="20" t="str">
        <f>IF(COUNTIFS(ASIGNACIONES!G:G,A223,ASIGNACIONES!K:K,B223)=0,"CODIGO DISPONIBLE","CODIGO ASIGNADO")</f>
        <v>CODIGO DISPONIBLE</v>
      </c>
      <c r="D223" s="3">
        <v>1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ht="23.25" hidden="1">
      <c r="A224" s="5"/>
      <c r="B224" s="7"/>
      <c r="C224" s="20" t="str">
        <f>IF(COUNTIFS(ASIGNACIONES!G:G,A224,ASIGNACIONES!K:K,B224)=0,"CODIGO DISPONIBLE","CODIGO ASIGNADO")</f>
        <v>CODIGO DISPONIBLE</v>
      </c>
      <c r="D224" s="3">
        <v>1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ht="23.25" hidden="1">
      <c r="A225" s="5"/>
      <c r="B225" s="7"/>
      <c r="C225" s="20" t="str">
        <f>IF(COUNTIFS(ASIGNACIONES!G:G,A225,ASIGNACIONES!H:H,#REF!,ASIGNACIONES!K:K,B225)=0,"CODIGO DISPONIBLE","CODIGO ASIGNADO")</f>
        <v>CODIGO DISPONIBLE</v>
      </c>
      <c r="D225" s="3">
        <v>1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ht="23.25" hidden="1">
      <c r="A226" s="5"/>
      <c r="B226" s="7"/>
      <c r="C226" s="20" t="str">
        <f>IF(COUNTIFS(ASIGNACIONES!G:G,A226,ASIGNACIONES!H:H,#REF!,ASIGNACIONES!K:K,B226)=0,"CODIGO DISPONIBLE","CODIGO ASIGNADO")</f>
        <v>CODIGO DISPONIBLE</v>
      </c>
      <c r="D226" s="3">
        <v>1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ht="23.25" hidden="1">
      <c r="A227" s="5"/>
      <c r="B227" s="7"/>
      <c r="C227" s="20" t="str">
        <f>IF(COUNTIFS(ASIGNACIONES!G:G,A227,ASIGNACIONES!H:H,#REF!,ASIGNACIONES!K:K,B227)=0,"CODIGO DISPONIBLE","CODIGO ASIGNADO")</f>
        <v>CODIGO DISPONIBLE</v>
      </c>
      <c r="D227" s="3">
        <v>1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ht="23.25" hidden="1">
      <c r="A228" s="5"/>
      <c r="B228" s="7"/>
      <c r="C228" s="20" t="str">
        <f>IF(COUNTIFS(ASIGNACIONES!G:G,A228,ASIGNACIONES!H:H,#REF!,ASIGNACIONES!K:K,B228)=0,"CODIGO DISPONIBLE","CODIGO ASIGNADO")</f>
        <v>CODIGO DISPONIBLE</v>
      </c>
      <c r="D228" s="3">
        <v>1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ht="23.25" hidden="1">
      <c r="A229" s="5"/>
      <c r="B229" s="7"/>
      <c r="C229" s="20" t="str">
        <f>IF(COUNTIFS(ASIGNACIONES!G:G,A229,ASIGNACIONES!H:H,#REF!,ASIGNACIONES!K:K,B229)=0,"CODIGO DISPONIBLE","CODIGO ASIGNADO")</f>
        <v>CODIGO DISPONIBLE</v>
      </c>
      <c r="D229" s="3">
        <v>1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ht="23.25" hidden="1">
      <c r="A230" s="5"/>
      <c r="B230" s="7"/>
      <c r="C230" s="20" t="str">
        <f>IF(COUNTIFS(ASIGNACIONES!G:G,A230,ASIGNACIONES!H:H,#REF!,ASIGNACIONES!K:K,B230)=0,"CODIGO DISPONIBLE","CODIGO ASIGNADO")</f>
        <v>CODIGO DISPONIBLE</v>
      </c>
      <c r="D230" s="3">
        <v>1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ht="23.25" hidden="1">
      <c r="A231" s="5"/>
      <c r="B231" s="7"/>
      <c r="C231" s="20" t="str">
        <f>IF(COUNTIFS(ASIGNACIONES!G:G,A231,ASIGNACIONES!H:H,#REF!,ASIGNACIONES!K:K,B231)=0,"CODIGO DISPONIBLE","CODIGO ASIGNADO")</f>
        <v>CODIGO DISPONIBLE</v>
      </c>
      <c r="D231" s="3">
        <v>1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ht="16.5">
      <c r="A232" s="10"/>
      <c r="B232" s="11"/>
      <c r="C232" s="20" t="str">
        <f>IF(COUNTIFS(ASIGNACIONES!G:G,A232,ASIGNACIONES!K:K,B232)=0,"CODIGO DISPONIBLE","CODIGO ASIGNADO")</f>
        <v>CODIGO DISPONIBLE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ht="16.5">
      <c r="A233" s="10"/>
      <c r="B233" s="11"/>
      <c r="C233" s="20" t="str">
        <f>IF(COUNTIFS(ASIGNACIONES!G:G,A233,ASIGNACIONES!K:K,B233)=0,"CODIGO DISPONIBLE","CODIGO ASIGNADO")</f>
        <v>CODIGO DISPONIBLE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ht="16.5">
      <c r="A234" s="10"/>
      <c r="B234" s="11"/>
      <c r="C234" s="20" t="str">
        <f>IF(COUNTIFS(ASIGNACIONES!G:G,A234,ASIGNACIONES!K:K,B234)=0,"CODIGO DISPONIBLE","CODIGO ASIGNADO")</f>
        <v>CODIGO DISPONIBLE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ht="16.5">
      <c r="A235" s="10"/>
      <c r="B235" s="11"/>
      <c r="C235" s="20" t="str">
        <f>IF(COUNTIFS(ASIGNACIONES!G:G,A235,ASIGNACIONES!K:K,B235)=0,"CODIGO DISPONIBLE","CODIGO ASIGNADO")</f>
        <v>CODIGO DISPONIBLE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ht="16.5">
      <c r="A236" s="10"/>
      <c r="B236" s="11"/>
      <c r="C236" s="20" t="str">
        <f>IF(COUNTIFS(ASIGNACIONES!G:G,A236,ASIGNACIONES!K:K,B236)=0,"CODIGO DISPONIBLE","CODIGO ASIGNADO")</f>
        <v>CODIGO DISPONIBLE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ht="16.5">
      <c r="A237" s="10"/>
      <c r="B237" s="11"/>
      <c r="C237" s="20" t="str">
        <f>IF(COUNTIFS(ASIGNACIONES!G:G,A237,ASIGNACIONES!K:K,B237)=0,"CODIGO DISPONIBLE","CODIGO ASIGNADO")</f>
        <v>CODIGO DISPONIBLE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ht="16.5">
      <c r="A238" s="10"/>
      <c r="B238" s="11"/>
      <c r="C238" s="20" t="str">
        <f>IF(COUNTIFS(ASIGNACIONES!G:G,A238,ASIGNACIONES!K:K,B238)=0,"CODIGO DISPONIBLE","CODIGO ASIGNADO")</f>
        <v>CODIGO DISPONIBLE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ht="16.5">
      <c r="A239" s="10"/>
      <c r="B239" s="11"/>
      <c r="C239" s="20" t="str">
        <f>IF(COUNTIFS(ASIGNACIONES!G:G,A239,ASIGNACIONES!K:K,B239)=0,"CODIGO DISPONIBLE","CODIGO ASIGNADO")</f>
        <v>CODIGO DISPONIBLE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ht="16.5">
      <c r="A240" s="10"/>
      <c r="B240" s="11"/>
      <c r="C240" s="20" t="str">
        <f>IF(COUNTIFS(ASIGNACIONES!G:G,A240,ASIGNACIONES!K:K,B240)=0,"CODIGO DISPONIBLE","CODIGO ASIGNADO")</f>
        <v>CODIGO DISPONIBLE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ht="16.5">
      <c r="A241" s="10"/>
      <c r="B241" s="11"/>
      <c r="C241" s="20" t="str">
        <f>IF(COUNTIFS(ASIGNACIONES!G:G,A241,ASIGNACIONES!K:K,B241)=0,"CODIGO DISPONIBLE","CODIGO ASIGNADO")</f>
        <v>CODIGO DISPONIBLE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ht="16.5">
      <c r="A242" s="10"/>
      <c r="B242" s="11"/>
      <c r="C242" s="20" t="str">
        <f>IF(COUNTIFS(ASIGNACIONES!G:G,A242,ASIGNACIONES!K:K,B242)=0,"CODIGO DISPONIBLE","CODIGO ASIGNADO")</f>
        <v>CODIGO DISPONIBLE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ht="15">
      <c r="A243" s="3"/>
      <c r="B243" s="3"/>
      <c r="C243" s="2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ht="15">
      <c r="A244" s="3"/>
      <c r="B244" s="3"/>
      <c r="C244" s="2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ht="15">
      <c r="A245" s="3"/>
      <c r="B245" s="3"/>
      <c r="C245" s="2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ht="15">
      <c r="A246" s="3"/>
      <c r="B246" s="3"/>
      <c r="C246" s="2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ht="15">
      <c r="A247" s="3"/>
      <c r="B247" s="3"/>
      <c r="C247" s="2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ht="15">
      <c r="A248" s="3"/>
      <c r="B248" s="3"/>
      <c r="C248" s="2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ht="15">
      <c r="A249" s="3"/>
      <c r="B249" s="3"/>
      <c r="C249" s="2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ht="15">
      <c r="A250" s="3"/>
      <c r="B250" s="3"/>
      <c r="C250" s="2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ht="15">
      <c r="A251" s="3"/>
      <c r="B251" s="3"/>
      <c r="C251" s="2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ht="15">
      <c r="A252" s="3"/>
      <c r="B252" s="3"/>
      <c r="C252" s="2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ht="15">
      <c r="A253" s="3"/>
      <c r="B253" s="3"/>
      <c r="C253" s="2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ht="15">
      <c r="A254" s="3"/>
      <c r="B254" s="3"/>
      <c r="C254" s="2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ht="15">
      <c r="A255" s="3"/>
      <c r="B255" s="3"/>
      <c r="C255" s="2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ht="15">
      <c r="A256" s="3"/>
      <c r="B256" s="3"/>
      <c r="C256" s="2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ht="15">
      <c r="A257" s="3"/>
      <c r="B257" s="3"/>
      <c r="C257" s="2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ht="15">
      <c r="A258" s="3"/>
      <c r="B258" s="3"/>
      <c r="C258" s="2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ht="15">
      <c r="A259" s="3"/>
      <c r="B259" s="3"/>
      <c r="C259" s="2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ht="15">
      <c r="A260" s="3"/>
      <c r="B260" s="3"/>
      <c r="C260" s="2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ht="15">
      <c r="A261" s="3"/>
      <c r="B261" s="3"/>
      <c r="C261" s="2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ht="15">
      <c r="A262" s="3"/>
      <c r="B262" s="3"/>
      <c r="C262" s="2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ht="15">
      <c r="A263" s="3"/>
      <c r="B263" s="3"/>
      <c r="C263" s="2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ht="15">
      <c r="A264" s="3"/>
      <c r="B264" s="3"/>
      <c r="C264" s="2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ht="15">
      <c r="A265" s="3"/>
      <c r="B265" s="3"/>
      <c r="C265" s="2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ht="15">
      <c r="A266" s="3"/>
      <c r="B266" s="3"/>
      <c r="C266" s="2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ht="15">
      <c r="A267" s="3"/>
      <c r="B267" s="3"/>
      <c r="C267" s="2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ht="15">
      <c r="A268" s="3"/>
      <c r="B268" s="3"/>
      <c r="C268" s="2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ht="15">
      <c r="A269" s="3"/>
      <c r="B269" s="3"/>
      <c r="C269" s="2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ht="15">
      <c r="A270" s="3"/>
      <c r="B270" s="3"/>
      <c r="C270" s="2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ht="15">
      <c r="A271" s="3"/>
      <c r="B271" s="3"/>
      <c r="C271" s="2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ht="15">
      <c r="A272" s="3"/>
      <c r="B272" s="3"/>
      <c r="C272" s="2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ht="15">
      <c r="A273" s="3"/>
      <c r="B273" s="3"/>
      <c r="C273" s="2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ht="15">
      <c r="A274" s="3"/>
      <c r="B274" s="3"/>
      <c r="C274" s="2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ht="15">
      <c r="A275" s="3"/>
      <c r="B275" s="3"/>
      <c r="C275" s="2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ht="15">
      <c r="A276" s="3"/>
      <c r="B276" s="3"/>
      <c r="C276" s="2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ht="15">
      <c r="A277" s="3"/>
      <c r="B277" s="3"/>
      <c r="C277" s="2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ht="15">
      <c r="A278" s="3"/>
      <c r="B278" s="3"/>
      <c r="C278" s="2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ht="15">
      <c r="A279" s="3"/>
      <c r="B279" s="3"/>
      <c r="C279" s="2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ht="15">
      <c r="A280" s="3"/>
      <c r="B280" s="3"/>
      <c r="C280" s="2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ht="15">
      <c r="A281" s="3"/>
      <c r="B281" s="3"/>
      <c r="C281" s="2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ht="15">
      <c r="A282" s="3"/>
      <c r="B282" s="3"/>
      <c r="C282" s="2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ht="15">
      <c r="A283" s="3"/>
      <c r="B283" s="3"/>
      <c r="C283" s="2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ht="15">
      <c r="A284" s="3"/>
      <c r="B284" s="3"/>
      <c r="C284" s="2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ht="15">
      <c r="A285" s="3"/>
      <c r="B285" s="3"/>
      <c r="C285" s="2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ht="15">
      <c r="A286" s="3"/>
      <c r="B286" s="3"/>
      <c r="C286" s="2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ht="15">
      <c r="A287" s="3"/>
      <c r="B287" s="3"/>
      <c r="C287" s="2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ht="15">
      <c r="A288" s="3"/>
      <c r="B288" s="3"/>
      <c r="C288" s="2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ht="15">
      <c r="A289" s="3"/>
      <c r="B289" s="3"/>
      <c r="C289" s="2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ht="15">
      <c r="A290" s="3"/>
      <c r="B290" s="3"/>
      <c r="C290" s="2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ht="15">
      <c r="A291" s="3"/>
      <c r="B291" s="3"/>
      <c r="C291" s="2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ht="15">
      <c r="A292" s="3"/>
      <c r="B292" s="3"/>
      <c r="C292" s="2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ht="15">
      <c r="A293" s="3"/>
      <c r="B293" s="3"/>
      <c r="C293" s="2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ht="15">
      <c r="A294" s="3"/>
      <c r="B294" s="3"/>
      <c r="C294" s="2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ht="15">
      <c r="A295" s="3"/>
      <c r="B295" s="3"/>
      <c r="C295" s="2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ht="15">
      <c r="A296" s="3"/>
      <c r="B296" s="3"/>
      <c r="C296" s="2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ht="15">
      <c r="A297" s="3"/>
      <c r="B297" s="3"/>
      <c r="C297" s="2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ht="15">
      <c r="A298" s="3"/>
      <c r="B298" s="3"/>
      <c r="C298" s="2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ht="15">
      <c r="A299" s="3"/>
      <c r="B299" s="3"/>
      <c r="C299" s="2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ht="15">
      <c r="A300" s="3"/>
      <c r="B300" s="3"/>
      <c r="C300" s="2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ht="15">
      <c r="A301" s="3"/>
      <c r="B301" s="3"/>
      <c r="C301" s="2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ht="15">
      <c r="A302" s="3"/>
      <c r="B302" s="3"/>
      <c r="C302" s="2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ht="15">
      <c r="A303" s="3"/>
      <c r="B303" s="3"/>
      <c r="C303" s="2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ht="15">
      <c r="A304" s="3"/>
      <c r="B304" s="3"/>
      <c r="C304" s="2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ht="15">
      <c r="A305" s="3"/>
      <c r="B305" s="3"/>
      <c r="C305" s="2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ht="12.75">
      <c r="A306" s="3"/>
      <c r="B306" s="3"/>
      <c r="C306" s="7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ht="12.75">
      <c r="A307" s="3"/>
      <c r="B307" s="3"/>
      <c r="C307" s="7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ht="12.75">
      <c r="A308" s="3"/>
      <c r="B308" s="3"/>
      <c r="C308" s="7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ht="12.75">
      <c r="A309" s="3"/>
      <c r="B309" s="3"/>
      <c r="C309" s="7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ht="12.75">
      <c r="A310" s="3"/>
      <c r="B310" s="3"/>
      <c r="C310" s="7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ht="12.75">
      <c r="A311" s="3"/>
      <c r="B311" s="3"/>
      <c r="C311" s="7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ht="12.75">
      <c r="A312" s="3"/>
      <c r="B312" s="3"/>
      <c r="C312" s="7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ht="12.75">
      <c r="A313" s="3"/>
      <c r="B313" s="3"/>
      <c r="C313" s="7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ht="12.75">
      <c r="A314" s="3"/>
      <c r="B314" s="3"/>
      <c r="C314" s="7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ht="12.75">
      <c r="A315" s="3"/>
      <c r="B315" s="3"/>
      <c r="C315" s="7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ht="12.75">
      <c r="A316" s="3"/>
      <c r="B316" s="3"/>
      <c r="C316" s="7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ht="12.75">
      <c r="A317" s="3"/>
      <c r="B317" s="3"/>
      <c r="C317" s="7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ht="12.75">
      <c r="A318" s="3"/>
      <c r="B318" s="3"/>
      <c r="C318" s="7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ht="12.75">
      <c r="A319" s="3"/>
      <c r="B319" s="3"/>
      <c r="C319" s="7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ht="12.75">
      <c r="A320" s="3"/>
      <c r="B320" s="3"/>
      <c r="C320" s="7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ht="12.75">
      <c r="A321" s="3"/>
      <c r="B321" s="3"/>
      <c r="C321" s="7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ht="12.75">
      <c r="A322" s="3"/>
      <c r="B322" s="3"/>
      <c r="C322" s="7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ht="12.75">
      <c r="A323" s="3"/>
      <c r="B323" s="3"/>
      <c r="C323" s="7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ht="12.75">
      <c r="A324" s="3"/>
      <c r="B324" s="3"/>
      <c r="C324" s="7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ht="12.75">
      <c r="A325" s="3"/>
      <c r="B325" s="3"/>
      <c r="C325" s="7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ht="12.75">
      <c r="A326" s="3"/>
      <c r="B326" s="3"/>
      <c r="C326" s="7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ht="12.75">
      <c r="A327" s="3"/>
      <c r="B327" s="3"/>
      <c r="C327" s="7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ht="12.75">
      <c r="A328" s="3"/>
      <c r="B328" s="3"/>
      <c r="C328" s="7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ht="12.75">
      <c r="A329" s="3"/>
      <c r="B329" s="3"/>
      <c r="C329" s="7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ht="12.75">
      <c r="A330" s="3"/>
      <c r="B330" s="3"/>
      <c r="C330" s="7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ht="12.75">
      <c r="A331" s="3"/>
      <c r="B331" s="3"/>
      <c r="C331" s="7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ht="12.75">
      <c r="A332" s="3"/>
      <c r="B332" s="3"/>
      <c r="C332" s="7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ht="12.75">
      <c r="A333" s="3"/>
      <c r="B333" s="3"/>
      <c r="C333" s="7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ht="12.75">
      <c r="A334" s="3"/>
      <c r="B334" s="3"/>
      <c r="C334" s="7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ht="12.75">
      <c r="A335" s="3"/>
      <c r="B335" s="3"/>
      <c r="C335" s="7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ht="12.75">
      <c r="A336" s="3"/>
      <c r="B336" s="3"/>
      <c r="C336" s="7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ht="12.75">
      <c r="A337" s="3"/>
      <c r="B337" s="3"/>
      <c r="C337" s="7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ht="12.75">
      <c r="A338" s="3"/>
      <c r="B338" s="3"/>
      <c r="C338" s="7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ht="12.75">
      <c r="A339" s="3"/>
      <c r="B339" s="3"/>
      <c r="C339" s="7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ht="12.75">
      <c r="A340" s="3"/>
      <c r="B340" s="3"/>
      <c r="C340" s="7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ht="12.75">
      <c r="A341" s="3"/>
      <c r="B341" s="3"/>
      <c r="C341" s="7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ht="12.75">
      <c r="A342" s="3"/>
      <c r="B342" s="3"/>
      <c r="C342" s="7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ht="12.75">
      <c r="A343" s="3"/>
      <c r="B343" s="3"/>
      <c r="C343" s="7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ht="12.75">
      <c r="A344" s="3"/>
      <c r="B344" s="3"/>
      <c r="C344" s="7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ht="12.75">
      <c r="A345" s="3"/>
      <c r="B345" s="3"/>
      <c r="C345" s="7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ht="12.75">
      <c r="A346" s="3"/>
      <c r="B346" s="3"/>
      <c r="C346" s="7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ht="12.75">
      <c r="A347" s="3"/>
      <c r="B347" s="3"/>
      <c r="C347" s="7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ht="12.75">
      <c r="A348" s="3"/>
      <c r="B348" s="3"/>
      <c r="C348" s="7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ht="12.75">
      <c r="A349" s="3"/>
      <c r="B349" s="3"/>
      <c r="C349" s="7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ht="12.75">
      <c r="A350" s="3"/>
      <c r="B350" s="3"/>
      <c r="C350" s="7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ht="12.75">
      <c r="A351" s="3"/>
      <c r="B351" s="3"/>
      <c r="C351" s="7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ht="12.75">
      <c r="A352" s="3"/>
      <c r="B352" s="3"/>
      <c r="C352" s="7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ht="12.75">
      <c r="A353" s="3"/>
      <c r="B353" s="3"/>
      <c r="C353" s="7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ht="12.75">
      <c r="A354" s="3"/>
      <c r="B354" s="3"/>
      <c r="C354" s="7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ht="12.75">
      <c r="A355" s="3"/>
      <c r="B355" s="3"/>
      <c r="C355" s="7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ht="12.75">
      <c r="A356" s="3"/>
      <c r="B356" s="3"/>
      <c r="C356" s="7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ht="12.75">
      <c r="A357" s="3"/>
      <c r="B357" s="3"/>
      <c r="C357" s="7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ht="12.75">
      <c r="A358" s="3"/>
      <c r="B358" s="3"/>
      <c r="C358" s="7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ht="12.75">
      <c r="A359" s="3"/>
      <c r="B359" s="3"/>
      <c r="C359" s="7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ht="12.75">
      <c r="A360" s="3"/>
      <c r="B360" s="3"/>
      <c r="C360" s="7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ht="12.75">
      <c r="A361" s="3"/>
      <c r="B361" s="3"/>
      <c r="C361" s="7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ht="12.75">
      <c r="A362" s="3"/>
      <c r="B362" s="3"/>
      <c r="C362" s="7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ht="12.75">
      <c r="A363" s="3"/>
      <c r="B363" s="3"/>
      <c r="C363" s="7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ht="12.75">
      <c r="A364" s="3"/>
      <c r="B364" s="3"/>
      <c r="C364" s="7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ht="12.75">
      <c r="A365" s="3"/>
      <c r="B365" s="3"/>
      <c r="C365" s="7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ht="12.75">
      <c r="A366" s="3"/>
      <c r="B366" s="3"/>
      <c r="C366" s="7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ht="12.75">
      <c r="A367" s="3"/>
      <c r="B367" s="3"/>
      <c r="C367" s="7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ht="12.75">
      <c r="A368" s="3"/>
      <c r="B368" s="3"/>
      <c r="C368" s="7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ht="12.75">
      <c r="A369" s="3"/>
      <c r="B369" s="3"/>
      <c r="C369" s="7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ht="12.75">
      <c r="A370" s="3"/>
      <c r="B370" s="3"/>
      <c r="C370" s="7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ht="12.75">
      <c r="A371" s="3"/>
      <c r="B371" s="3"/>
      <c r="C371" s="7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ht="12.75">
      <c r="A372" s="3"/>
      <c r="B372" s="3"/>
      <c r="C372" s="7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 ht="12.75">
      <c r="A373" s="3"/>
      <c r="B373" s="3"/>
      <c r="C373" s="7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 ht="12.75">
      <c r="A374" s="3"/>
      <c r="B374" s="3"/>
      <c r="C374" s="7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 ht="12.75">
      <c r="A375" s="3"/>
      <c r="B375" s="3"/>
      <c r="C375" s="7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 ht="12.75">
      <c r="A376" s="3"/>
      <c r="B376" s="3"/>
      <c r="C376" s="7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 ht="12.75">
      <c r="A377" s="3"/>
      <c r="B377" s="3"/>
      <c r="C377" s="7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 ht="12.75">
      <c r="A378" s="3"/>
      <c r="B378" s="3"/>
      <c r="C378" s="7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 ht="12.75">
      <c r="A379" s="3"/>
      <c r="B379" s="3"/>
      <c r="C379" s="7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 ht="12.75">
      <c r="A380" s="3"/>
      <c r="B380" s="3"/>
      <c r="C380" s="7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 ht="12.75">
      <c r="A381" s="3"/>
      <c r="B381" s="3"/>
      <c r="C381" s="7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 ht="12.75">
      <c r="A382" s="3"/>
      <c r="B382" s="3"/>
      <c r="C382" s="7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 ht="12.75">
      <c r="A383" s="3"/>
      <c r="B383" s="3"/>
      <c r="C383" s="7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 ht="12.75">
      <c r="A384" s="3"/>
      <c r="B384" s="3"/>
      <c r="C384" s="7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 ht="12.75">
      <c r="A385" s="3"/>
      <c r="B385" s="3"/>
      <c r="C385" s="7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 ht="12.75">
      <c r="A386" s="3"/>
      <c r="B386" s="3"/>
      <c r="C386" s="7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 ht="12.75">
      <c r="A387" s="3"/>
      <c r="B387" s="3"/>
      <c r="C387" s="7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 ht="12.75">
      <c r="A388" s="3"/>
      <c r="B388" s="3"/>
      <c r="C388" s="7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 ht="12.75">
      <c r="A389" s="3"/>
      <c r="B389" s="3"/>
      <c r="C389" s="7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 ht="12.75">
      <c r="A390" s="3"/>
      <c r="B390" s="3"/>
      <c r="C390" s="7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 ht="12.75">
      <c r="A391" s="3"/>
      <c r="B391" s="3"/>
      <c r="C391" s="7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 ht="12.75">
      <c r="A392" s="3"/>
      <c r="B392" s="3"/>
      <c r="C392" s="7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 ht="12.75">
      <c r="A393" s="3"/>
      <c r="B393" s="3"/>
      <c r="C393" s="7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 ht="12.75">
      <c r="A394" s="3"/>
      <c r="B394" s="3"/>
      <c r="C394" s="7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 ht="12.75">
      <c r="A395" s="3"/>
      <c r="B395" s="3"/>
      <c r="C395" s="7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1:16" ht="12.75">
      <c r="A396" s="3"/>
      <c r="B396" s="3"/>
      <c r="C396" s="7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 ht="12.75">
      <c r="A397" s="3"/>
      <c r="B397" s="3"/>
      <c r="C397" s="7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 ht="12.75">
      <c r="A398" s="3"/>
      <c r="B398" s="3"/>
      <c r="C398" s="7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 ht="12.75">
      <c r="A399" s="3"/>
      <c r="B399" s="3"/>
      <c r="C399" s="7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 ht="12.75">
      <c r="A400" s="3"/>
      <c r="B400" s="3"/>
      <c r="C400" s="7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 ht="12.75">
      <c r="A401" s="3"/>
      <c r="B401" s="3"/>
      <c r="C401" s="7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6" ht="12.75">
      <c r="A402" s="3"/>
      <c r="B402" s="3"/>
      <c r="C402" s="7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 ht="12.75">
      <c r="A403" s="3"/>
      <c r="B403" s="3"/>
      <c r="C403" s="7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 ht="12.75">
      <c r="A404" s="3"/>
      <c r="B404" s="3"/>
      <c r="C404" s="7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 ht="12.75">
      <c r="A405" s="3"/>
      <c r="B405" s="3"/>
      <c r="C405" s="7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 ht="12.75">
      <c r="A406" s="3"/>
      <c r="B406" s="3"/>
      <c r="C406" s="7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 ht="12.75">
      <c r="A407" s="3"/>
      <c r="B407" s="3"/>
      <c r="C407" s="7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 ht="12.75">
      <c r="A408" s="3"/>
      <c r="B408" s="3"/>
      <c r="C408" s="7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 ht="12.75">
      <c r="A409" s="3"/>
      <c r="B409" s="3"/>
      <c r="C409" s="7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 ht="12.75">
      <c r="A410" s="3"/>
      <c r="B410" s="3"/>
      <c r="C410" s="7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 ht="12.75">
      <c r="A411" s="3"/>
      <c r="B411" s="3"/>
      <c r="C411" s="7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 ht="12.75">
      <c r="A412" s="3"/>
      <c r="B412" s="3"/>
      <c r="C412" s="7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 ht="12.75">
      <c r="A413" s="3"/>
      <c r="B413" s="3"/>
      <c r="C413" s="7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 ht="12.75">
      <c r="A414" s="3"/>
      <c r="B414" s="3"/>
      <c r="C414" s="7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 ht="12.75">
      <c r="A415" s="3"/>
      <c r="B415" s="3"/>
      <c r="C415" s="7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 ht="12.75">
      <c r="A416" s="3"/>
      <c r="B416" s="3"/>
      <c r="C416" s="7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 ht="12.75">
      <c r="A417" s="3"/>
      <c r="B417" s="3"/>
      <c r="C417" s="7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 ht="12.75">
      <c r="A418" s="3"/>
      <c r="B418" s="3"/>
      <c r="C418" s="7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 ht="12.75">
      <c r="A419" s="3"/>
      <c r="B419" s="3"/>
      <c r="C419" s="7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 ht="12.75">
      <c r="A420" s="3"/>
      <c r="B420" s="3"/>
      <c r="C420" s="7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 ht="12.75">
      <c r="A421" s="3"/>
      <c r="B421" s="3"/>
      <c r="C421" s="7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 ht="12.75">
      <c r="A422" s="3"/>
      <c r="B422" s="3"/>
      <c r="C422" s="7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 ht="12.75">
      <c r="A423" s="3"/>
      <c r="B423" s="3"/>
      <c r="C423" s="7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 ht="12.75">
      <c r="A424" s="3"/>
      <c r="B424" s="3"/>
      <c r="C424" s="7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 ht="12.75">
      <c r="A425" s="3"/>
      <c r="B425" s="3"/>
      <c r="C425" s="7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 ht="12.75">
      <c r="A426" s="3"/>
      <c r="B426" s="3"/>
      <c r="C426" s="7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 ht="12.75">
      <c r="A427" s="3"/>
      <c r="B427" s="3"/>
      <c r="C427" s="7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 ht="12.75">
      <c r="A428" s="3"/>
      <c r="B428" s="3"/>
      <c r="C428" s="7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 ht="12.75">
      <c r="A429" s="3"/>
      <c r="B429" s="3"/>
      <c r="C429" s="7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 ht="12.75">
      <c r="A430" s="3"/>
      <c r="B430" s="3"/>
      <c r="C430" s="7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 ht="12.75">
      <c r="A431" s="3"/>
      <c r="B431" s="3"/>
      <c r="C431" s="7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1:16" ht="12.75">
      <c r="A432" s="3"/>
      <c r="B432" s="3"/>
      <c r="C432" s="7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1:16" ht="12.75">
      <c r="A433" s="3"/>
      <c r="B433" s="3"/>
      <c r="C433" s="7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1:16" ht="12.75">
      <c r="A434" s="3"/>
      <c r="B434" s="3"/>
      <c r="C434" s="7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1:16" ht="12.75">
      <c r="A435" s="3"/>
      <c r="B435" s="3"/>
      <c r="C435" s="7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1:16" ht="12.75">
      <c r="A436" s="3"/>
      <c r="B436" s="3"/>
      <c r="C436" s="7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6" ht="12.75">
      <c r="A437" s="3"/>
      <c r="B437" s="3"/>
      <c r="C437" s="7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1:16" ht="12.75">
      <c r="A438" s="3"/>
      <c r="B438" s="3"/>
      <c r="C438" s="7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 ht="12.75">
      <c r="A439" s="3"/>
      <c r="B439" s="3"/>
      <c r="C439" s="7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6" ht="12.75">
      <c r="A440" s="3"/>
      <c r="B440" s="3"/>
      <c r="C440" s="7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 ht="12.75">
      <c r="A441" s="3"/>
      <c r="B441" s="3"/>
      <c r="C441" s="7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 ht="12.75">
      <c r="A442" s="3"/>
      <c r="B442" s="3"/>
      <c r="C442" s="7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 ht="12.75">
      <c r="A443" s="3"/>
      <c r="B443" s="3"/>
      <c r="C443" s="7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 ht="12.75">
      <c r="A444" s="3"/>
      <c r="B444" s="3"/>
      <c r="C444" s="7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 ht="12.75">
      <c r="A445" s="3"/>
      <c r="B445" s="3"/>
      <c r="C445" s="7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 ht="12.75">
      <c r="A446" s="3"/>
      <c r="B446" s="3"/>
      <c r="C446" s="7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 ht="12.75">
      <c r="A447" s="3"/>
      <c r="B447" s="3"/>
      <c r="C447" s="7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1:16" ht="12.75">
      <c r="A448" s="3"/>
      <c r="B448" s="3"/>
      <c r="C448" s="7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1:16" ht="12.75">
      <c r="A449" s="3"/>
      <c r="B449" s="3"/>
      <c r="C449" s="7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 ht="12.75">
      <c r="A450" s="3"/>
      <c r="B450" s="3"/>
      <c r="C450" s="7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 ht="12.75">
      <c r="A451" s="3"/>
      <c r="B451" s="3"/>
      <c r="C451" s="7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 ht="12.75">
      <c r="A452" s="3"/>
      <c r="B452" s="3"/>
      <c r="C452" s="7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1:16" ht="12.75">
      <c r="A453" s="3"/>
      <c r="B453" s="3"/>
      <c r="C453" s="7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 ht="12.75">
      <c r="A454" s="3"/>
      <c r="B454" s="3"/>
      <c r="C454" s="7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1:16" ht="12.75">
      <c r="A455" s="3"/>
      <c r="B455" s="3"/>
      <c r="C455" s="7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1:16" ht="12.75">
      <c r="A456" s="3"/>
      <c r="B456" s="3"/>
      <c r="C456" s="7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1:16" ht="12.75">
      <c r="A457" s="3"/>
      <c r="B457" s="3"/>
      <c r="C457" s="7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1:16" ht="12.75">
      <c r="A458" s="3"/>
      <c r="B458" s="3"/>
      <c r="C458" s="7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1:16" ht="12.75">
      <c r="A459" s="3"/>
      <c r="B459" s="3"/>
      <c r="C459" s="7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1:16" ht="12.75">
      <c r="A460" s="3"/>
      <c r="B460" s="3"/>
      <c r="C460" s="7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1:16" ht="12.75">
      <c r="A461" s="3"/>
      <c r="B461" s="3"/>
      <c r="C461" s="7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 ht="12.75">
      <c r="A462" s="3"/>
      <c r="B462" s="3"/>
      <c r="C462" s="7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 ht="12.75">
      <c r="A463" s="3"/>
      <c r="B463" s="3"/>
      <c r="C463" s="7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1:16" ht="12.75">
      <c r="A464" s="3"/>
      <c r="B464" s="3"/>
      <c r="C464" s="7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1:16" ht="12.75">
      <c r="A465" s="3"/>
      <c r="B465" s="3"/>
      <c r="C465" s="7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 ht="12.75">
      <c r="A466" s="3"/>
      <c r="B466" s="3"/>
      <c r="C466" s="7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1:16" ht="12.75">
      <c r="A467" s="3"/>
      <c r="B467" s="3"/>
      <c r="C467" s="7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6" ht="12.75">
      <c r="A468" s="3"/>
      <c r="B468" s="3"/>
      <c r="C468" s="7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 ht="12.75">
      <c r="A469" s="3"/>
      <c r="B469" s="3"/>
      <c r="C469" s="7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6" ht="12.75">
      <c r="A470" s="3"/>
      <c r="B470" s="3"/>
      <c r="C470" s="7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1:16" ht="12.75">
      <c r="A471" s="3"/>
      <c r="B471" s="3"/>
      <c r="C471" s="7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1:16" ht="12.75">
      <c r="A472" s="3"/>
      <c r="B472" s="3"/>
      <c r="C472" s="7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1:16" ht="12.75">
      <c r="A473" s="3"/>
      <c r="B473" s="3"/>
      <c r="C473" s="7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1:16" ht="12.75">
      <c r="A474" s="3"/>
      <c r="B474" s="3"/>
      <c r="C474" s="7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1:16" ht="12.75">
      <c r="A475" s="3"/>
      <c r="B475" s="3"/>
      <c r="C475" s="7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 ht="12.75">
      <c r="A476" s="3"/>
      <c r="B476" s="3"/>
      <c r="C476" s="7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 ht="12.75">
      <c r="A477" s="3"/>
      <c r="B477" s="3"/>
      <c r="C477" s="7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1:16" ht="12.75">
      <c r="A478" s="3"/>
      <c r="B478" s="3"/>
      <c r="C478" s="7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1:16" ht="12.75">
      <c r="A479" s="3"/>
      <c r="B479" s="3"/>
      <c r="C479" s="7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 ht="12.75">
      <c r="A480" s="3"/>
      <c r="B480" s="3"/>
      <c r="C480" s="7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 ht="12.75">
      <c r="A481" s="3"/>
      <c r="B481" s="3"/>
      <c r="C481" s="7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1:16" ht="12.75">
      <c r="A482" s="3"/>
      <c r="B482" s="3"/>
      <c r="C482" s="7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1:16" ht="12.75">
      <c r="A483" s="3"/>
      <c r="B483" s="3"/>
      <c r="C483" s="7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1:16" ht="12.75">
      <c r="A484" s="3"/>
      <c r="B484" s="3"/>
      <c r="C484" s="7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 ht="12.75">
      <c r="A485" s="3"/>
      <c r="B485" s="3"/>
      <c r="C485" s="7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 ht="12.75">
      <c r="A486" s="3"/>
      <c r="B486" s="3"/>
      <c r="C486" s="7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 ht="12.75">
      <c r="A487" s="3"/>
      <c r="B487" s="3"/>
      <c r="C487" s="7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 ht="12.75">
      <c r="A488" s="3"/>
      <c r="B488" s="3"/>
      <c r="C488" s="7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1:16" ht="12.75">
      <c r="A489" s="3"/>
      <c r="B489" s="3"/>
      <c r="C489" s="7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1:16" ht="12.75">
      <c r="A490" s="3"/>
      <c r="B490" s="3"/>
      <c r="C490" s="7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 ht="12.75">
      <c r="A491" s="3"/>
      <c r="B491" s="3"/>
      <c r="C491" s="7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 ht="12.75">
      <c r="A492" s="3"/>
      <c r="B492" s="3"/>
      <c r="C492" s="7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 ht="12.75">
      <c r="A493" s="3"/>
      <c r="B493" s="3"/>
      <c r="C493" s="7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 ht="12.75">
      <c r="A494" s="3"/>
      <c r="B494" s="3"/>
      <c r="C494" s="7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1:16" ht="12.75">
      <c r="A495" s="3"/>
      <c r="B495" s="3"/>
      <c r="C495" s="7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1:16" ht="12.75">
      <c r="A496" s="3"/>
      <c r="B496" s="3"/>
      <c r="C496" s="7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1:16" ht="12.75">
      <c r="A497" s="3"/>
      <c r="B497" s="3"/>
      <c r="C497" s="7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1:16" ht="12.75">
      <c r="A498" s="3"/>
      <c r="B498" s="3"/>
      <c r="C498" s="7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1:16" ht="12.75">
      <c r="A499" s="3"/>
      <c r="B499" s="3"/>
      <c r="C499" s="7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 ht="12.75">
      <c r="A500" s="3"/>
      <c r="B500" s="3"/>
      <c r="C500" s="7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6" ht="12.75">
      <c r="A501" s="3"/>
      <c r="B501" s="3"/>
      <c r="C501" s="7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1:16" ht="12.75">
      <c r="A502" s="3"/>
      <c r="B502" s="3"/>
      <c r="C502" s="7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1:16" ht="12.75">
      <c r="A503" s="3"/>
      <c r="B503" s="3"/>
      <c r="C503" s="7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1:16" ht="12.75">
      <c r="A504" s="3"/>
      <c r="B504" s="3"/>
      <c r="C504" s="7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1:16" ht="12.75">
      <c r="A505" s="3"/>
      <c r="B505" s="3"/>
      <c r="C505" s="7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 ht="12.75">
      <c r="A506" s="3"/>
      <c r="B506" s="3"/>
      <c r="C506" s="7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1:16" ht="12.75">
      <c r="A507" s="3"/>
      <c r="B507" s="3"/>
      <c r="C507" s="7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1:16" ht="12.75">
      <c r="A508" s="3"/>
      <c r="B508" s="3"/>
      <c r="C508" s="7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1:16" ht="12.75">
      <c r="A509" s="3"/>
      <c r="B509" s="3"/>
      <c r="C509" s="7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1:16" ht="12.75">
      <c r="A510" s="3"/>
      <c r="B510" s="3"/>
      <c r="C510" s="7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1:16" ht="12.75">
      <c r="A511" s="3"/>
      <c r="B511" s="3"/>
      <c r="C511" s="7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1:16" ht="12.75">
      <c r="A512" s="3"/>
      <c r="B512" s="3"/>
      <c r="C512" s="7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1:16" ht="12.75">
      <c r="A513" s="3"/>
      <c r="B513" s="3"/>
      <c r="C513" s="7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1:16" ht="12.75">
      <c r="A514" s="3"/>
      <c r="B514" s="3"/>
      <c r="C514" s="7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1:16" ht="12.75">
      <c r="A515" s="3"/>
      <c r="B515" s="3"/>
      <c r="C515" s="7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1:16" ht="12.75">
      <c r="A516" s="3"/>
      <c r="B516" s="3"/>
      <c r="C516" s="7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1:16" ht="12.75">
      <c r="A517" s="3"/>
      <c r="B517" s="3"/>
      <c r="C517" s="7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1:16" ht="12.75">
      <c r="A518" s="3"/>
      <c r="B518" s="3"/>
      <c r="C518" s="7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1:16" ht="12.75">
      <c r="A519" s="3"/>
      <c r="B519" s="3"/>
      <c r="C519" s="7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 ht="12.75">
      <c r="A520" s="3"/>
      <c r="B520" s="3"/>
      <c r="C520" s="7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1:16" ht="12.75">
      <c r="A521" s="3"/>
      <c r="B521" s="3"/>
      <c r="C521" s="7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1:16" ht="12.75">
      <c r="A522" s="3"/>
      <c r="B522" s="3"/>
      <c r="C522" s="7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1:16" ht="12.75">
      <c r="A523" s="3"/>
      <c r="B523" s="3"/>
      <c r="C523" s="7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 ht="12.75">
      <c r="A524" s="3"/>
      <c r="B524" s="3"/>
      <c r="C524" s="7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 ht="12.75">
      <c r="A525" s="3"/>
      <c r="B525" s="3"/>
      <c r="C525" s="7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 ht="12.75">
      <c r="A526" s="3"/>
      <c r="B526" s="3"/>
      <c r="C526" s="7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 ht="12.75">
      <c r="A527" s="3"/>
      <c r="B527" s="3"/>
      <c r="C527" s="7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1:16" ht="12.75">
      <c r="A528" s="3"/>
      <c r="B528" s="3"/>
      <c r="C528" s="7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1:16" ht="12.75">
      <c r="A529" s="3"/>
      <c r="B529" s="3"/>
      <c r="C529" s="7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1:16" ht="12.75">
      <c r="A530" s="3"/>
      <c r="B530" s="3"/>
      <c r="C530" s="7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1:16" ht="12.75">
      <c r="A531" s="3"/>
      <c r="B531" s="3"/>
      <c r="C531" s="7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 ht="12.75">
      <c r="A532" s="3"/>
      <c r="B532" s="3"/>
      <c r="C532" s="7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 ht="12.75">
      <c r="A533" s="3"/>
      <c r="B533" s="3"/>
      <c r="C533" s="7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 ht="12.75">
      <c r="A534" s="3"/>
      <c r="B534" s="3"/>
      <c r="C534" s="7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6" ht="12.75">
      <c r="A535" s="3"/>
      <c r="B535" s="3"/>
      <c r="C535" s="7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1:16" ht="12.75">
      <c r="A536" s="3"/>
      <c r="B536" s="3"/>
      <c r="C536" s="7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1:16" ht="12.75">
      <c r="A537" s="3"/>
      <c r="B537" s="3"/>
      <c r="C537" s="7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 ht="12.75">
      <c r="A538" s="3"/>
      <c r="B538" s="3"/>
      <c r="C538" s="7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1:16" ht="12.75">
      <c r="A539" s="3"/>
      <c r="B539" s="3"/>
      <c r="C539" s="7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1:16" ht="12.75">
      <c r="A540" s="3"/>
      <c r="B540" s="3"/>
      <c r="C540" s="7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1:16" ht="12.75">
      <c r="A541" s="3"/>
      <c r="B541" s="3"/>
      <c r="C541" s="7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1:16" ht="12.75">
      <c r="A542" s="3"/>
      <c r="B542" s="3"/>
      <c r="C542" s="7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1:16" ht="12.75">
      <c r="A543" s="3"/>
      <c r="B543" s="3"/>
      <c r="C543" s="7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1:16" ht="12.75">
      <c r="A544" s="3"/>
      <c r="B544" s="3"/>
      <c r="C544" s="7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1:16" ht="12.75">
      <c r="A545" s="3"/>
      <c r="B545" s="3"/>
      <c r="C545" s="7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1:16" ht="12.75">
      <c r="A546" s="3"/>
      <c r="B546" s="3"/>
      <c r="C546" s="7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1:16" ht="12.75">
      <c r="A547" s="3"/>
      <c r="B547" s="3"/>
      <c r="C547" s="7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6" ht="12.75">
      <c r="A548" s="3"/>
      <c r="B548" s="3"/>
      <c r="C548" s="7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1:16" ht="12.75">
      <c r="A549" s="3"/>
      <c r="B549" s="3"/>
      <c r="C549" s="7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1:16" ht="12.75">
      <c r="A550" s="3"/>
      <c r="B550" s="3"/>
      <c r="C550" s="7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1:16" ht="12.75">
      <c r="A551" s="3"/>
      <c r="B551" s="3"/>
      <c r="C551" s="7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1:16" ht="12.75">
      <c r="A552" s="3"/>
      <c r="B552" s="3"/>
      <c r="C552" s="7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 ht="12.75">
      <c r="A553" s="3"/>
      <c r="B553" s="3"/>
      <c r="C553" s="7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1:16" ht="12.75">
      <c r="A554" s="3"/>
      <c r="B554" s="3"/>
      <c r="C554" s="7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1:16" ht="12.75">
      <c r="A555" s="3"/>
      <c r="B555" s="3"/>
      <c r="C555" s="7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1:16" ht="12.75">
      <c r="A556" s="3"/>
      <c r="B556" s="3"/>
      <c r="C556" s="7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1:16" ht="12.75">
      <c r="A557" s="3"/>
      <c r="B557" s="3"/>
      <c r="C557" s="7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1:16" ht="12.75">
      <c r="A558" s="3"/>
      <c r="B558" s="3"/>
      <c r="C558" s="7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 ht="12.75">
      <c r="A559" s="3"/>
      <c r="B559" s="3"/>
      <c r="C559" s="7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1:16" ht="12.75">
      <c r="A560" s="3"/>
      <c r="B560" s="3"/>
      <c r="C560" s="7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1:16" ht="12.75">
      <c r="A561" s="3"/>
      <c r="B561" s="3"/>
      <c r="C561" s="7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1:16" ht="12.75">
      <c r="A562" s="3"/>
      <c r="B562" s="3"/>
      <c r="C562" s="7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1:16" ht="12.75">
      <c r="A563" s="3"/>
      <c r="B563" s="3"/>
      <c r="C563" s="7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1:16" ht="12.75">
      <c r="A564" s="3"/>
      <c r="B564" s="3"/>
      <c r="C564" s="7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1:16" ht="12.75">
      <c r="A565" s="3"/>
      <c r="B565" s="3"/>
      <c r="C565" s="7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6" ht="12.75">
      <c r="A566" s="3"/>
      <c r="B566" s="3"/>
      <c r="C566" s="7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 ht="12.75">
      <c r="A567" s="3"/>
      <c r="B567" s="3"/>
      <c r="C567" s="7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 ht="12.75">
      <c r="A568" s="3"/>
      <c r="B568" s="3"/>
      <c r="C568" s="7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 ht="12.75">
      <c r="A569" s="3"/>
      <c r="B569" s="3"/>
      <c r="C569" s="7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 ht="12.75">
      <c r="A570" s="3"/>
      <c r="B570" s="3"/>
      <c r="C570" s="7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1:16" ht="12.75">
      <c r="A571" s="3"/>
      <c r="B571" s="3"/>
      <c r="C571" s="7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1:16" ht="12.75">
      <c r="A572" s="3"/>
      <c r="B572" s="3"/>
      <c r="C572" s="7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1:16" ht="12.75">
      <c r="A573" s="3"/>
      <c r="B573" s="3"/>
      <c r="C573" s="7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 ht="12.75">
      <c r="A574" s="3"/>
      <c r="B574" s="3"/>
      <c r="C574" s="7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 ht="12.75">
      <c r="A575" s="3"/>
      <c r="B575" s="3"/>
      <c r="C575" s="7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 ht="12.75">
      <c r="A576" s="3"/>
      <c r="B576" s="3"/>
      <c r="C576" s="7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1:16" ht="12.75">
      <c r="A577" s="3"/>
      <c r="B577" s="3"/>
      <c r="C577" s="7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1:16" ht="12.75">
      <c r="A578" s="3"/>
      <c r="B578" s="3"/>
      <c r="C578" s="7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1:16" ht="12.75">
      <c r="A579" s="3"/>
      <c r="B579" s="3"/>
      <c r="C579" s="7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1:16" ht="12.75">
      <c r="A580" s="3"/>
      <c r="B580" s="3"/>
      <c r="C580" s="7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1:16" ht="12.75">
      <c r="A581" s="3"/>
      <c r="B581" s="3"/>
      <c r="C581" s="7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1:16" ht="12.75">
      <c r="A582" s="3"/>
      <c r="B582" s="3"/>
      <c r="C582" s="7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1:16" ht="12.75">
      <c r="A583" s="3"/>
      <c r="B583" s="3"/>
      <c r="C583" s="7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1:16" ht="12.75">
      <c r="A584" s="3"/>
      <c r="B584" s="3"/>
      <c r="C584" s="7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1:16" ht="12.75">
      <c r="A585" s="3"/>
      <c r="B585" s="3"/>
      <c r="C585" s="7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1:16" ht="12.75">
      <c r="A586" s="3"/>
      <c r="B586" s="3"/>
      <c r="C586" s="7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 ht="12.75">
      <c r="A587" s="3"/>
      <c r="B587" s="3"/>
      <c r="C587" s="7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1:16" ht="12.75">
      <c r="A588" s="3"/>
      <c r="B588" s="3"/>
      <c r="C588" s="7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1:16" ht="12.75">
      <c r="A589" s="3"/>
      <c r="B589" s="3"/>
      <c r="C589" s="7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1:16" ht="12.75">
      <c r="A590" s="3"/>
      <c r="B590" s="3"/>
      <c r="C590" s="7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1:16" ht="12.75">
      <c r="A591" s="3"/>
      <c r="B591" s="3"/>
      <c r="C591" s="7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1:16" ht="12.75">
      <c r="A592" s="3"/>
      <c r="B592" s="3"/>
      <c r="C592" s="7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 ht="12.75">
      <c r="A593" s="3"/>
      <c r="B593" s="3"/>
      <c r="C593" s="7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1:16" ht="12.75">
      <c r="A594" s="3"/>
      <c r="B594" s="3"/>
      <c r="C594" s="7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1:16" ht="12.75">
      <c r="A595" s="3"/>
      <c r="B595" s="3"/>
      <c r="C595" s="7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1:16" ht="12.75">
      <c r="A596" s="3"/>
      <c r="B596" s="3"/>
      <c r="C596" s="7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1:16" ht="12.75">
      <c r="A597" s="3"/>
      <c r="B597" s="3"/>
      <c r="C597" s="7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1:16" ht="12.75">
      <c r="A598" s="3"/>
      <c r="B598" s="3"/>
      <c r="C598" s="7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6" ht="12.75">
      <c r="A599" s="3"/>
      <c r="B599" s="3"/>
      <c r="C599" s="7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6" ht="12.75">
      <c r="A600" s="3"/>
      <c r="B600" s="3"/>
      <c r="C600" s="7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1:16" ht="12.75">
      <c r="A601" s="3"/>
      <c r="B601" s="3"/>
      <c r="C601" s="7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1:16" ht="12.75">
      <c r="A602" s="3"/>
      <c r="B602" s="3"/>
      <c r="C602" s="7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1:16" ht="12.75">
      <c r="A603" s="3"/>
      <c r="B603" s="3"/>
      <c r="C603" s="7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1:16" ht="12.75">
      <c r="A604" s="3"/>
      <c r="B604" s="3"/>
      <c r="C604" s="7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1:16" ht="12.75">
      <c r="A605" s="3"/>
      <c r="B605" s="3"/>
      <c r="C605" s="7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1:16" ht="12.75">
      <c r="A606" s="3"/>
      <c r="B606" s="3"/>
      <c r="C606" s="7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 ht="12.75">
      <c r="A607" s="3"/>
      <c r="B607" s="3"/>
      <c r="C607" s="7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 ht="12.75">
      <c r="A608" s="3"/>
      <c r="B608" s="3"/>
      <c r="C608" s="7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 ht="12.75">
      <c r="A609" s="3"/>
      <c r="B609" s="3"/>
      <c r="C609" s="7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 ht="12.75">
      <c r="A610" s="3"/>
      <c r="B610" s="3"/>
      <c r="C610" s="7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 ht="12.75">
      <c r="A611" s="3"/>
      <c r="B611" s="3"/>
      <c r="C611" s="7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1:16" ht="12.75">
      <c r="A612" s="3"/>
      <c r="B612" s="3"/>
      <c r="C612" s="7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 ht="12.75">
      <c r="A613" s="3"/>
      <c r="B613" s="3"/>
      <c r="C613" s="7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 ht="12.75">
      <c r="A614" s="3"/>
      <c r="B614" s="3"/>
      <c r="C614" s="7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 ht="12.75">
      <c r="A615" s="3"/>
      <c r="B615" s="3"/>
      <c r="C615" s="7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 ht="12.75">
      <c r="A616" s="3"/>
      <c r="B616" s="3"/>
      <c r="C616" s="7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1:16" ht="12.75">
      <c r="A617" s="3"/>
      <c r="B617" s="3"/>
      <c r="C617" s="7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1:16" ht="12.75">
      <c r="A618" s="3"/>
      <c r="B618" s="3"/>
      <c r="C618" s="7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1:16" ht="12.75">
      <c r="A619" s="3"/>
      <c r="B619" s="3"/>
      <c r="C619" s="7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1:16" ht="12.75">
      <c r="A620" s="3"/>
      <c r="B620" s="3"/>
      <c r="C620" s="7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1:16" ht="12.75">
      <c r="A621" s="3"/>
      <c r="B621" s="3"/>
      <c r="C621" s="7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1:16" ht="12.75">
      <c r="A622" s="3"/>
      <c r="B622" s="3"/>
      <c r="C622" s="7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1:16" ht="12.75">
      <c r="A623" s="3"/>
      <c r="B623" s="3"/>
      <c r="C623" s="7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 ht="12.75">
      <c r="A624" s="3"/>
      <c r="B624" s="3"/>
      <c r="C624" s="7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1:16" ht="12.75">
      <c r="A625" s="3"/>
      <c r="B625" s="3"/>
      <c r="C625" s="7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6" ht="12.75">
      <c r="A626" s="3"/>
      <c r="B626" s="3"/>
      <c r="C626" s="7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 ht="12.75">
      <c r="A627" s="3"/>
      <c r="B627" s="3"/>
      <c r="C627" s="7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6" ht="12.75">
      <c r="A628" s="3"/>
      <c r="B628" s="3"/>
      <c r="C628" s="7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1:16" ht="12.75">
      <c r="A629" s="3"/>
      <c r="B629" s="3"/>
      <c r="C629" s="7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 ht="12.75">
      <c r="A630" s="3"/>
      <c r="B630" s="3"/>
      <c r="C630" s="7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1:16" ht="12.75">
      <c r="A631" s="3"/>
      <c r="B631" s="3"/>
      <c r="C631" s="7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1:16" ht="12.75">
      <c r="A632" s="3"/>
      <c r="B632" s="3"/>
      <c r="C632" s="7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1:16" ht="12.75">
      <c r="A633" s="3"/>
      <c r="B633" s="3"/>
      <c r="C633" s="7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 ht="12.75">
      <c r="A634" s="3"/>
      <c r="B634" s="3"/>
      <c r="C634" s="7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 ht="12.75">
      <c r="A635" s="3"/>
      <c r="B635" s="3"/>
      <c r="C635" s="7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 ht="12.75">
      <c r="A636" s="3"/>
      <c r="B636" s="3"/>
      <c r="C636" s="7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1:16" ht="12.75">
      <c r="A637" s="3"/>
      <c r="B637" s="3"/>
      <c r="C637" s="7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 ht="12.75">
      <c r="A638" s="3"/>
      <c r="B638" s="3"/>
      <c r="C638" s="7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1:16" ht="12.75">
      <c r="A639" s="3"/>
      <c r="B639" s="3"/>
      <c r="C639" s="7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1:16" ht="12.75">
      <c r="A640" s="3"/>
      <c r="B640" s="3"/>
      <c r="C640" s="7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1:16" ht="12.75">
      <c r="A641" s="3"/>
      <c r="B641" s="3"/>
      <c r="C641" s="7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 ht="12.75">
      <c r="A642" s="3"/>
      <c r="B642" s="3"/>
      <c r="C642" s="7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 ht="12.75">
      <c r="A643" s="3"/>
      <c r="B643" s="3"/>
      <c r="C643" s="7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1:16" ht="12.75">
      <c r="A644" s="3"/>
      <c r="B644" s="3"/>
      <c r="C644" s="7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 ht="12.75">
      <c r="A645" s="3"/>
      <c r="B645" s="3"/>
      <c r="C645" s="7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1:16" ht="12.75">
      <c r="A646" s="3"/>
      <c r="B646" s="3"/>
      <c r="C646" s="7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 ht="12.75">
      <c r="A647" s="3"/>
      <c r="B647" s="3"/>
      <c r="C647" s="7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1:16" ht="12.75">
      <c r="A648" s="3"/>
      <c r="B648" s="3"/>
      <c r="C648" s="7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 ht="12.75">
      <c r="A649" s="3"/>
      <c r="B649" s="3"/>
      <c r="C649" s="7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 ht="12.75">
      <c r="A650" s="3"/>
      <c r="B650" s="3"/>
      <c r="C650" s="7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 ht="12.75">
      <c r="A651" s="3"/>
      <c r="B651" s="3"/>
      <c r="C651" s="7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 ht="12.75">
      <c r="A652" s="3"/>
      <c r="B652" s="3"/>
      <c r="C652" s="7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1:16" ht="12.75">
      <c r="A653" s="3"/>
      <c r="B653" s="3"/>
      <c r="C653" s="7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 ht="12.75">
      <c r="A654" s="3"/>
      <c r="B654" s="3"/>
      <c r="C654" s="7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6" ht="12.75">
      <c r="A655" s="3"/>
      <c r="B655" s="3"/>
      <c r="C655" s="7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 ht="12.75">
      <c r="A656" s="3"/>
      <c r="B656" s="3"/>
      <c r="C656" s="7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 ht="12.75">
      <c r="A657" s="3"/>
      <c r="B657" s="3"/>
      <c r="C657" s="7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1:16" ht="12.75">
      <c r="A658" s="3"/>
      <c r="B658" s="3"/>
      <c r="C658" s="7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 ht="12.75">
      <c r="A659" s="3"/>
      <c r="B659" s="3"/>
      <c r="C659" s="7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 ht="12.75">
      <c r="A660" s="3"/>
      <c r="B660" s="3"/>
      <c r="C660" s="7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1:16" ht="12.75">
      <c r="A661" s="3"/>
      <c r="B661" s="3"/>
      <c r="C661" s="7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1:16" ht="12.75">
      <c r="A662" s="3"/>
      <c r="B662" s="3"/>
      <c r="C662" s="7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 ht="12.75">
      <c r="A663" s="3"/>
      <c r="B663" s="3"/>
      <c r="C663" s="7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 ht="12.75">
      <c r="A664" s="3"/>
      <c r="B664" s="3"/>
      <c r="C664" s="7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 ht="12.75">
      <c r="A665" s="3"/>
      <c r="B665" s="3"/>
      <c r="C665" s="7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 ht="12.75">
      <c r="A666" s="3"/>
      <c r="B666" s="3"/>
      <c r="C666" s="7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 ht="12.75">
      <c r="A667" s="3"/>
      <c r="B667" s="3"/>
      <c r="C667" s="7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 ht="12.75">
      <c r="A668" s="3"/>
      <c r="B668" s="3"/>
      <c r="C668" s="7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 ht="12.75">
      <c r="A669" s="3"/>
      <c r="B669" s="3"/>
      <c r="C669" s="7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 ht="12.75">
      <c r="A670" s="3"/>
      <c r="B670" s="3"/>
      <c r="C670" s="7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 ht="12.75">
      <c r="A671" s="3"/>
      <c r="B671" s="3"/>
      <c r="C671" s="7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 ht="12.75">
      <c r="A672" s="3"/>
      <c r="B672" s="3"/>
      <c r="C672" s="7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1:16" ht="12.75">
      <c r="A673" s="3"/>
      <c r="B673" s="3"/>
      <c r="C673" s="7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 ht="12.75">
      <c r="A674" s="3"/>
      <c r="B674" s="3"/>
      <c r="C674" s="7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1:16" ht="12.75">
      <c r="A675" s="3"/>
      <c r="B675" s="3"/>
      <c r="C675" s="7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 ht="12.75">
      <c r="A676" s="3"/>
      <c r="B676" s="3"/>
      <c r="C676" s="7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1:16" ht="12.75">
      <c r="A677" s="3"/>
      <c r="B677" s="3"/>
      <c r="C677" s="7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1:16" ht="12.75">
      <c r="A678" s="3"/>
      <c r="B678" s="3"/>
      <c r="C678" s="7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1:16" ht="12.75">
      <c r="A679" s="3"/>
      <c r="B679" s="3"/>
      <c r="C679" s="7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 ht="12.75">
      <c r="A680" s="3"/>
      <c r="B680" s="3"/>
      <c r="C680" s="7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6" ht="12.75">
      <c r="A681" s="3"/>
      <c r="B681" s="3"/>
      <c r="C681" s="7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6" ht="12.75">
      <c r="A682" s="3"/>
      <c r="B682" s="3"/>
      <c r="C682" s="7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6" ht="12.75">
      <c r="A683" s="3"/>
      <c r="B683" s="3"/>
      <c r="C683" s="7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1:16" ht="12.75">
      <c r="A684" s="3"/>
      <c r="B684" s="3"/>
      <c r="C684" s="7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1:16" ht="12.75">
      <c r="A685" s="3"/>
      <c r="B685" s="3"/>
      <c r="C685" s="7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1:16" ht="12.75">
      <c r="A686" s="3"/>
      <c r="B686" s="3"/>
      <c r="C686" s="7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1:16" ht="12.75">
      <c r="A687" s="3"/>
      <c r="B687" s="3"/>
      <c r="C687" s="7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1:16" ht="12.75">
      <c r="A688" s="3"/>
      <c r="B688" s="3"/>
      <c r="C688" s="7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 ht="12.75">
      <c r="A689" s="3"/>
      <c r="B689" s="3"/>
      <c r="C689" s="7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 ht="12.75">
      <c r="A690" s="3"/>
      <c r="B690" s="3"/>
      <c r="C690" s="7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 ht="12.75">
      <c r="A691" s="3"/>
      <c r="B691" s="3"/>
      <c r="C691" s="7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 ht="12.75">
      <c r="A692" s="3"/>
      <c r="B692" s="3"/>
      <c r="C692" s="7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 ht="12.75">
      <c r="A693" s="3"/>
      <c r="B693" s="3"/>
      <c r="C693" s="7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 ht="12.75">
      <c r="A694" s="3"/>
      <c r="B694" s="3"/>
      <c r="C694" s="7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 ht="12.75">
      <c r="A695" s="3"/>
      <c r="B695" s="3"/>
      <c r="C695" s="7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1:16" ht="12.75">
      <c r="A696" s="3"/>
      <c r="B696" s="3"/>
      <c r="C696" s="7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ht="12.75">
      <c r="A697" s="3"/>
      <c r="B697" s="3"/>
      <c r="C697" s="7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 ht="12.75">
      <c r="A698" s="3"/>
      <c r="B698" s="3"/>
      <c r="C698" s="7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1:16" ht="12.75">
      <c r="A699" s="3"/>
      <c r="B699" s="3"/>
      <c r="C699" s="7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1:16" ht="12.75">
      <c r="A700" s="3"/>
      <c r="B700" s="3"/>
      <c r="C700" s="7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1:16" ht="12.75">
      <c r="A701" s="3"/>
      <c r="B701" s="3"/>
      <c r="C701" s="7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1:16" ht="12.75">
      <c r="A702" s="3"/>
      <c r="B702" s="3"/>
      <c r="C702" s="7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1:16" ht="12.75">
      <c r="A703" s="3"/>
      <c r="B703" s="3"/>
      <c r="C703" s="7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6" ht="12.75">
      <c r="A704" s="3"/>
      <c r="B704" s="3"/>
      <c r="C704" s="7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 ht="12.75">
      <c r="A705" s="3"/>
      <c r="B705" s="3"/>
      <c r="C705" s="7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1:16" ht="12.75">
      <c r="A706" s="3"/>
      <c r="B706" s="3"/>
      <c r="C706" s="7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 ht="12.75">
      <c r="A707" s="3"/>
      <c r="B707" s="3"/>
      <c r="C707" s="7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 ht="12.75">
      <c r="A708" s="3"/>
      <c r="B708" s="3"/>
      <c r="C708" s="7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1:16" ht="12.75">
      <c r="A709" s="3"/>
      <c r="B709" s="3"/>
      <c r="C709" s="7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1:16" ht="12.75">
      <c r="A710" s="3"/>
      <c r="B710" s="3"/>
      <c r="C710" s="7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1:16" ht="12.75">
      <c r="A711" s="3"/>
      <c r="B711" s="3"/>
      <c r="C711" s="7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1:16" ht="12.75">
      <c r="A712" s="3"/>
      <c r="B712" s="3"/>
      <c r="C712" s="7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6" ht="12.75">
      <c r="A713" s="3"/>
      <c r="B713" s="3"/>
      <c r="C713" s="7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 ht="12.75">
      <c r="A714" s="3"/>
      <c r="B714" s="3"/>
      <c r="C714" s="7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 ht="12.75">
      <c r="A715" s="3"/>
      <c r="B715" s="3"/>
      <c r="C715" s="7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1:16" ht="12.75">
      <c r="A716" s="3"/>
      <c r="B716" s="3"/>
      <c r="C716" s="7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 ht="12.75">
      <c r="A717" s="3"/>
      <c r="B717" s="3"/>
      <c r="C717" s="7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1:16" ht="12.75">
      <c r="A718" s="3"/>
      <c r="B718" s="3"/>
      <c r="C718" s="7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16" ht="12.75">
      <c r="A719" s="3"/>
      <c r="B719" s="3"/>
      <c r="C719" s="7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1:16" ht="12.75">
      <c r="A720" s="3"/>
      <c r="B720" s="3"/>
      <c r="C720" s="7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1:16" ht="12.75">
      <c r="A721" s="3"/>
      <c r="B721" s="3"/>
      <c r="C721" s="7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1:16" ht="12.75">
      <c r="A722" s="3"/>
      <c r="B722" s="3"/>
      <c r="C722" s="7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1:16" ht="12.75">
      <c r="A723" s="3"/>
      <c r="B723" s="3"/>
      <c r="C723" s="7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1:16" ht="12.75">
      <c r="A724" s="3"/>
      <c r="B724" s="3"/>
      <c r="C724" s="7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1:16" ht="12.75">
      <c r="A725" s="3"/>
      <c r="B725" s="3"/>
      <c r="C725" s="7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1:16" ht="12.75">
      <c r="A726" s="3"/>
      <c r="B726" s="3"/>
      <c r="C726" s="7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1:16" ht="12.75">
      <c r="A727" s="3"/>
      <c r="B727" s="3"/>
      <c r="C727" s="7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 ht="12.75">
      <c r="A728" s="3"/>
      <c r="B728" s="3"/>
      <c r="C728" s="7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1:16" ht="12.75">
      <c r="A729" s="3"/>
      <c r="B729" s="3"/>
      <c r="C729" s="7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1:16" ht="12.75">
      <c r="A730" s="3"/>
      <c r="B730" s="3"/>
      <c r="C730" s="7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1:16" ht="12.75">
      <c r="A731" s="3"/>
      <c r="B731" s="3"/>
      <c r="C731" s="7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1:16" ht="12.75">
      <c r="A732" s="3"/>
      <c r="B732" s="3"/>
      <c r="C732" s="7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1:16" ht="12.75">
      <c r="A733" s="3"/>
      <c r="B733" s="3"/>
      <c r="C733" s="7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 ht="12.75">
      <c r="A734" s="3"/>
      <c r="B734" s="3"/>
      <c r="C734" s="7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1:16" ht="12.75">
      <c r="A735" s="3"/>
      <c r="B735" s="3"/>
      <c r="C735" s="7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1:16" ht="12.75">
      <c r="A736" s="3"/>
      <c r="B736" s="3"/>
      <c r="C736" s="7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1:16" ht="12.75">
      <c r="A737" s="3"/>
      <c r="B737" s="3"/>
      <c r="C737" s="7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 ht="12.75">
      <c r="A738" s="3"/>
      <c r="B738" s="3"/>
      <c r="C738" s="7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 ht="12.75">
      <c r="A739" s="3"/>
      <c r="B739" s="3"/>
      <c r="C739" s="7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6" ht="12.75">
      <c r="A740" s="3"/>
      <c r="B740" s="3"/>
      <c r="C740" s="7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1:16" ht="12.75">
      <c r="A741" s="3"/>
      <c r="B741" s="3"/>
      <c r="C741" s="7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1:16" ht="12.75">
      <c r="A742" s="3"/>
      <c r="B742" s="3"/>
      <c r="C742" s="7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6" ht="12.75">
      <c r="A743" s="3"/>
      <c r="B743" s="3"/>
      <c r="C743" s="7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1:16" ht="12.75">
      <c r="A744" s="3"/>
      <c r="B744" s="3"/>
      <c r="C744" s="7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 ht="12.75">
      <c r="A745" s="3"/>
      <c r="B745" s="3"/>
      <c r="C745" s="7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1:16" ht="12.75">
      <c r="A746" s="3"/>
      <c r="B746" s="3"/>
      <c r="C746" s="7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 ht="12.75">
      <c r="A747" s="3"/>
      <c r="B747" s="3"/>
      <c r="C747" s="7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 ht="12.75">
      <c r="A748" s="3"/>
      <c r="B748" s="3"/>
      <c r="C748" s="7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1:16" ht="12.75">
      <c r="A749" s="3"/>
      <c r="B749" s="3"/>
      <c r="C749" s="7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1:16" ht="12.75">
      <c r="A750" s="3"/>
      <c r="B750" s="3"/>
      <c r="C750" s="7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 ht="12.75">
      <c r="A751" s="3"/>
      <c r="B751" s="3"/>
      <c r="C751" s="7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 ht="12.75">
      <c r="A752" s="3"/>
      <c r="B752" s="3"/>
      <c r="C752" s="7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1:16" ht="12.75">
      <c r="A753" s="3"/>
      <c r="B753" s="3"/>
      <c r="C753" s="7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 ht="12.75">
      <c r="A754" s="3"/>
      <c r="B754" s="3"/>
      <c r="C754" s="7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1:16" ht="12.75">
      <c r="A755" s="3"/>
      <c r="B755" s="3"/>
      <c r="C755" s="7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1:16" ht="12.75">
      <c r="A756" s="3"/>
      <c r="B756" s="3"/>
      <c r="C756" s="7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1:16" ht="12.75">
      <c r="A757" s="3"/>
      <c r="B757" s="3"/>
      <c r="C757" s="7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1:16" ht="12.75">
      <c r="A758" s="3"/>
      <c r="B758" s="3"/>
      <c r="C758" s="7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1:16" ht="12.75">
      <c r="A759" s="3"/>
      <c r="B759" s="3"/>
      <c r="C759" s="7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1:16" ht="12.75">
      <c r="A760" s="3"/>
      <c r="B760" s="3"/>
      <c r="C760" s="7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1:16" ht="12.75">
      <c r="A761" s="3"/>
      <c r="B761" s="3"/>
      <c r="C761" s="7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 ht="12.75">
      <c r="A762" s="3"/>
      <c r="B762" s="3"/>
      <c r="C762" s="7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1:16" ht="12.75">
      <c r="A763" s="3"/>
      <c r="B763" s="3"/>
      <c r="C763" s="7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1:16" ht="12.75">
      <c r="A764" s="3"/>
      <c r="B764" s="3"/>
      <c r="C764" s="7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1:16" ht="12.75">
      <c r="A765" s="3"/>
      <c r="B765" s="3"/>
      <c r="C765" s="7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6" ht="12.75">
      <c r="A766" s="3"/>
      <c r="B766" s="3"/>
      <c r="C766" s="7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6" ht="12.75">
      <c r="A767" s="3"/>
      <c r="B767" s="3"/>
      <c r="C767" s="7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 ht="12.75">
      <c r="A768" s="3"/>
      <c r="B768" s="3"/>
      <c r="C768" s="7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1:16" ht="12.75">
      <c r="A769" s="3"/>
      <c r="B769" s="3"/>
      <c r="C769" s="7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1:16" ht="12.75">
      <c r="A770" s="3"/>
      <c r="B770" s="3"/>
      <c r="C770" s="7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1:16" ht="12.75">
      <c r="A771" s="3"/>
      <c r="B771" s="3"/>
      <c r="C771" s="7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1:16" ht="12.75">
      <c r="A772" s="3"/>
      <c r="B772" s="3"/>
      <c r="C772" s="7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1:16" ht="12.75">
      <c r="A773" s="3"/>
      <c r="B773" s="3"/>
      <c r="C773" s="7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1:16" ht="12.75">
      <c r="A774" s="3"/>
      <c r="B774" s="3"/>
      <c r="C774" s="7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1:16" ht="12.75">
      <c r="A775" s="3"/>
      <c r="B775" s="3"/>
      <c r="C775" s="7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1:16" ht="12.75">
      <c r="A776" s="3"/>
      <c r="B776" s="3"/>
      <c r="C776" s="7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1:16" ht="12.75">
      <c r="A777" s="3"/>
      <c r="B777" s="3"/>
      <c r="C777" s="7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1:16" ht="12.75">
      <c r="A778" s="3"/>
      <c r="B778" s="3"/>
      <c r="C778" s="7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 ht="12.75">
      <c r="A779" s="3"/>
      <c r="B779" s="3"/>
      <c r="C779" s="7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1:16" ht="12.75">
      <c r="A780" s="3"/>
      <c r="B780" s="3"/>
      <c r="C780" s="7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1:16" ht="12.75">
      <c r="A781" s="3"/>
      <c r="B781" s="3"/>
      <c r="C781" s="7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1:16" ht="12.75">
      <c r="A782" s="3"/>
      <c r="B782" s="3"/>
      <c r="C782" s="7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1:16" ht="12.75">
      <c r="A783" s="3"/>
      <c r="B783" s="3"/>
      <c r="C783" s="7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1:16" ht="12.75">
      <c r="A784" s="3"/>
      <c r="B784" s="3"/>
      <c r="C784" s="7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 ht="12.75">
      <c r="A785" s="3"/>
      <c r="B785" s="3"/>
      <c r="C785" s="7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1:16" ht="12.75">
      <c r="A786" s="3"/>
      <c r="B786" s="3"/>
      <c r="C786" s="7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1:16" ht="12.75">
      <c r="A787" s="3"/>
      <c r="B787" s="3"/>
      <c r="C787" s="7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1:16" ht="12.75">
      <c r="A788" s="3"/>
      <c r="B788" s="3"/>
      <c r="C788" s="7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1:16" ht="12.75">
      <c r="A789" s="3"/>
      <c r="B789" s="3"/>
      <c r="C789" s="7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1:16" ht="12.75">
      <c r="A790" s="3"/>
      <c r="B790" s="3"/>
      <c r="C790" s="7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1:16" ht="12.75">
      <c r="A791" s="3"/>
      <c r="B791" s="3"/>
      <c r="C791" s="7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1:16" ht="12.75">
      <c r="A792" s="3"/>
      <c r="B792" s="3"/>
      <c r="C792" s="7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6" ht="12.75">
      <c r="A793" s="3"/>
      <c r="B793" s="3"/>
      <c r="C793" s="7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6" ht="12.75">
      <c r="A794" s="3"/>
      <c r="B794" s="3"/>
      <c r="C794" s="7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1:16" ht="12.75">
      <c r="A795" s="3"/>
      <c r="B795" s="3"/>
      <c r="C795" s="7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 ht="12.75">
      <c r="A796" s="3"/>
      <c r="B796" s="3"/>
      <c r="C796" s="7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1:16" ht="12.75">
      <c r="A797" s="3"/>
      <c r="B797" s="3"/>
      <c r="C797" s="7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1:16" ht="12.75">
      <c r="A798" s="3"/>
      <c r="B798" s="3"/>
      <c r="C798" s="7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1:16" ht="12.75">
      <c r="A799" s="3"/>
      <c r="B799" s="3"/>
      <c r="C799" s="7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1:16" ht="12.75">
      <c r="A800" s="3"/>
      <c r="B800" s="3"/>
      <c r="C800" s="7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1:16" ht="12.75">
      <c r="A801" s="3"/>
      <c r="B801" s="3"/>
      <c r="C801" s="7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 ht="12.75">
      <c r="A802" s="3"/>
      <c r="B802" s="3"/>
      <c r="C802" s="7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1:16" ht="12.75">
      <c r="A803" s="3"/>
      <c r="B803" s="3"/>
      <c r="C803" s="7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1:16" ht="12.75">
      <c r="A804" s="3"/>
      <c r="B804" s="3"/>
      <c r="C804" s="7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1:16" ht="12.75">
      <c r="A805" s="3"/>
      <c r="B805" s="3"/>
      <c r="C805" s="7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1:16" ht="12.75">
      <c r="A806" s="3"/>
      <c r="B806" s="3"/>
      <c r="C806" s="7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1:16" ht="12.75">
      <c r="A807" s="3"/>
      <c r="B807" s="3"/>
      <c r="C807" s="7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1:16" ht="12.75">
      <c r="A808" s="3"/>
      <c r="B808" s="3"/>
      <c r="C808" s="7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1:16" ht="12.75">
      <c r="A809" s="3"/>
      <c r="B809" s="3"/>
      <c r="C809" s="7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1:16" ht="12.75">
      <c r="A810" s="3"/>
      <c r="B810" s="3"/>
      <c r="C810" s="7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1:16" ht="12.75">
      <c r="A811" s="3"/>
      <c r="B811" s="3"/>
      <c r="C811" s="7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 ht="12.75">
      <c r="A812" s="3"/>
      <c r="B812" s="3"/>
      <c r="C812" s="7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 ht="12.75">
      <c r="A813" s="3"/>
      <c r="B813" s="3"/>
      <c r="C813" s="7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1:16" ht="12.75">
      <c r="A814" s="3"/>
      <c r="B814" s="3"/>
      <c r="C814" s="7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1:16" ht="12.75">
      <c r="A815" s="3"/>
      <c r="B815" s="3"/>
      <c r="C815" s="7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1:16" ht="12.75">
      <c r="A816" s="3"/>
      <c r="B816" s="3"/>
      <c r="C816" s="7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1:16" ht="12.75">
      <c r="A817" s="3"/>
      <c r="B817" s="3"/>
      <c r="C817" s="7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1:16" ht="12.75">
      <c r="A818" s="3"/>
      <c r="B818" s="3"/>
      <c r="C818" s="7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 ht="12.75">
      <c r="A819" s="3"/>
      <c r="B819" s="3"/>
      <c r="C819" s="7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1:16" ht="12.75">
      <c r="A820" s="3"/>
      <c r="B820" s="3"/>
      <c r="C820" s="7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6" ht="12.75">
      <c r="A821" s="3"/>
      <c r="B821" s="3"/>
      <c r="C821" s="7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6" ht="12.75">
      <c r="A822" s="3"/>
      <c r="B822" s="3"/>
      <c r="C822" s="7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1:16" ht="12.75">
      <c r="A823" s="3"/>
      <c r="B823" s="3"/>
      <c r="C823" s="7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1:16" ht="12.75">
      <c r="A824" s="3"/>
      <c r="B824" s="3"/>
      <c r="C824" s="7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 ht="12.75">
      <c r="A825" s="3"/>
      <c r="B825" s="3"/>
      <c r="C825" s="7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1:16" ht="12.75">
      <c r="A826" s="3"/>
      <c r="B826" s="3"/>
      <c r="C826" s="7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1:16" ht="12.75">
      <c r="A827" s="3"/>
      <c r="B827" s="3"/>
      <c r="C827" s="7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1:16" ht="12.75">
      <c r="A828" s="3"/>
      <c r="B828" s="3"/>
      <c r="C828" s="7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1:16" ht="12.75">
      <c r="A829" s="3"/>
      <c r="B829" s="3"/>
      <c r="C829" s="7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1:16" ht="12.75">
      <c r="A830" s="3"/>
      <c r="B830" s="3"/>
      <c r="C830" s="7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 ht="12.75">
      <c r="A831" s="3"/>
      <c r="B831" s="3"/>
      <c r="C831" s="7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1:16" ht="12.75">
      <c r="A832" s="3"/>
      <c r="B832" s="3"/>
      <c r="C832" s="7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1:16" ht="12.75">
      <c r="A833" s="3"/>
      <c r="B833" s="3"/>
      <c r="C833" s="7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1:16" ht="12.75">
      <c r="A834" s="3"/>
      <c r="B834" s="3"/>
      <c r="C834" s="7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1:16" ht="12.75">
      <c r="A835" s="3"/>
      <c r="B835" s="3"/>
      <c r="C835" s="7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1:16" ht="12.75">
      <c r="A836" s="3"/>
      <c r="B836" s="3"/>
      <c r="C836" s="7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1:16" ht="12.75">
      <c r="A837" s="3"/>
      <c r="B837" s="3"/>
      <c r="C837" s="7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1:16" ht="12.75">
      <c r="A838" s="3"/>
      <c r="B838" s="3"/>
      <c r="C838" s="7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1:16" ht="12.75">
      <c r="A839" s="3"/>
      <c r="B839" s="3"/>
      <c r="C839" s="7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1:16" ht="12.75">
      <c r="A840" s="3"/>
      <c r="B840" s="3"/>
      <c r="C840" s="7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1:16" ht="12.75">
      <c r="A841" s="3"/>
      <c r="B841" s="3"/>
      <c r="C841" s="7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1:16" ht="12.75">
      <c r="A842" s="3"/>
      <c r="B842" s="3"/>
      <c r="C842" s="7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 ht="12.75">
      <c r="A843" s="3"/>
      <c r="B843" s="3"/>
      <c r="C843" s="7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1:16" ht="12.75">
      <c r="A844" s="3"/>
      <c r="B844" s="3"/>
      <c r="C844" s="7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1:16" ht="12.75">
      <c r="A845" s="3"/>
      <c r="B845" s="3"/>
      <c r="C845" s="7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1:16" ht="12.75">
      <c r="A846" s="3"/>
      <c r="B846" s="3"/>
      <c r="C846" s="7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1:16" ht="12.75">
      <c r="A847" s="3"/>
      <c r="B847" s="3"/>
      <c r="C847" s="7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6" ht="12.75">
      <c r="A848" s="3"/>
      <c r="B848" s="3"/>
      <c r="C848" s="7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 ht="12.75">
      <c r="A849" s="3"/>
      <c r="B849" s="3"/>
      <c r="C849" s="7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1:16" ht="12.75">
      <c r="A850" s="3"/>
      <c r="B850" s="3"/>
      <c r="C850" s="7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1:16" ht="12.75">
      <c r="A851" s="3"/>
      <c r="B851" s="3"/>
      <c r="C851" s="7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1:16" ht="12.75">
      <c r="A852" s="3"/>
      <c r="B852" s="3"/>
      <c r="C852" s="7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1:16" ht="12.75">
      <c r="A853" s="3"/>
      <c r="B853" s="3"/>
      <c r="C853" s="7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1:16" ht="12.75">
      <c r="A854" s="3"/>
      <c r="B854" s="3"/>
      <c r="C854" s="7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1:16" ht="12.75">
      <c r="A855" s="3"/>
      <c r="B855" s="3"/>
      <c r="C855" s="7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1:16" ht="12.75">
      <c r="A856" s="3"/>
      <c r="B856" s="3"/>
      <c r="C856" s="7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1:16" ht="12.75">
      <c r="A857" s="3"/>
      <c r="B857" s="3"/>
      <c r="C857" s="7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1:16" ht="12.75">
      <c r="A858" s="3"/>
      <c r="B858" s="3"/>
      <c r="C858" s="7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1:16" ht="12.75">
      <c r="A859" s="3"/>
      <c r="B859" s="3"/>
      <c r="C859" s="7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 ht="12.75">
      <c r="A860" s="3"/>
      <c r="B860" s="3"/>
      <c r="C860" s="7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1:16" ht="12.75">
      <c r="A861" s="3"/>
      <c r="B861" s="3"/>
      <c r="C861" s="7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1:16" ht="12.75">
      <c r="A862" s="3"/>
      <c r="B862" s="3"/>
      <c r="C862" s="7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1:16" ht="12.75">
      <c r="A863" s="3"/>
      <c r="B863" s="3"/>
      <c r="C863" s="7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 ht="12.75">
      <c r="A864" s="3"/>
      <c r="B864" s="3"/>
      <c r="C864" s="7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 ht="12.75">
      <c r="A865" s="3"/>
      <c r="B865" s="3"/>
      <c r="C865" s="7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 ht="12.75">
      <c r="A866" s="3"/>
      <c r="B866" s="3"/>
      <c r="C866" s="7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1:16" ht="12.75">
      <c r="A867" s="3"/>
      <c r="B867" s="3"/>
      <c r="C867" s="7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1:16" ht="12.75">
      <c r="A868" s="3"/>
      <c r="B868" s="3"/>
      <c r="C868" s="7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1:16" ht="12.75">
      <c r="A869" s="3"/>
      <c r="B869" s="3"/>
      <c r="C869" s="7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1:16" ht="12.75">
      <c r="A870" s="3"/>
      <c r="B870" s="3"/>
      <c r="C870" s="7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1:16" ht="12.75">
      <c r="A871" s="3"/>
      <c r="B871" s="3"/>
      <c r="C871" s="7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 ht="12.75">
      <c r="A872" s="3"/>
      <c r="B872" s="3"/>
      <c r="C872" s="7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1:16" ht="12.75">
      <c r="A873" s="3"/>
      <c r="B873" s="3"/>
      <c r="C873" s="7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1:16" ht="12.75">
      <c r="A874" s="3"/>
      <c r="B874" s="3"/>
      <c r="C874" s="7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1:16" ht="12.75">
      <c r="A875" s="3"/>
      <c r="B875" s="3"/>
      <c r="C875" s="7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1:16" ht="12.75">
      <c r="A876" s="3"/>
      <c r="B876" s="3"/>
      <c r="C876" s="7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1:16" ht="12.75">
      <c r="A877" s="3"/>
      <c r="B877" s="3"/>
      <c r="C877" s="7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 ht="12.75">
      <c r="A878" s="3"/>
      <c r="B878" s="3"/>
      <c r="C878" s="7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1:16" ht="12.75">
      <c r="A879" s="3"/>
      <c r="B879" s="3"/>
      <c r="C879" s="7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1:16" ht="12.75">
      <c r="A880" s="3"/>
      <c r="B880" s="3"/>
      <c r="C880" s="7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6" ht="12.75">
      <c r="A881" s="3"/>
      <c r="B881" s="3"/>
      <c r="C881" s="7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6" ht="12.75">
      <c r="A882" s="3"/>
      <c r="B882" s="3"/>
      <c r="C882" s="7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6" ht="12.75">
      <c r="A883" s="3"/>
      <c r="B883" s="3"/>
      <c r="C883" s="7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1:16" ht="12.75">
      <c r="A884" s="3"/>
      <c r="B884" s="3"/>
      <c r="C884" s="7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1:16" ht="12.75">
      <c r="A885" s="3"/>
      <c r="B885" s="3"/>
      <c r="C885" s="7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1:16" ht="12.75">
      <c r="A886" s="3"/>
      <c r="B886" s="3"/>
      <c r="C886" s="7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1:16" ht="12.75">
      <c r="A887" s="3"/>
      <c r="B887" s="3"/>
      <c r="C887" s="7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1:16" ht="12.75">
      <c r="A888" s="3"/>
      <c r="B888" s="3"/>
      <c r="C888" s="7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1:16" ht="12.75">
      <c r="A889" s="3"/>
      <c r="B889" s="3"/>
      <c r="C889" s="7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 ht="12.75">
      <c r="A890" s="3"/>
      <c r="B890" s="3"/>
      <c r="C890" s="7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1:16" ht="12.75">
      <c r="A891" s="3"/>
      <c r="B891" s="3"/>
      <c r="C891" s="7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1:16" ht="12.75">
      <c r="A892" s="3"/>
      <c r="B892" s="3"/>
      <c r="C892" s="7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1:16" ht="12.75">
      <c r="A893" s="3"/>
      <c r="B893" s="3"/>
      <c r="C893" s="7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1:16" ht="12.75">
      <c r="A894" s="3"/>
      <c r="B894" s="3"/>
      <c r="C894" s="7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1:16" ht="12.75">
      <c r="A895" s="3"/>
      <c r="B895" s="3"/>
      <c r="C895" s="7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 ht="12.75">
      <c r="A896" s="3"/>
      <c r="B896" s="3"/>
      <c r="C896" s="7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1:16" ht="12.75">
      <c r="A897" s="3"/>
      <c r="B897" s="3"/>
      <c r="C897" s="7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1:16" ht="12.75">
      <c r="A898" s="3"/>
      <c r="B898" s="3"/>
      <c r="C898" s="7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1:16" ht="12.75">
      <c r="A899" s="3"/>
      <c r="B899" s="3"/>
      <c r="C899" s="7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1:16" ht="12.75">
      <c r="A900" s="3"/>
      <c r="B900" s="3"/>
      <c r="C900" s="7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1:16" ht="12.75">
      <c r="A901" s="3"/>
      <c r="B901" s="3"/>
      <c r="C901" s="7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1:16" ht="12.75">
      <c r="A902" s="3"/>
      <c r="B902" s="3"/>
      <c r="C902" s="7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1:16" ht="12.75">
      <c r="A903" s="3"/>
      <c r="B903" s="3"/>
      <c r="C903" s="7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1:16" ht="12.75">
      <c r="A904" s="3"/>
      <c r="B904" s="3"/>
      <c r="C904" s="7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1:16" ht="12.75">
      <c r="A905" s="3"/>
      <c r="B905" s="3"/>
      <c r="C905" s="7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1:16" ht="12.75">
      <c r="A906" s="3"/>
      <c r="B906" s="3"/>
      <c r="C906" s="7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1:16" ht="12.75">
      <c r="A907" s="3"/>
      <c r="B907" s="3"/>
      <c r="C907" s="7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1:16" ht="12.75">
      <c r="A908" s="3"/>
      <c r="B908" s="3"/>
      <c r="C908" s="7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1:16" ht="12.75">
      <c r="A909" s="3"/>
      <c r="B909" s="3"/>
      <c r="C909" s="7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 ht="12.75">
      <c r="A910" s="3"/>
      <c r="B910" s="3"/>
      <c r="C910" s="7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6" ht="12.75">
      <c r="A911" s="3"/>
      <c r="B911" s="3"/>
      <c r="C911" s="7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6" ht="12.75">
      <c r="A912" s="3"/>
      <c r="B912" s="3"/>
      <c r="C912" s="7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1:16" ht="12.75">
      <c r="A913" s="3"/>
      <c r="B913" s="3"/>
      <c r="C913" s="7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6" ht="12.75">
      <c r="A914" s="3"/>
      <c r="B914" s="3"/>
      <c r="C914" s="7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6" ht="12.75">
      <c r="A915" s="3"/>
      <c r="B915" s="3"/>
      <c r="C915" s="7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 ht="12.75">
      <c r="A916" s="3"/>
      <c r="B916" s="3"/>
      <c r="C916" s="7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1:16" ht="12.75">
      <c r="A917" s="3"/>
      <c r="B917" s="3"/>
      <c r="C917" s="7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1:16" ht="12.75">
      <c r="A918" s="3"/>
      <c r="B918" s="3"/>
      <c r="C918" s="7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1:16" ht="12.75">
      <c r="A919" s="3"/>
      <c r="B919" s="3"/>
      <c r="C919" s="7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1:16" ht="12.75">
      <c r="A920" s="3"/>
      <c r="B920" s="3"/>
      <c r="C920" s="7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1:16" ht="12.75">
      <c r="A921" s="3"/>
      <c r="B921" s="3"/>
      <c r="C921" s="7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spans="1:16" ht="12.75">
      <c r="A922" s="3"/>
      <c r="B922" s="3"/>
      <c r="C922" s="7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1:16" ht="12.75">
      <c r="A923" s="3"/>
      <c r="B923" s="3"/>
      <c r="C923" s="7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spans="1:16" ht="12.75">
      <c r="A924" s="3"/>
      <c r="B924" s="3"/>
      <c r="C924" s="7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spans="1:16" ht="12.75">
      <c r="A925" s="3"/>
      <c r="B925" s="3"/>
      <c r="C925" s="7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spans="1:16" ht="12.75">
      <c r="A926" s="3"/>
      <c r="B926" s="3"/>
      <c r="C926" s="7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1:16" ht="12.75">
      <c r="A927" s="3"/>
      <c r="B927" s="3"/>
      <c r="C927" s="7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spans="1:16" ht="12.75">
      <c r="A928" s="3"/>
      <c r="B928" s="3"/>
      <c r="C928" s="7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spans="1:16" ht="12.75">
      <c r="A929" s="3"/>
      <c r="B929" s="3"/>
      <c r="C929" s="7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spans="1:16" ht="12.75">
      <c r="A930" s="3"/>
      <c r="B930" s="3"/>
      <c r="C930" s="7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spans="1:16" ht="12.75">
      <c r="A931" s="3"/>
      <c r="B931" s="3"/>
      <c r="C931" s="7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spans="1:16" ht="12.75">
      <c r="A932" s="3"/>
      <c r="B932" s="3"/>
      <c r="C932" s="7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1:16" ht="12.75">
      <c r="A933" s="3"/>
      <c r="B933" s="3"/>
      <c r="C933" s="7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1:16" ht="12.75">
      <c r="A934" s="3"/>
      <c r="B934" s="3"/>
      <c r="C934" s="7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spans="1:16" ht="12.75">
      <c r="A935" s="3"/>
      <c r="B935" s="3"/>
      <c r="C935" s="7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1:16" ht="12.75">
      <c r="A936" s="3"/>
      <c r="B936" s="3"/>
      <c r="C936" s="7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1:16" ht="12.75">
      <c r="A937" s="3"/>
      <c r="B937" s="3"/>
      <c r="C937" s="7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1:16" ht="12.75">
      <c r="A938" s="3"/>
      <c r="B938" s="3"/>
      <c r="C938" s="7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1:16" ht="12.75">
      <c r="A939" s="3"/>
      <c r="B939" s="3"/>
      <c r="C939" s="7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1:16" ht="12.75">
      <c r="A940" s="3"/>
      <c r="B940" s="3"/>
      <c r="C940" s="7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1:16" ht="12.75">
      <c r="A941" s="3"/>
      <c r="B941" s="3"/>
      <c r="C941" s="7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6" ht="12.75">
      <c r="A942" s="3"/>
      <c r="B942" s="3"/>
      <c r="C942" s="7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6" ht="12.75">
      <c r="A943" s="3"/>
      <c r="B943" s="3"/>
      <c r="C943" s="7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6" ht="12.75">
      <c r="A944" s="3"/>
      <c r="B944" s="3"/>
      <c r="C944" s="7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spans="1:16" ht="12.75">
      <c r="A945" s="3"/>
      <c r="B945" s="3"/>
      <c r="C945" s="7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spans="1:16" ht="12.75">
      <c r="A946" s="3"/>
      <c r="B946" s="3"/>
      <c r="C946" s="7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spans="1:16" ht="12.75">
      <c r="A947" s="3"/>
      <c r="B947" s="3"/>
      <c r="C947" s="7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spans="1:16" ht="12.75">
      <c r="A948" s="3"/>
      <c r="B948" s="3"/>
      <c r="C948" s="7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spans="1:16" ht="12.75">
      <c r="A949" s="3"/>
      <c r="B949" s="3"/>
      <c r="C949" s="7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1:16" ht="12.75">
      <c r="A950" s="3"/>
      <c r="B950" s="3"/>
      <c r="C950" s="7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spans="1:16" ht="12.75">
      <c r="A951" s="3"/>
      <c r="B951" s="3"/>
      <c r="C951" s="7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1:16" ht="12.75">
      <c r="A952" s="3"/>
      <c r="B952" s="3"/>
      <c r="C952" s="7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1:16" ht="12.75">
      <c r="A953" s="3"/>
      <c r="B953" s="3"/>
      <c r="C953" s="7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spans="1:16" ht="12.75">
      <c r="A954" s="3"/>
      <c r="B954" s="3"/>
      <c r="C954" s="7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1:16" ht="12.75">
      <c r="A955" s="3"/>
      <c r="B955" s="3"/>
      <c r="C955" s="7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spans="1:16" ht="12.75">
      <c r="A956" s="3"/>
      <c r="B956" s="3"/>
      <c r="C956" s="7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spans="1:16" ht="12.75">
      <c r="A957" s="3"/>
      <c r="B957" s="3"/>
      <c r="C957" s="7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spans="1:16" ht="12.75">
      <c r="A958" s="3"/>
      <c r="B958" s="3"/>
      <c r="C958" s="7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spans="1:16" ht="12.75">
      <c r="A959" s="3"/>
      <c r="B959" s="3"/>
      <c r="C959" s="7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spans="1:16" ht="12.75">
      <c r="A960" s="3"/>
      <c r="B960" s="3"/>
      <c r="C960" s="7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spans="1:16" ht="12.75">
      <c r="A961" s="3"/>
      <c r="B961" s="3"/>
      <c r="C961" s="7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spans="1:16" ht="12.75">
      <c r="A962" s="3"/>
      <c r="B962" s="3"/>
      <c r="C962" s="7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spans="1:16" ht="12.75">
      <c r="A963" s="3"/>
      <c r="B963" s="3"/>
      <c r="C963" s="1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1:16" ht="12.75">
      <c r="A964" s="3"/>
      <c r="B964" s="3"/>
      <c r="C964" s="1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spans="1:16" ht="12.75">
      <c r="A965" s="3"/>
      <c r="B965" s="3"/>
      <c r="C965" s="1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spans="1:16" ht="12.75">
      <c r="A966" s="3"/>
      <c r="B966" s="3"/>
      <c r="C966" s="1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spans="1:16" ht="12.75">
      <c r="A967" s="3"/>
      <c r="B967" s="3"/>
      <c r="C967" s="1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1:16" ht="12.75">
      <c r="A968" s="3"/>
      <c r="B968" s="3"/>
      <c r="C968" s="1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</sheetData>
  <autoFilter ref="A1:D231" xr:uid="{00000000-0009-0000-0000-000002000000}">
    <filterColumn colId="1">
      <filters blank="1">
        <filter val="ADMINISTRACION"/>
      </filters>
    </filterColumn>
    <filterColumn colId="2">
      <filters>
        <filter val="CODIGO ASIGNADO"/>
      </filters>
    </filterColumn>
  </autoFilter>
  <conditionalFormatting sqref="B163:B180">
    <cfRule type="containsText" dxfId="6" priority="1" operator="containsText" text="Disponible">
      <formula>NOT(ISERROR(SEARCH(("Disponible"),(B163))))</formula>
    </cfRule>
  </conditionalFormatting>
  <conditionalFormatting sqref="C2:C305 B119:B162 B164:B242">
    <cfRule type="containsText" dxfId="5" priority="3" operator="containsText" text="Disponible">
      <formula>NOT(ISERROR(SEARCH(("Disponible"),(C2))))</formula>
    </cfRule>
  </conditionalFormatting>
  <conditionalFormatting sqref="C2:C305">
    <cfRule type="containsText" dxfId="4" priority="2" operator="containsText" text="DISPONIBLE">
      <formula>NOT(ISERROR(SEARCH(("DISPONIBLE"),(C2))))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977"/>
  <sheetViews>
    <sheetView workbookViewId="0"/>
  </sheetViews>
  <sheetFormatPr baseColWidth="10" defaultColWidth="12.5703125" defaultRowHeight="15.75" customHeight="1"/>
  <cols>
    <col min="1" max="1" width="12.7109375" customWidth="1"/>
    <col min="2" max="2" width="14.42578125" customWidth="1"/>
    <col min="3" max="3" width="11.5703125" customWidth="1"/>
    <col min="4" max="4" width="17.5703125" customWidth="1"/>
    <col min="5" max="5" width="45.140625" customWidth="1"/>
    <col min="10" max="10" width="26.7109375" customWidth="1"/>
    <col min="11" max="11" width="76.85546875" customWidth="1"/>
    <col min="12" max="12" width="20.85546875" customWidth="1"/>
  </cols>
  <sheetData>
    <row r="1" spans="1:27">
      <c r="A1" s="9" t="s">
        <v>9</v>
      </c>
      <c r="B1" s="12" t="s">
        <v>13</v>
      </c>
      <c r="C1" s="12" t="s">
        <v>7</v>
      </c>
      <c r="D1" s="14" t="s">
        <v>20</v>
      </c>
      <c r="E1" s="12" t="s">
        <v>10</v>
      </c>
      <c r="F1" s="12" t="s">
        <v>1</v>
      </c>
      <c r="G1" s="12" t="s">
        <v>4</v>
      </c>
      <c r="H1" s="12" t="s">
        <v>16</v>
      </c>
      <c r="I1" s="12" t="s">
        <v>17</v>
      </c>
      <c r="J1" s="12" t="s">
        <v>3</v>
      </c>
      <c r="K1" s="12" t="s">
        <v>18</v>
      </c>
      <c r="L1" s="12" t="s">
        <v>19</v>
      </c>
      <c r="M1" s="2" t="s">
        <v>0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>
      <c r="A2" s="21" t="s">
        <v>21</v>
      </c>
      <c r="B2" s="21" t="s">
        <v>23</v>
      </c>
      <c r="C2" s="21" t="s">
        <v>24</v>
      </c>
      <c r="D2" s="23">
        <v>45037</v>
      </c>
      <c r="E2" s="21" t="s">
        <v>25</v>
      </c>
      <c r="F2" s="21" t="s">
        <v>26</v>
      </c>
      <c r="G2" s="21" t="s">
        <v>27</v>
      </c>
      <c r="H2" s="21" t="s">
        <v>28</v>
      </c>
      <c r="I2" s="21" t="s">
        <v>30</v>
      </c>
      <c r="J2" s="24" t="s">
        <v>31</v>
      </c>
      <c r="K2" s="21"/>
      <c r="L2" s="21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>
      <c r="A3" s="21" t="s">
        <v>32</v>
      </c>
      <c r="B3" s="21" t="s">
        <v>33</v>
      </c>
      <c r="C3" s="21" t="s">
        <v>34</v>
      </c>
      <c r="D3" s="23">
        <v>45037</v>
      </c>
      <c r="E3" s="21" t="s">
        <v>35</v>
      </c>
      <c r="F3" s="21" t="s">
        <v>36</v>
      </c>
      <c r="G3" s="21" t="s">
        <v>38</v>
      </c>
      <c r="H3" s="21" t="s">
        <v>28</v>
      </c>
      <c r="I3" s="21" t="s">
        <v>28</v>
      </c>
      <c r="J3" s="25" t="s">
        <v>15</v>
      </c>
      <c r="K3" s="21" t="s">
        <v>39</v>
      </c>
      <c r="L3" s="21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>
      <c r="A4" s="21" t="s">
        <v>40</v>
      </c>
      <c r="B4" s="21" t="s">
        <v>41</v>
      </c>
      <c r="C4" s="26" t="s">
        <v>42</v>
      </c>
      <c r="D4" s="23">
        <v>45037</v>
      </c>
      <c r="E4" s="21" t="s">
        <v>43</v>
      </c>
      <c r="F4" s="26" t="s">
        <v>44</v>
      </c>
      <c r="G4" s="21" t="s">
        <v>46</v>
      </c>
      <c r="H4" s="21" t="s">
        <v>30</v>
      </c>
      <c r="I4" s="21" t="s">
        <v>48</v>
      </c>
      <c r="J4" s="21" t="s">
        <v>15</v>
      </c>
      <c r="K4" s="21" t="s">
        <v>49</v>
      </c>
      <c r="L4" s="21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>
      <c r="A5" s="21" t="s">
        <v>50</v>
      </c>
      <c r="B5" s="21" t="s">
        <v>51</v>
      </c>
      <c r="C5" s="26" t="s">
        <v>52</v>
      </c>
      <c r="D5" s="23">
        <v>45050</v>
      </c>
      <c r="E5" s="21" t="s">
        <v>53</v>
      </c>
      <c r="F5" s="26" t="s">
        <v>54</v>
      </c>
      <c r="G5" s="21" t="s">
        <v>38</v>
      </c>
      <c r="H5" s="21" t="s">
        <v>28</v>
      </c>
      <c r="I5" s="21" t="s">
        <v>28</v>
      </c>
      <c r="J5" s="21" t="s">
        <v>15</v>
      </c>
      <c r="K5" s="21"/>
      <c r="L5" s="21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>
      <c r="A6" s="21" t="s">
        <v>56</v>
      </c>
      <c r="B6" s="21" t="s">
        <v>57</v>
      </c>
      <c r="C6" s="26" t="s">
        <v>58</v>
      </c>
      <c r="D6" s="23">
        <v>45051</v>
      </c>
      <c r="E6" s="21" t="s">
        <v>59</v>
      </c>
      <c r="F6" s="26" t="s">
        <v>60</v>
      </c>
      <c r="G6" s="21" t="s">
        <v>46</v>
      </c>
      <c r="H6" s="21" t="s">
        <v>30</v>
      </c>
      <c r="I6" s="21" t="s">
        <v>30</v>
      </c>
      <c r="J6" s="21" t="s">
        <v>15</v>
      </c>
      <c r="K6" s="21"/>
      <c r="L6" s="21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>
      <c r="A7" s="21" t="s">
        <v>61</v>
      </c>
      <c r="B7" s="21" t="s">
        <v>62</v>
      </c>
      <c r="C7" s="26" t="s">
        <v>63</v>
      </c>
      <c r="D7" s="23">
        <v>45054</v>
      </c>
      <c r="E7" s="21" t="s">
        <v>64</v>
      </c>
      <c r="F7" s="26" t="s">
        <v>66</v>
      </c>
      <c r="G7" s="21" t="s">
        <v>67</v>
      </c>
      <c r="H7" s="21" t="s">
        <v>28</v>
      </c>
      <c r="I7" s="21" t="s">
        <v>28</v>
      </c>
      <c r="J7" s="21" t="s">
        <v>15</v>
      </c>
      <c r="K7" s="21" t="s">
        <v>68</v>
      </c>
      <c r="L7" s="21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>
      <c r="A8" s="21" t="s">
        <v>69</v>
      </c>
      <c r="B8" s="21" t="s">
        <v>70</v>
      </c>
      <c r="C8" s="26" t="s">
        <v>71</v>
      </c>
      <c r="D8" s="23">
        <v>45054</v>
      </c>
      <c r="E8" s="21" t="s">
        <v>72</v>
      </c>
      <c r="F8" s="26" t="s">
        <v>73</v>
      </c>
      <c r="G8" s="21" t="s">
        <v>67</v>
      </c>
      <c r="H8" s="21" t="s">
        <v>30</v>
      </c>
      <c r="I8" s="21" t="s">
        <v>30</v>
      </c>
      <c r="J8" s="21" t="s">
        <v>15</v>
      </c>
      <c r="K8" s="21" t="s">
        <v>68</v>
      </c>
      <c r="L8" s="21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>
      <c r="A9" s="21" t="s">
        <v>75</v>
      </c>
      <c r="B9" s="21" t="s">
        <v>76</v>
      </c>
      <c r="C9" s="26" t="s">
        <v>77</v>
      </c>
      <c r="D9" s="23">
        <v>45056</v>
      </c>
      <c r="E9" s="21" t="s">
        <v>78</v>
      </c>
      <c r="F9" s="26" t="s">
        <v>79</v>
      </c>
      <c r="G9" s="21" t="s">
        <v>27</v>
      </c>
      <c r="H9" s="21" t="s">
        <v>28</v>
      </c>
      <c r="I9" s="21" t="s">
        <v>28</v>
      </c>
      <c r="J9" s="21" t="s">
        <v>31</v>
      </c>
      <c r="K9" s="21"/>
      <c r="L9" s="21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>
      <c r="A10" s="21" t="s">
        <v>80</v>
      </c>
      <c r="B10" s="21" t="s">
        <v>81</v>
      </c>
      <c r="C10" s="26" t="s">
        <v>82</v>
      </c>
      <c r="D10" s="23">
        <v>45057</v>
      </c>
      <c r="E10" s="21" t="s">
        <v>83</v>
      </c>
      <c r="F10" s="26" t="s">
        <v>84</v>
      </c>
      <c r="G10" s="21" t="s">
        <v>38</v>
      </c>
      <c r="H10" s="21" t="s">
        <v>28</v>
      </c>
      <c r="I10" s="21" t="s">
        <v>30</v>
      </c>
      <c r="J10" s="21" t="s">
        <v>15</v>
      </c>
      <c r="K10" s="21"/>
      <c r="L10" s="21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>
      <c r="A11" s="21" t="s">
        <v>86</v>
      </c>
      <c r="B11" s="21" t="s">
        <v>87</v>
      </c>
      <c r="C11" s="26" t="s">
        <v>88</v>
      </c>
      <c r="D11" s="23">
        <v>45069</v>
      </c>
      <c r="E11" s="21" t="s">
        <v>89</v>
      </c>
      <c r="F11" s="26" t="s">
        <v>60</v>
      </c>
      <c r="G11" s="21" t="s">
        <v>46</v>
      </c>
      <c r="H11" s="21" t="s">
        <v>30</v>
      </c>
      <c r="I11" s="21" t="s">
        <v>30</v>
      </c>
      <c r="J11" s="21" t="s">
        <v>15</v>
      </c>
      <c r="K11" s="21"/>
      <c r="L11" s="21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>
      <c r="A12" s="21" t="s">
        <v>91</v>
      </c>
      <c r="B12" s="21" t="s">
        <v>92</v>
      </c>
      <c r="C12" s="26" t="s">
        <v>93</v>
      </c>
      <c r="D12" s="23">
        <v>45082</v>
      </c>
      <c r="E12" s="21" t="s">
        <v>94</v>
      </c>
      <c r="F12" s="26" t="s">
        <v>95</v>
      </c>
      <c r="G12" s="21" t="s">
        <v>67</v>
      </c>
      <c r="H12" s="21" t="s">
        <v>28</v>
      </c>
      <c r="I12" s="21" t="s">
        <v>97</v>
      </c>
      <c r="J12" s="21" t="s">
        <v>15</v>
      </c>
      <c r="K12" s="21" t="s">
        <v>98</v>
      </c>
      <c r="L12" s="21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>
      <c r="A13" s="21" t="s">
        <v>99</v>
      </c>
      <c r="B13" s="21" t="s">
        <v>100</v>
      </c>
      <c r="C13" s="26" t="s">
        <v>101</v>
      </c>
      <c r="D13" s="23">
        <v>45083</v>
      </c>
      <c r="E13" s="21" t="s">
        <v>102</v>
      </c>
      <c r="F13" s="26" t="s">
        <v>36</v>
      </c>
      <c r="G13" s="21" t="s">
        <v>67</v>
      </c>
      <c r="H13" s="21" t="s">
        <v>28</v>
      </c>
      <c r="I13" s="21" t="s">
        <v>28</v>
      </c>
      <c r="J13" s="21" t="s">
        <v>15</v>
      </c>
      <c r="K13" s="21" t="s">
        <v>103</v>
      </c>
      <c r="L13" s="21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>
      <c r="A14" s="21" t="s">
        <v>105</v>
      </c>
      <c r="B14" s="21" t="s">
        <v>106</v>
      </c>
      <c r="C14" s="26" t="s">
        <v>107</v>
      </c>
      <c r="D14" s="23">
        <v>45090</v>
      </c>
      <c r="E14" s="21" t="s">
        <v>108</v>
      </c>
      <c r="F14" s="26" t="s">
        <v>109</v>
      </c>
      <c r="G14" s="21" t="s">
        <v>38</v>
      </c>
      <c r="H14" s="21" t="s">
        <v>28</v>
      </c>
      <c r="I14" s="21" t="s">
        <v>28</v>
      </c>
      <c r="J14" s="21" t="s">
        <v>15</v>
      </c>
      <c r="K14" s="21"/>
      <c r="L14" s="21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>
      <c r="A15" s="21" t="s">
        <v>110</v>
      </c>
      <c r="B15" s="21" t="s">
        <v>111</v>
      </c>
      <c r="C15" s="26" t="s">
        <v>112</v>
      </c>
      <c r="D15" s="23">
        <v>45093</v>
      </c>
      <c r="E15" s="21" t="s">
        <v>113</v>
      </c>
      <c r="F15" s="26" t="s">
        <v>114</v>
      </c>
      <c r="G15" s="21" t="s">
        <v>46</v>
      </c>
      <c r="H15" s="21" t="s">
        <v>28</v>
      </c>
      <c r="I15" s="21" t="s">
        <v>28</v>
      </c>
      <c r="J15" s="21" t="s">
        <v>15</v>
      </c>
      <c r="K15" s="21"/>
      <c r="L15" s="21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>
      <c r="A16" s="21" t="s">
        <v>115</v>
      </c>
      <c r="B16" s="21" t="s">
        <v>117</v>
      </c>
      <c r="C16" s="26" t="s">
        <v>118</v>
      </c>
      <c r="D16" s="23">
        <v>45098</v>
      </c>
      <c r="E16" s="21" t="s">
        <v>119</v>
      </c>
      <c r="F16" s="26" t="s">
        <v>120</v>
      </c>
      <c r="G16" s="21" t="s">
        <v>67</v>
      </c>
      <c r="H16" s="21" t="s">
        <v>48</v>
      </c>
      <c r="I16" s="21" t="s">
        <v>48</v>
      </c>
      <c r="J16" s="21" t="s">
        <v>15</v>
      </c>
      <c r="K16" s="21" t="s">
        <v>98</v>
      </c>
      <c r="L16" s="21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>
      <c r="A17" s="21" t="s">
        <v>121</v>
      </c>
      <c r="B17" s="21" t="s">
        <v>122</v>
      </c>
      <c r="C17" s="26" t="s">
        <v>123</v>
      </c>
      <c r="D17" s="23">
        <v>45103</v>
      </c>
      <c r="E17" s="21" t="s">
        <v>124</v>
      </c>
      <c r="F17" s="26" t="s">
        <v>84</v>
      </c>
      <c r="G17" s="21" t="s">
        <v>67</v>
      </c>
      <c r="H17" s="21" t="s">
        <v>30</v>
      </c>
      <c r="I17" s="21" t="s">
        <v>30</v>
      </c>
      <c r="J17" s="21" t="s">
        <v>15</v>
      </c>
      <c r="K17" s="21" t="s">
        <v>98</v>
      </c>
      <c r="L17" s="21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>
      <c r="A18" s="21" t="s">
        <v>126</v>
      </c>
      <c r="B18" s="21" t="s">
        <v>127</v>
      </c>
      <c r="C18" s="26" t="s">
        <v>128</v>
      </c>
      <c r="D18" s="23">
        <v>45104</v>
      </c>
      <c r="E18" s="21" t="s">
        <v>130</v>
      </c>
      <c r="F18" s="26" t="s">
        <v>120</v>
      </c>
      <c r="G18" s="21" t="s">
        <v>67</v>
      </c>
      <c r="H18" s="21" t="s">
        <v>30</v>
      </c>
      <c r="I18" s="21" t="s">
        <v>30</v>
      </c>
      <c r="J18" s="21" t="s">
        <v>15</v>
      </c>
      <c r="K18" s="21" t="s">
        <v>131</v>
      </c>
      <c r="L18" s="21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>
      <c r="A19" s="21" t="s">
        <v>132</v>
      </c>
      <c r="B19" s="21" t="s">
        <v>133</v>
      </c>
      <c r="C19" s="26" t="s">
        <v>134</v>
      </c>
      <c r="D19" s="23">
        <v>45107</v>
      </c>
      <c r="E19" s="21" t="s">
        <v>135</v>
      </c>
      <c r="F19" s="26" t="s">
        <v>136</v>
      </c>
      <c r="G19" s="21" t="s">
        <v>137</v>
      </c>
      <c r="H19" s="21" t="s">
        <v>30</v>
      </c>
      <c r="I19" s="21" t="s">
        <v>30</v>
      </c>
      <c r="J19" s="21" t="s">
        <v>12</v>
      </c>
      <c r="K19" s="21"/>
      <c r="L19" s="21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>
      <c r="A20" s="21" t="s">
        <v>139</v>
      </c>
      <c r="B20" s="21" t="s">
        <v>140</v>
      </c>
      <c r="C20" s="26" t="s">
        <v>141</v>
      </c>
      <c r="D20" s="23">
        <v>45108</v>
      </c>
      <c r="E20" s="21" t="s">
        <v>142</v>
      </c>
      <c r="F20" s="26" t="s">
        <v>143</v>
      </c>
      <c r="G20" s="21" t="s">
        <v>90</v>
      </c>
      <c r="H20" s="21" t="s">
        <v>28</v>
      </c>
      <c r="I20" s="21" t="s">
        <v>28</v>
      </c>
      <c r="J20" s="21" t="s">
        <v>12</v>
      </c>
      <c r="K20" s="21"/>
      <c r="L20" s="21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>
      <c r="A21" s="21" t="s">
        <v>144</v>
      </c>
      <c r="B21" s="21" t="s">
        <v>145</v>
      </c>
      <c r="C21" s="26" t="s">
        <v>146</v>
      </c>
      <c r="D21" s="23">
        <v>45111</v>
      </c>
      <c r="E21" s="21" t="s">
        <v>147</v>
      </c>
      <c r="F21" s="26" t="s">
        <v>148</v>
      </c>
      <c r="G21" s="21" t="s">
        <v>149</v>
      </c>
      <c r="H21" s="21" t="s">
        <v>28</v>
      </c>
      <c r="I21" s="21" t="s">
        <v>28</v>
      </c>
      <c r="J21" s="21" t="s">
        <v>15</v>
      </c>
      <c r="K21" s="21"/>
      <c r="L21" s="21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>
      <c r="A22" s="21" t="s">
        <v>151</v>
      </c>
      <c r="B22" s="21" t="s">
        <v>152</v>
      </c>
      <c r="C22" s="26" t="s">
        <v>101</v>
      </c>
      <c r="D22" s="23">
        <v>45112</v>
      </c>
      <c r="E22" s="21" t="s">
        <v>153</v>
      </c>
      <c r="F22" s="26" t="s">
        <v>114</v>
      </c>
      <c r="G22" s="21" t="s">
        <v>46</v>
      </c>
      <c r="H22" s="21" t="s">
        <v>28</v>
      </c>
      <c r="I22" s="21" t="s">
        <v>28</v>
      </c>
      <c r="J22" s="21" t="s">
        <v>15</v>
      </c>
      <c r="K22" s="21"/>
      <c r="L22" s="21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>
      <c r="A23" s="21" t="s">
        <v>154</v>
      </c>
      <c r="B23" s="21" t="s">
        <v>155</v>
      </c>
      <c r="C23" s="26" t="s">
        <v>156</v>
      </c>
      <c r="D23" s="23">
        <v>45115</v>
      </c>
      <c r="E23" s="21" t="s">
        <v>157</v>
      </c>
      <c r="F23" s="26" t="s">
        <v>158</v>
      </c>
      <c r="G23" s="21" t="s">
        <v>67</v>
      </c>
      <c r="H23" s="21" t="s">
        <v>28</v>
      </c>
      <c r="I23" s="21" t="s">
        <v>28</v>
      </c>
      <c r="J23" s="21" t="s">
        <v>15</v>
      </c>
      <c r="K23" s="21" t="s">
        <v>98</v>
      </c>
      <c r="L23" s="21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>
      <c r="A24" s="21" t="s">
        <v>160</v>
      </c>
      <c r="B24" s="21" t="s">
        <v>161</v>
      </c>
      <c r="C24" s="26" t="s">
        <v>162</v>
      </c>
      <c r="D24" s="23">
        <v>45118</v>
      </c>
      <c r="E24" s="21" t="s">
        <v>163</v>
      </c>
      <c r="F24" s="26" t="s">
        <v>164</v>
      </c>
      <c r="G24" s="21" t="s">
        <v>38</v>
      </c>
      <c r="H24" s="21" t="s">
        <v>28</v>
      </c>
      <c r="I24" s="21" t="s">
        <v>28</v>
      </c>
      <c r="J24" s="21" t="s">
        <v>15</v>
      </c>
      <c r="K24" s="21"/>
      <c r="L24" s="21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>
      <c r="A25" s="21" t="s">
        <v>165</v>
      </c>
      <c r="B25" s="21" t="s">
        <v>166</v>
      </c>
      <c r="C25" s="26" t="s">
        <v>167</v>
      </c>
      <c r="D25" s="23">
        <v>45124</v>
      </c>
      <c r="E25" s="21" t="s">
        <v>168</v>
      </c>
      <c r="F25" s="26" t="s">
        <v>169</v>
      </c>
      <c r="G25" s="21" t="s">
        <v>67</v>
      </c>
      <c r="H25" s="21" t="s">
        <v>28</v>
      </c>
      <c r="I25" s="21" t="s">
        <v>28</v>
      </c>
      <c r="J25" s="21" t="s">
        <v>15</v>
      </c>
      <c r="K25" s="21" t="s">
        <v>170</v>
      </c>
      <c r="L25" s="21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>
      <c r="A26" s="21" t="s">
        <v>171</v>
      </c>
      <c r="B26" s="21" t="s">
        <v>172</v>
      </c>
      <c r="C26" s="26" t="s">
        <v>173</v>
      </c>
      <c r="D26" s="23">
        <v>45126</v>
      </c>
      <c r="E26" s="21" t="s">
        <v>175</v>
      </c>
      <c r="F26" s="26" t="s">
        <v>66</v>
      </c>
      <c r="G26" s="21" t="s">
        <v>90</v>
      </c>
      <c r="H26" s="21" t="s">
        <v>97</v>
      </c>
      <c r="I26" s="21" t="s">
        <v>97</v>
      </c>
      <c r="J26" s="21" t="s">
        <v>31</v>
      </c>
      <c r="K26" s="21"/>
      <c r="L26" s="21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>
      <c r="A27" s="21" t="s">
        <v>176</v>
      </c>
      <c r="B27" s="21" t="s">
        <v>177</v>
      </c>
      <c r="C27" s="26" t="s">
        <v>178</v>
      </c>
      <c r="D27" s="23">
        <v>45126</v>
      </c>
      <c r="E27" s="21" t="s">
        <v>179</v>
      </c>
      <c r="F27" s="26" t="s">
        <v>180</v>
      </c>
      <c r="G27" s="21" t="s">
        <v>90</v>
      </c>
      <c r="H27" s="21" t="s">
        <v>28</v>
      </c>
      <c r="I27" s="21" t="s">
        <v>97</v>
      </c>
      <c r="J27" s="21" t="s">
        <v>31</v>
      </c>
      <c r="K27" s="21"/>
      <c r="L27" s="21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>
      <c r="A28" s="21" t="s">
        <v>181</v>
      </c>
      <c r="B28" s="21" t="s">
        <v>182</v>
      </c>
      <c r="C28" s="26" t="s">
        <v>183</v>
      </c>
      <c r="D28" s="23">
        <v>45128</v>
      </c>
      <c r="E28" s="21" t="s">
        <v>184</v>
      </c>
      <c r="F28" s="26" t="s">
        <v>186</v>
      </c>
      <c r="G28" s="21" t="s">
        <v>38</v>
      </c>
      <c r="H28" s="21" t="s">
        <v>97</v>
      </c>
      <c r="I28" s="21" t="s">
        <v>28</v>
      </c>
      <c r="J28" s="21" t="s">
        <v>15</v>
      </c>
      <c r="K28" s="21"/>
      <c r="L28" s="21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>
      <c r="A29" s="21" t="s">
        <v>187</v>
      </c>
      <c r="B29" s="21" t="s">
        <v>188</v>
      </c>
      <c r="C29" s="26" t="s">
        <v>189</v>
      </c>
      <c r="D29" s="23">
        <v>45133</v>
      </c>
      <c r="E29" s="21" t="s">
        <v>190</v>
      </c>
      <c r="F29" s="26" t="s">
        <v>191</v>
      </c>
      <c r="G29" s="21" t="s">
        <v>67</v>
      </c>
      <c r="H29" s="21" t="s">
        <v>30</v>
      </c>
      <c r="I29" s="21" t="s">
        <v>30</v>
      </c>
      <c r="J29" s="21" t="s">
        <v>15</v>
      </c>
      <c r="K29" s="21" t="s">
        <v>98</v>
      </c>
      <c r="L29" s="21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>
      <c r="A30" s="21" t="s">
        <v>194</v>
      </c>
      <c r="B30" s="21" t="s">
        <v>195</v>
      </c>
      <c r="C30" s="26" t="s">
        <v>196</v>
      </c>
      <c r="D30" s="23">
        <v>45140</v>
      </c>
      <c r="E30" s="21" t="s">
        <v>197</v>
      </c>
      <c r="F30" s="26" t="s">
        <v>109</v>
      </c>
      <c r="G30" s="21" t="s">
        <v>38</v>
      </c>
      <c r="H30" s="21" t="s">
        <v>28</v>
      </c>
      <c r="I30" s="21" t="s">
        <v>28</v>
      </c>
      <c r="J30" s="21" t="s">
        <v>15</v>
      </c>
      <c r="K30" s="21"/>
      <c r="L30" s="21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>
      <c r="A31" s="21" t="s">
        <v>198</v>
      </c>
      <c r="B31" s="21" t="s">
        <v>199</v>
      </c>
      <c r="C31" s="26" t="s">
        <v>200</v>
      </c>
      <c r="D31" s="23">
        <v>45141</v>
      </c>
      <c r="E31" s="21" t="s">
        <v>201</v>
      </c>
      <c r="F31" s="26" t="s">
        <v>202</v>
      </c>
      <c r="G31" s="21" t="s">
        <v>46</v>
      </c>
      <c r="H31" s="21" t="s">
        <v>28</v>
      </c>
      <c r="I31" s="21" t="s">
        <v>28</v>
      </c>
      <c r="J31" s="21" t="s">
        <v>15</v>
      </c>
      <c r="K31" s="21"/>
      <c r="L31" s="21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>
      <c r="A32" s="21" t="s">
        <v>204</v>
      </c>
      <c r="B32" s="21" t="s">
        <v>205</v>
      </c>
      <c r="C32" s="26" t="s">
        <v>118</v>
      </c>
      <c r="D32" s="23">
        <v>45146</v>
      </c>
      <c r="E32" s="21" t="s">
        <v>206</v>
      </c>
      <c r="F32" s="26" t="s">
        <v>114</v>
      </c>
      <c r="G32" s="21" t="s">
        <v>46</v>
      </c>
      <c r="H32" s="21" t="s">
        <v>48</v>
      </c>
      <c r="I32" s="21" t="s">
        <v>48</v>
      </c>
      <c r="J32" s="21" t="s">
        <v>15</v>
      </c>
      <c r="K32" s="21"/>
      <c r="L32" s="21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>
      <c r="A33" s="21" t="s">
        <v>207</v>
      </c>
      <c r="B33" s="21" t="s">
        <v>208</v>
      </c>
      <c r="C33" s="21" t="s">
        <v>209</v>
      </c>
      <c r="D33" s="23">
        <v>45150</v>
      </c>
      <c r="E33" s="21" t="s">
        <v>210</v>
      </c>
      <c r="F33" s="26" t="s">
        <v>211</v>
      </c>
      <c r="G33" s="21" t="s">
        <v>67</v>
      </c>
      <c r="H33" s="21" t="s">
        <v>97</v>
      </c>
      <c r="I33" s="21" t="s">
        <v>97</v>
      </c>
      <c r="J33" s="21" t="s">
        <v>15</v>
      </c>
      <c r="K33" s="21" t="s">
        <v>103</v>
      </c>
      <c r="L33" s="21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>
      <c r="A34" s="21" t="s">
        <v>213</v>
      </c>
      <c r="B34" s="21" t="s">
        <v>214</v>
      </c>
      <c r="C34" s="26" t="s">
        <v>215</v>
      </c>
      <c r="D34" s="23">
        <v>45153</v>
      </c>
      <c r="E34" s="21" t="s">
        <v>216</v>
      </c>
      <c r="F34" s="26" t="s">
        <v>120</v>
      </c>
      <c r="G34" s="21" t="s">
        <v>67</v>
      </c>
      <c r="H34" s="21" t="s">
        <v>28</v>
      </c>
      <c r="I34" s="21" t="s">
        <v>28</v>
      </c>
      <c r="J34" s="21" t="s">
        <v>15</v>
      </c>
      <c r="K34" s="21" t="s">
        <v>217</v>
      </c>
      <c r="L34" s="21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>
      <c r="A35" s="26" t="s">
        <v>218</v>
      </c>
      <c r="B35" s="21" t="s">
        <v>219</v>
      </c>
      <c r="C35" s="26" t="s">
        <v>220</v>
      </c>
      <c r="D35" s="23">
        <v>45153</v>
      </c>
      <c r="E35" s="21" t="s">
        <v>221</v>
      </c>
      <c r="F35" s="26" t="s">
        <v>109</v>
      </c>
      <c r="G35" s="21" t="s">
        <v>67</v>
      </c>
      <c r="H35" s="21" t="s">
        <v>28</v>
      </c>
      <c r="I35" s="21" t="s">
        <v>28</v>
      </c>
      <c r="J35" s="21" t="s">
        <v>15</v>
      </c>
      <c r="K35" s="21" t="s">
        <v>98</v>
      </c>
      <c r="L35" s="21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>
      <c r="A36" s="21" t="s">
        <v>222</v>
      </c>
      <c r="B36" s="21" t="s">
        <v>224</v>
      </c>
      <c r="C36" s="26" t="s">
        <v>225</v>
      </c>
      <c r="D36" s="23">
        <v>45154</v>
      </c>
      <c r="E36" s="21" t="s">
        <v>226</v>
      </c>
      <c r="F36" s="26" t="s">
        <v>95</v>
      </c>
      <c r="G36" s="21" t="s">
        <v>46</v>
      </c>
      <c r="H36" s="21" t="s">
        <v>48</v>
      </c>
      <c r="I36" s="21" t="s">
        <v>48</v>
      </c>
      <c r="J36" s="21" t="s">
        <v>15</v>
      </c>
      <c r="K36" s="21"/>
      <c r="L36" s="21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>
      <c r="A37" s="21" t="s">
        <v>227</v>
      </c>
      <c r="B37" s="21" t="s">
        <v>228</v>
      </c>
      <c r="C37" s="26" t="s">
        <v>178</v>
      </c>
      <c r="D37" s="23">
        <v>45154</v>
      </c>
      <c r="E37" s="21" t="s">
        <v>229</v>
      </c>
      <c r="F37" s="26" t="s">
        <v>180</v>
      </c>
      <c r="G37" s="21" t="s">
        <v>90</v>
      </c>
      <c r="H37" s="21" t="s">
        <v>97</v>
      </c>
      <c r="I37" s="21" t="s">
        <v>97</v>
      </c>
      <c r="J37" s="21" t="s">
        <v>31</v>
      </c>
      <c r="K37" s="21"/>
      <c r="L37" s="21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>
      <c r="A38" s="21" t="s">
        <v>230</v>
      </c>
      <c r="B38" s="21" t="s">
        <v>231</v>
      </c>
      <c r="C38" s="26" t="s">
        <v>200</v>
      </c>
      <c r="D38" s="23">
        <v>45154</v>
      </c>
      <c r="E38" s="21" t="s">
        <v>233</v>
      </c>
      <c r="F38" s="26" t="s">
        <v>114</v>
      </c>
      <c r="G38" s="21" t="s">
        <v>46</v>
      </c>
      <c r="H38" s="21" t="s">
        <v>28</v>
      </c>
      <c r="I38" s="21" t="s">
        <v>28</v>
      </c>
      <c r="J38" s="21" t="s">
        <v>15</v>
      </c>
      <c r="K38" s="21"/>
      <c r="L38" s="21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>
      <c r="A39" s="21" t="s">
        <v>234</v>
      </c>
      <c r="B39" s="21" t="s">
        <v>236</v>
      </c>
      <c r="C39" s="26" t="s">
        <v>238</v>
      </c>
      <c r="D39" s="23">
        <v>45154</v>
      </c>
      <c r="E39" s="21" t="s">
        <v>239</v>
      </c>
      <c r="F39" s="26" t="s">
        <v>240</v>
      </c>
      <c r="G39" s="21" t="s">
        <v>67</v>
      </c>
      <c r="H39" s="21" t="s">
        <v>30</v>
      </c>
      <c r="I39" s="21" t="s">
        <v>30</v>
      </c>
      <c r="J39" s="21" t="s">
        <v>15</v>
      </c>
      <c r="K39" s="21" t="s">
        <v>241</v>
      </c>
      <c r="L39" s="21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>
      <c r="A40" s="21" t="s">
        <v>242</v>
      </c>
      <c r="B40" s="21" t="s">
        <v>244</v>
      </c>
      <c r="C40" s="26" t="s">
        <v>245</v>
      </c>
      <c r="D40" s="23">
        <v>45157</v>
      </c>
      <c r="E40" s="21" t="s">
        <v>247</v>
      </c>
      <c r="F40" s="26" t="s">
        <v>248</v>
      </c>
      <c r="G40" s="21" t="s">
        <v>38</v>
      </c>
      <c r="H40" s="21" t="s">
        <v>28</v>
      </c>
      <c r="I40" s="21" t="s">
        <v>28</v>
      </c>
      <c r="J40" s="21" t="s">
        <v>15</v>
      </c>
      <c r="K40" s="21"/>
      <c r="L40" s="21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>
      <c r="A41" s="21" t="s">
        <v>250</v>
      </c>
      <c r="B41" s="21" t="s">
        <v>251</v>
      </c>
      <c r="C41" s="26" t="s">
        <v>252</v>
      </c>
      <c r="D41" s="23">
        <v>45157</v>
      </c>
      <c r="E41" s="21" t="s">
        <v>253</v>
      </c>
      <c r="F41" s="26" t="s">
        <v>254</v>
      </c>
      <c r="G41" s="21" t="s">
        <v>38</v>
      </c>
      <c r="H41" s="21" t="s">
        <v>30</v>
      </c>
      <c r="I41" s="21" t="s">
        <v>30</v>
      </c>
      <c r="J41" s="21" t="s">
        <v>15</v>
      </c>
      <c r="K41" s="21"/>
      <c r="L41" s="21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>
      <c r="A42" s="21" t="s">
        <v>255</v>
      </c>
      <c r="B42" s="21" t="s">
        <v>256</v>
      </c>
      <c r="C42" s="26" t="s">
        <v>257</v>
      </c>
      <c r="D42" s="23">
        <v>45166</v>
      </c>
      <c r="E42" s="21" t="s">
        <v>259</v>
      </c>
      <c r="F42" s="26" t="s">
        <v>120</v>
      </c>
      <c r="G42" s="21" t="s">
        <v>149</v>
      </c>
      <c r="H42" s="21" t="s">
        <v>28</v>
      </c>
      <c r="I42" s="21" t="s">
        <v>28</v>
      </c>
      <c r="J42" s="21" t="s">
        <v>15</v>
      </c>
      <c r="K42" s="21"/>
      <c r="L42" s="21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>
      <c r="A43" s="21" t="s">
        <v>262</v>
      </c>
      <c r="B43" s="21" t="s">
        <v>263</v>
      </c>
      <c r="C43" s="26" t="s">
        <v>265</v>
      </c>
      <c r="D43" s="23">
        <v>45170</v>
      </c>
      <c r="E43" s="21" t="s">
        <v>267</v>
      </c>
      <c r="F43" s="26" t="s">
        <v>120</v>
      </c>
      <c r="G43" s="21" t="s">
        <v>46</v>
      </c>
      <c r="H43" s="21" t="s">
        <v>30</v>
      </c>
      <c r="I43" s="21" t="s">
        <v>30</v>
      </c>
      <c r="J43" s="21" t="s">
        <v>15</v>
      </c>
      <c r="K43" s="21"/>
      <c r="L43" s="21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>
      <c r="A44" s="21" t="s">
        <v>268</v>
      </c>
      <c r="B44" s="21" t="s">
        <v>269</v>
      </c>
      <c r="C44" s="26" t="s">
        <v>189</v>
      </c>
      <c r="D44" s="23">
        <v>45173</v>
      </c>
      <c r="E44" s="21" t="s">
        <v>271</v>
      </c>
      <c r="F44" s="26" t="s">
        <v>202</v>
      </c>
      <c r="G44" s="21" t="s">
        <v>46</v>
      </c>
      <c r="H44" s="21" t="s">
        <v>30</v>
      </c>
      <c r="I44" s="21" t="s">
        <v>30</v>
      </c>
      <c r="J44" s="21" t="s">
        <v>15</v>
      </c>
      <c r="K44" s="21"/>
      <c r="L44" s="21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>
      <c r="A45" s="21" t="s">
        <v>276</v>
      </c>
      <c r="B45" s="21" t="s">
        <v>277</v>
      </c>
      <c r="C45" s="26" t="s">
        <v>278</v>
      </c>
      <c r="D45" s="23">
        <v>45173</v>
      </c>
      <c r="E45" s="21" t="s">
        <v>279</v>
      </c>
      <c r="F45" s="26" t="s">
        <v>73</v>
      </c>
      <c r="G45" s="21" t="s">
        <v>38</v>
      </c>
      <c r="H45" s="21" t="s">
        <v>28</v>
      </c>
      <c r="I45" s="21" t="s">
        <v>30</v>
      </c>
      <c r="J45" s="21" t="s">
        <v>15</v>
      </c>
      <c r="K45" s="21"/>
      <c r="L45" s="21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>
      <c r="A46" s="21" t="s">
        <v>282</v>
      </c>
      <c r="B46" s="21" t="s">
        <v>283</v>
      </c>
      <c r="C46" s="26" t="s">
        <v>284</v>
      </c>
      <c r="D46" s="23">
        <v>45173</v>
      </c>
      <c r="E46" s="21" t="s">
        <v>285</v>
      </c>
      <c r="F46" s="26" t="s">
        <v>120</v>
      </c>
      <c r="G46" s="21" t="s">
        <v>67</v>
      </c>
      <c r="H46" s="21" t="s">
        <v>28</v>
      </c>
      <c r="I46" s="21" t="s">
        <v>28</v>
      </c>
      <c r="J46" s="21" t="s">
        <v>15</v>
      </c>
      <c r="K46" s="21" t="s">
        <v>287</v>
      </c>
      <c r="L46" s="21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>
      <c r="A47" s="21" t="s">
        <v>291</v>
      </c>
      <c r="B47" s="21" t="s">
        <v>293</v>
      </c>
      <c r="C47" s="26" t="s">
        <v>295</v>
      </c>
      <c r="D47" s="23">
        <v>45176</v>
      </c>
      <c r="E47" s="21" t="s">
        <v>296</v>
      </c>
      <c r="F47" s="26" t="s">
        <v>297</v>
      </c>
      <c r="G47" s="21" t="s">
        <v>38</v>
      </c>
      <c r="H47" s="21" t="s">
        <v>30</v>
      </c>
      <c r="I47" s="21" t="s">
        <v>30</v>
      </c>
      <c r="J47" s="21" t="s">
        <v>15</v>
      </c>
      <c r="K47" s="21"/>
      <c r="L47" s="21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>
      <c r="A48" s="21" t="s">
        <v>298</v>
      </c>
      <c r="B48" s="21" t="s">
        <v>299</v>
      </c>
      <c r="C48" s="26" t="s">
        <v>300</v>
      </c>
      <c r="D48" s="23">
        <v>45176</v>
      </c>
      <c r="E48" s="21" t="s">
        <v>301</v>
      </c>
      <c r="F48" s="26" t="s">
        <v>302</v>
      </c>
      <c r="G48" s="21" t="s">
        <v>38</v>
      </c>
      <c r="H48" s="21" t="s">
        <v>28</v>
      </c>
      <c r="I48" s="21" t="s">
        <v>28</v>
      </c>
      <c r="J48" s="21" t="s">
        <v>15</v>
      </c>
      <c r="K48" s="21"/>
      <c r="L48" s="21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>
      <c r="A49" s="21" t="s">
        <v>307</v>
      </c>
      <c r="B49" s="21" t="s">
        <v>308</v>
      </c>
      <c r="C49" s="26" t="s">
        <v>309</v>
      </c>
      <c r="D49" s="23">
        <v>45176</v>
      </c>
      <c r="E49" s="21" t="s">
        <v>310</v>
      </c>
      <c r="F49" s="26" t="s">
        <v>109</v>
      </c>
      <c r="G49" s="21" t="s">
        <v>27</v>
      </c>
      <c r="H49" s="21" t="s">
        <v>28</v>
      </c>
      <c r="I49" s="21" t="s">
        <v>28</v>
      </c>
      <c r="J49" s="21" t="s">
        <v>12</v>
      </c>
      <c r="K49" s="21"/>
      <c r="L49" s="21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>
      <c r="A50" s="21" t="s">
        <v>311</v>
      </c>
      <c r="B50" s="21" t="s">
        <v>312</v>
      </c>
      <c r="C50" s="26" t="s">
        <v>313</v>
      </c>
      <c r="D50" s="23">
        <v>45180</v>
      </c>
      <c r="E50" s="21" t="s">
        <v>314</v>
      </c>
      <c r="F50" s="26" t="s">
        <v>315</v>
      </c>
      <c r="G50" s="21" t="s">
        <v>67</v>
      </c>
      <c r="H50" s="21" t="s">
        <v>30</v>
      </c>
      <c r="I50" s="21" t="s">
        <v>30</v>
      </c>
      <c r="J50" s="21" t="s">
        <v>15</v>
      </c>
      <c r="K50" s="21" t="s">
        <v>316</v>
      </c>
      <c r="L50" s="21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>
      <c r="A51" s="21" t="s">
        <v>320</v>
      </c>
      <c r="B51" s="21" t="s">
        <v>321</v>
      </c>
      <c r="C51" s="26" t="s">
        <v>77</v>
      </c>
      <c r="D51" s="23">
        <v>45181</v>
      </c>
      <c r="E51" s="21" t="s">
        <v>323</v>
      </c>
      <c r="F51" s="26" t="s">
        <v>325</v>
      </c>
      <c r="G51" s="21" t="s">
        <v>27</v>
      </c>
      <c r="H51" s="21" t="s">
        <v>28</v>
      </c>
      <c r="I51" s="21" t="s">
        <v>28</v>
      </c>
      <c r="J51" s="21" t="s">
        <v>31</v>
      </c>
      <c r="K51" s="21"/>
      <c r="L51" s="21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>
      <c r="A52" s="21" t="s">
        <v>327</v>
      </c>
      <c r="B52" s="21" t="s">
        <v>328</v>
      </c>
      <c r="C52" s="26" t="s">
        <v>278</v>
      </c>
      <c r="D52" s="23">
        <v>45181</v>
      </c>
      <c r="E52" s="21" t="s">
        <v>330</v>
      </c>
      <c r="F52" s="26" t="s">
        <v>114</v>
      </c>
      <c r="G52" s="21" t="s">
        <v>46</v>
      </c>
      <c r="H52" s="21" t="s">
        <v>30</v>
      </c>
      <c r="I52" s="21" t="s">
        <v>30</v>
      </c>
      <c r="J52" s="21" t="s">
        <v>15</v>
      </c>
      <c r="K52" s="21"/>
      <c r="L52" s="21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>
      <c r="A53" s="21" t="s">
        <v>335</v>
      </c>
      <c r="B53" s="21" t="s">
        <v>336</v>
      </c>
      <c r="C53" s="26" t="s">
        <v>200</v>
      </c>
      <c r="D53" s="23">
        <v>45183</v>
      </c>
      <c r="E53" s="21" t="s">
        <v>337</v>
      </c>
      <c r="F53" s="26" t="s">
        <v>338</v>
      </c>
      <c r="G53" s="21" t="s">
        <v>46</v>
      </c>
      <c r="H53" s="21" t="s">
        <v>28</v>
      </c>
      <c r="I53" s="21" t="s">
        <v>28</v>
      </c>
      <c r="J53" s="21" t="s">
        <v>15</v>
      </c>
      <c r="K53" s="21"/>
      <c r="L53" s="21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>
      <c r="A54" s="21" t="s">
        <v>342</v>
      </c>
      <c r="B54" s="21" t="s">
        <v>343</v>
      </c>
      <c r="C54" s="26" t="s">
        <v>265</v>
      </c>
      <c r="D54" s="23">
        <v>45183</v>
      </c>
      <c r="E54" s="21" t="s">
        <v>345</v>
      </c>
      <c r="F54" s="26" t="s">
        <v>136</v>
      </c>
      <c r="G54" s="21" t="s">
        <v>46</v>
      </c>
      <c r="H54" s="21" t="s">
        <v>30</v>
      </c>
      <c r="I54" s="21" t="s">
        <v>30</v>
      </c>
      <c r="J54" s="21" t="s">
        <v>15</v>
      </c>
      <c r="K54" s="21"/>
      <c r="L54" s="21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>
      <c r="A55" s="21" t="s">
        <v>347</v>
      </c>
      <c r="B55" s="21" t="s">
        <v>348</v>
      </c>
      <c r="C55" s="26" t="s">
        <v>24</v>
      </c>
      <c r="D55" s="23">
        <v>45184</v>
      </c>
      <c r="E55" s="21" t="s">
        <v>349</v>
      </c>
      <c r="F55" s="26" t="s">
        <v>350</v>
      </c>
      <c r="G55" s="21" t="s">
        <v>38</v>
      </c>
      <c r="H55" s="21" t="s">
        <v>30</v>
      </c>
      <c r="I55" s="21" t="s">
        <v>30</v>
      </c>
      <c r="J55" s="21" t="s">
        <v>15</v>
      </c>
      <c r="K55" s="21"/>
      <c r="L55" s="21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>
      <c r="A56" s="21" t="s">
        <v>351</v>
      </c>
      <c r="B56" s="21" t="s">
        <v>352</v>
      </c>
      <c r="C56" s="26" t="s">
        <v>354</v>
      </c>
      <c r="D56" s="23">
        <v>45185</v>
      </c>
      <c r="E56" s="21" t="s">
        <v>355</v>
      </c>
      <c r="F56" s="26" t="s">
        <v>357</v>
      </c>
      <c r="G56" s="21" t="s">
        <v>38</v>
      </c>
      <c r="H56" s="21" t="s">
        <v>28</v>
      </c>
      <c r="I56" s="21" t="s">
        <v>28</v>
      </c>
      <c r="J56" s="21" t="s">
        <v>15</v>
      </c>
      <c r="K56" s="21"/>
      <c r="L56" s="21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>
      <c r="A57" s="21" t="s">
        <v>360</v>
      </c>
      <c r="B57" s="21" t="s">
        <v>361</v>
      </c>
      <c r="C57" s="26" t="s">
        <v>362</v>
      </c>
      <c r="D57" s="23">
        <v>45185</v>
      </c>
      <c r="E57" s="21" t="s">
        <v>363</v>
      </c>
      <c r="F57" s="26" t="s">
        <v>95</v>
      </c>
      <c r="G57" s="21" t="s">
        <v>67</v>
      </c>
      <c r="H57" s="21" t="s">
        <v>28</v>
      </c>
      <c r="I57" s="21" t="s">
        <v>28</v>
      </c>
      <c r="J57" s="21" t="s">
        <v>15</v>
      </c>
      <c r="K57" s="21" t="s">
        <v>98</v>
      </c>
      <c r="L57" s="21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>
      <c r="A58" s="21" t="s">
        <v>364</v>
      </c>
      <c r="B58" s="21" t="s">
        <v>365</v>
      </c>
      <c r="C58" s="26" t="s">
        <v>118</v>
      </c>
      <c r="D58" s="23">
        <v>45191</v>
      </c>
      <c r="E58" s="21" t="s">
        <v>366</v>
      </c>
      <c r="F58" s="26" t="s">
        <v>202</v>
      </c>
      <c r="G58" s="21" t="s">
        <v>46</v>
      </c>
      <c r="H58" s="21" t="s">
        <v>30</v>
      </c>
      <c r="I58" s="21" t="s">
        <v>48</v>
      </c>
      <c r="J58" s="21" t="s">
        <v>15</v>
      </c>
      <c r="K58" s="21"/>
      <c r="L58" s="21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>
      <c r="A59" s="21" t="s">
        <v>369</v>
      </c>
      <c r="B59" s="21" t="s">
        <v>371</v>
      </c>
      <c r="C59" s="26" t="s">
        <v>372</v>
      </c>
      <c r="D59" s="23">
        <v>45197</v>
      </c>
      <c r="E59" s="21" t="s">
        <v>375</v>
      </c>
      <c r="F59" s="26" t="s">
        <v>377</v>
      </c>
      <c r="G59" s="21" t="s">
        <v>90</v>
      </c>
      <c r="H59" s="21" t="s">
        <v>30</v>
      </c>
      <c r="I59" s="21" t="s">
        <v>30</v>
      </c>
      <c r="J59" s="21" t="s">
        <v>12</v>
      </c>
      <c r="K59" s="21"/>
      <c r="L59" s="21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>
      <c r="A60" s="21" t="s">
        <v>378</v>
      </c>
      <c r="B60" s="21" t="s">
        <v>380</v>
      </c>
      <c r="C60" s="26" t="s">
        <v>382</v>
      </c>
      <c r="D60" s="23">
        <v>45197</v>
      </c>
      <c r="E60" s="21" t="s">
        <v>383</v>
      </c>
      <c r="F60" s="26" t="s">
        <v>385</v>
      </c>
      <c r="G60" s="21" t="s">
        <v>90</v>
      </c>
      <c r="H60" s="21" t="s">
        <v>30</v>
      </c>
      <c r="I60" s="21" t="s">
        <v>30</v>
      </c>
      <c r="J60" s="21" t="s">
        <v>12</v>
      </c>
      <c r="K60" s="21"/>
      <c r="L60" s="21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>
      <c r="A61" s="21" t="s">
        <v>386</v>
      </c>
      <c r="B61" s="21" t="s">
        <v>387</v>
      </c>
      <c r="C61" s="26" t="s">
        <v>388</v>
      </c>
      <c r="D61" s="23">
        <v>45201</v>
      </c>
      <c r="E61" s="21" t="s">
        <v>389</v>
      </c>
      <c r="F61" s="26" t="s">
        <v>84</v>
      </c>
      <c r="G61" s="21" t="s">
        <v>38</v>
      </c>
      <c r="H61" s="21" t="s">
        <v>28</v>
      </c>
      <c r="I61" s="21" t="s">
        <v>28</v>
      </c>
      <c r="J61" s="21" t="s">
        <v>15</v>
      </c>
      <c r="K61" s="21"/>
      <c r="L61" s="21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>
      <c r="A62" s="21" t="s">
        <v>390</v>
      </c>
      <c r="B62" s="21" t="s">
        <v>391</v>
      </c>
      <c r="C62" s="26" t="s">
        <v>392</v>
      </c>
      <c r="D62" s="23">
        <v>45203</v>
      </c>
      <c r="E62" s="21" t="s">
        <v>393</v>
      </c>
      <c r="F62" s="26" t="s">
        <v>120</v>
      </c>
      <c r="G62" s="21" t="s">
        <v>46</v>
      </c>
      <c r="H62" s="21" t="s">
        <v>30</v>
      </c>
      <c r="I62" s="21" t="s">
        <v>30</v>
      </c>
      <c r="J62" s="21" t="s">
        <v>15</v>
      </c>
      <c r="K62" s="21" t="s">
        <v>394</v>
      </c>
      <c r="L62" s="21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>
      <c r="A63" s="21" t="s">
        <v>396</v>
      </c>
      <c r="B63" s="21" t="s">
        <v>397</v>
      </c>
      <c r="C63" s="26" t="s">
        <v>398</v>
      </c>
      <c r="D63" s="23">
        <v>45203</v>
      </c>
      <c r="E63" s="21" t="s">
        <v>399</v>
      </c>
      <c r="F63" s="26" t="s">
        <v>400</v>
      </c>
      <c r="G63" s="21" t="s">
        <v>90</v>
      </c>
      <c r="H63" s="21" t="s">
        <v>28</v>
      </c>
      <c r="I63" s="21" t="s">
        <v>28</v>
      </c>
      <c r="J63" s="21" t="s">
        <v>12</v>
      </c>
      <c r="K63" s="21"/>
      <c r="L63" s="21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>
      <c r="A64" s="21" t="s">
        <v>402</v>
      </c>
      <c r="B64" s="21" t="s">
        <v>404</v>
      </c>
      <c r="C64" s="26" t="s">
        <v>405</v>
      </c>
      <c r="D64" s="23">
        <v>45205</v>
      </c>
      <c r="E64" s="21" t="s">
        <v>406</v>
      </c>
      <c r="F64" s="26" t="s">
        <v>408</v>
      </c>
      <c r="G64" s="21" t="s">
        <v>67</v>
      </c>
      <c r="H64" s="21" t="s">
        <v>28</v>
      </c>
      <c r="I64" s="21" t="s">
        <v>28</v>
      </c>
      <c r="J64" s="21" t="s">
        <v>15</v>
      </c>
      <c r="K64" s="21" t="s">
        <v>409</v>
      </c>
      <c r="L64" s="21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>
      <c r="A65" s="21" t="s">
        <v>412</v>
      </c>
      <c r="B65" s="21" t="s">
        <v>413</v>
      </c>
      <c r="C65" s="26" t="s">
        <v>414</v>
      </c>
      <c r="D65" s="23">
        <v>45205</v>
      </c>
      <c r="E65" s="21" t="s">
        <v>416</v>
      </c>
      <c r="F65" s="26" t="s">
        <v>417</v>
      </c>
      <c r="G65" s="21" t="s">
        <v>38</v>
      </c>
      <c r="H65" s="21" t="s">
        <v>28</v>
      </c>
      <c r="I65" s="21" t="s">
        <v>28</v>
      </c>
      <c r="J65" s="21" t="s">
        <v>15</v>
      </c>
      <c r="K65" s="21"/>
      <c r="L65" s="21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>
      <c r="A66" s="21" t="s">
        <v>419</v>
      </c>
      <c r="B66" s="21" t="s">
        <v>420</v>
      </c>
      <c r="C66" s="21" t="s">
        <v>421</v>
      </c>
      <c r="D66" s="23">
        <v>45216</v>
      </c>
      <c r="E66" s="21" t="s">
        <v>423</v>
      </c>
      <c r="F66" s="26" t="s">
        <v>44</v>
      </c>
      <c r="G66" s="21" t="s">
        <v>90</v>
      </c>
      <c r="H66" s="21" t="s">
        <v>30</v>
      </c>
      <c r="I66" s="21"/>
      <c r="J66" s="21" t="s">
        <v>31</v>
      </c>
      <c r="K66" s="21"/>
      <c r="L66" s="21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>
      <c r="A67" s="21" t="s">
        <v>424</v>
      </c>
      <c r="B67" s="21" t="s">
        <v>425</v>
      </c>
      <c r="C67" s="26" t="s">
        <v>426</v>
      </c>
      <c r="D67" s="23">
        <v>45220</v>
      </c>
      <c r="E67" s="21" t="s">
        <v>427</v>
      </c>
      <c r="F67" s="26" t="s">
        <v>54</v>
      </c>
      <c r="G67" s="21" t="s">
        <v>67</v>
      </c>
      <c r="H67" s="21" t="s">
        <v>28</v>
      </c>
      <c r="I67" s="21" t="s">
        <v>28</v>
      </c>
      <c r="J67" s="21" t="s">
        <v>15</v>
      </c>
      <c r="K67" s="21" t="s">
        <v>428</v>
      </c>
      <c r="L67" s="21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>
      <c r="A68" s="21" t="s">
        <v>429</v>
      </c>
      <c r="B68" s="21" t="s">
        <v>430</v>
      </c>
      <c r="C68" s="26" t="s">
        <v>431</v>
      </c>
      <c r="D68" s="23">
        <v>45222</v>
      </c>
      <c r="E68" s="21" t="s">
        <v>432</v>
      </c>
      <c r="F68" s="26" t="s">
        <v>417</v>
      </c>
      <c r="G68" s="21" t="s">
        <v>46</v>
      </c>
      <c r="H68" s="21" t="s">
        <v>28</v>
      </c>
      <c r="I68" s="21" t="s">
        <v>30</v>
      </c>
      <c r="J68" s="21" t="s">
        <v>15</v>
      </c>
      <c r="K68" s="21"/>
      <c r="L68" s="21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>
      <c r="A69" s="21" t="s">
        <v>437</v>
      </c>
      <c r="B69" s="21" t="s">
        <v>438</v>
      </c>
      <c r="C69" s="26" t="s">
        <v>405</v>
      </c>
      <c r="D69" s="23">
        <v>45225</v>
      </c>
      <c r="E69" s="21" t="s">
        <v>440</v>
      </c>
      <c r="F69" s="26" t="s">
        <v>84</v>
      </c>
      <c r="G69" s="21" t="s">
        <v>38</v>
      </c>
      <c r="H69" s="21" t="s">
        <v>28</v>
      </c>
      <c r="I69" s="21" t="s">
        <v>28</v>
      </c>
      <c r="J69" s="21" t="s">
        <v>15</v>
      </c>
      <c r="K69" s="21"/>
      <c r="L69" s="21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>
      <c r="A70" s="21" t="s">
        <v>442</v>
      </c>
      <c r="B70" s="21" t="s">
        <v>443</v>
      </c>
      <c r="C70" s="21" t="s">
        <v>444</v>
      </c>
      <c r="D70" s="23">
        <v>45225</v>
      </c>
      <c r="E70" s="21" t="s">
        <v>445</v>
      </c>
      <c r="F70" s="26" t="s">
        <v>73</v>
      </c>
      <c r="G70" s="21" t="s">
        <v>67</v>
      </c>
      <c r="H70" s="21" t="s">
        <v>28</v>
      </c>
      <c r="I70" s="21" t="s">
        <v>28</v>
      </c>
      <c r="J70" s="21" t="s">
        <v>15</v>
      </c>
      <c r="K70" s="21" t="s">
        <v>446</v>
      </c>
      <c r="L70" s="21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>
      <c r="A71" s="21" t="s">
        <v>449</v>
      </c>
      <c r="B71" s="21" t="s">
        <v>451</v>
      </c>
      <c r="C71" s="26" t="s">
        <v>313</v>
      </c>
      <c r="D71" s="23">
        <v>45232</v>
      </c>
      <c r="E71" s="21" t="s">
        <v>453</v>
      </c>
      <c r="F71" s="26" t="s">
        <v>417</v>
      </c>
      <c r="G71" s="21" t="s">
        <v>46</v>
      </c>
      <c r="H71" s="21" t="s">
        <v>30</v>
      </c>
      <c r="I71" s="21" t="s">
        <v>30</v>
      </c>
      <c r="J71" s="21" t="s">
        <v>15</v>
      </c>
      <c r="K71" s="21"/>
      <c r="L71" s="21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>
      <c r="A72" s="21" t="s">
        <v>455</v>
      </c>
      <c r="B72" s="21" t="s">
        <v>456</v>
      </c>
      <c r="C72" s="26" t="s">
        <v>426</v>
      </c>
      <c r="D72" s="23">
        <v>45237</v>
      </c>
      <c r="E72" s="21" t="s">
        <v>457</v>
      </c>
      <c r="F72" s="26" t="s">
        <v>109</v>
      </c>
      <c r="G72" s="21" t="s">
        <v>67</v>
      </c>
      <c r="H72" s="21" t="s">
        <v>28</v>
      </c>
      <c r="I72" s="21" t="s">
        <v>28</v>
      </c>
      <c r="J72" s="21" t="s">
        <v>15</v>
      </c>
      <c r="K72" s="21" t="s">
        <v>459</v>
      </c>
      <c r="L72" s="21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>
      <c r="A73" s="21" t="s">
        <v>462</v>
      </c>
      <c r="B73" s="21" t="s">
        <v>463</v>
      </c>
      <c r="C73" s="26" t="s">
        <v>464</v>
      </c>
      <c r="D73" s="23">
        <v>45238</v>
      </c>
      <c r="E73" s="21" t="s">
        <v>465</v>
      </c>
      <c r="F73" s="26" t="s">
        <v>180</v>
      </c>
      <c r="G73" s="21" t="s">
        <v>46</v>
      </c>
      <c r="H73" s="21" t="s">
        <v>30</v>
      </c>
      <c r="I73" s="21" t="s">
        <v>30</v>
      </c>
      <c r="J73" s="21" t="s">
        <v>15</v>
      </c>
      <c r="K73" s="21"/>
      <c r="L73" s="21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>
      <c r="A74" s="21" t="s">
        <v>466</v>
      </c>
      <c r="B74" s="21" t="s">
        <v>467</v>
      </c>
      <c r="C74" s="26" t="s">
        <v>414</v>
      </c>
      <c r="D74" s="23">
        <v>45245</v>
      </c>
      <c r="E74" s="21" t="s">
        <v>468</v>
      </c>
      <c r="F74" s="26" t="s">
        <v>417</v>
      </c>
      <c r="G74" s="21" t="s">
        <v>38</v>
      </c>
      <c r="H74" s="21" t="s">
        <v>28</v>
      </c>
      <c r="I74" s="21" t="s">
        <v>28</v>
      </c>
      <c r="J74" s="21" t="s">
        <v>15</v>
      </c>
      <c r="K74" s="21"/>
      <c r="L74" s="21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>
      <c r="A75" s="21" t="s">
        <v>469</v>
      </c>
      <c r="B75" s="21" t="s">
        <v>470</v>
      </c>
      <c r="C75" s="26" t="s">
        <v>471</v>
      </c>
      <c r="D75" s="23">
        <v>45246</v>
      </c>
      <c r="E75" s="21" t="s">
        <v>473</v>
      </c>
      <c r="F75" s="26" t="s">
        <v>114</v>
      </c>
      <c r="G75" s="21" t="s">
        <v>46</v>
      </c>
      <c r="H75" s="21" t="s">
        <v>48</v>
      </c>
      <c r="I75" s="21" t="s">
        <v>48</v>
      </c>
      <c r="J75" s="21" t="s">
        <v>15</v>
      </c>
      <c r="K75" s="21"/>
      <c r="L75" s="21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>
      <c r="A76" s="21" t="s">
        <v>476</v>
      </c>
      <c r="B76" s="21" t="s">
        <v>477</v>
      </c>
      <c r="C76" s="26" t="s">
        <v>478</v>
      </c>
      <c r="D76" s="23">
        <v>45247</v>
      </c>
      <c r="E76" s="21" t="s">
        <v>479</v>
      </c>
      <c r="F76" s="26" t="s">
        <v>240</v>
      </c>
      <c r="G76" s="21" t="s">
        <v>38</v>
      </c>
      <c r="H76" s="21" t="s">
        <v>30</v>
      </c>
      <c r="I76" s="21" t="s">
        <v>30</v>
      </c>
      <c r="J76" s="21" t="s">
        <v>15</v>
      </c>
      <c r="K76" s="21" t="s">
        <v>480</v>
      </c>
      <c r="L76" s="21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>
      <c r="A77" s="21" t="s">
        <v>481</v>
      </c>
      <c r="B77" s="21" t="s">
        <v>482</v>
      </c>
      <c r="C77" s="26" t="s">
        <v>245</v>
      </c>
      <c r="D77" s="23">
        <v>45247</v>
      </c>
      <c r="E77" s="21" t="s">
        <v>484</v>
      </c>
      <c r="F77" s="26" t="s">
        <v>109</v>
      </c>
      <c r="G77" s="21" t="s">
        <v>38</v>
      </c>
      <c r="H77" s="21" t="s">
        <v>28</v>
      </c>
      <c r="I77" s="21" t="s">
        <v>28</v>
      </c>
      <c r="J77" s="21" t="s">
        <v>15</v>
      </c>
      <c r="K77" s="21"/>
      <c r="L77" s="21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>
      <c r="A78" s="21" t="s">
        <v>485</v>
      </c>
      <c r="B78" s="21" t="s">
        <v>486</v>
      </c>
      <c r="C78" s="26" t="s">
        <v>284</v>
      </c>
      <c r="D78" s="23">
        <v>45248</v>
      </c>
      <c r="E78" s="21" t="s">
        <v>487</v>
      </c>
      <c r="F78" s="26" t="s">
        <v>338</v>
      </c>
      <c r="G78" s="21" t="s">
        <v>38</v>
      </c>
      <c r="H78" s="21" t="s">
        <v>28</v>
      </c>
      <c r="I78" s="21" t="s">
        <v>28</v>
      </c>
      <c r="J78" s="21" t="s">
        <v>15</v>
      </c>
      <c r="K78" s="21"/>
      <c r="L78" s="21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>
      <c r="A79" s="21" t="s">
        <v>488</v>
      </c>
      <c r="B79" s="21" t="s">
        <v>490</v>
      </c>
      <c r="C79" s="26" t="s">
        <v>491</v>
      </c>
      <c r="D79" s="23">
        <v>45248</v>
      </c>
      <c r="E79" s="21" t="s">
        <v>493</v>
      </c>
      <c r="F79" s="26" t="s">
        <v>494</v>
      </c>
      <c r="G79" s="21" t="s">
        <v>67</v>
      </c>
      <c r="H79" s="21" t="s">
        <v>30</v>
      </c>
      <c r="I79" s="21" t="s">
        <v>30</v>
      </c>
      <c r="J79" s="21" t="s">
        <v>15</v>
      </c>
      <c r="K79" s="21" t="s">
        <v>496</v>
      </c>
      <c r="L79" s="21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>
      <c r="A80" s="21" t="s">
        <v>498</v>
      </c>
      <c r="B80" s="21" t="s">
        <v>499</v>
      </c>
      <c r="C80" s="26" t="s">
        <v>500</v>
      </c>
      <c r="D80" s="23">
        <v>45248</v>
      </c>
      <c r="E80" s="21" t="s">
        <v>501</v>
      </c>
      <c r="F80" s="26" t="s">
        <v>417</v>
      </c>
      <c r="G80" s="21" t="s">
        <v>27</v>
      </c>
      <c r="H80" s="21" t="s">
        <v>502</v>
      </c>
      <c r="I80" s="21" t="s">
        <v>502</v>
      </c>
      <c r="J80" s="21" t="s">
        <v>12</v>
      </c>
      <c r="K80" s="21"/>
      <c r="L80" s="21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>
      <c r="A81" s="21" t="s">
        <v>505</v>
      </c>
      <c r="B81" s="21" t="s">
        <v>506</v>
      </c>
      <c r="C81" s="26" t="s">
        <v>101</v>
      </c>
      <c r="D81" s="23">
        <v>45251</v>
      </c>
      <c r="E81" s="21" t="s">
        <v>507</v>
      </c>
      <c r="F81" s="26" t="s">
        <v>248</v>
      </c>
      <c r="G81" s="21" t="s">
        <v>38</v>
      </c>
      <c r="H81" s="21" t="s">
        <v>97</v>
      </c>
      <c r="I81" s="21" t="s">
        <v>28</v>
      </c>
      <c r="J81" s="21" t="s">
        <v>15</v>
      </c>
      <c r="K81" s="21"/>
      <c r="L81" s="21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>
      <c r="A82" s="21" t="s">
        <v>511</v>
      </c>
      <c r="B82" s="21" t="s">
        <v>512</v>
      </c>
      <c r="C82" s="26" t="s">
        <v>354</v>
      </c>
      <c r="D82" s="23">
        <v>45253</v>
      </c>
      <c r="E82" s="21" t="s">
        <v>514</v>
      </c>
      <c r="F82" s="26" t="s">
        <v>350</v>
      </c>
      <c r="G82" s="21" t="s">
        <v>38</v>
      </c>
      <c r="H82" s="21" t="s">
        <v>28</v>
      </c>
      <c r="I82" s="21" t="s">
        <v>28</v>
      </c>
      <c r="J82" s="21" t="s">
        <v>15</v>
      </c>
      <c r="K82" s="21"/>
      <c r="L82" s="21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>
      <c r="A83" s="21" t="s">
        <v>517</v>
      </c>
      <c r="B83" s="21" t="s">
        <v>518</v>
      </c>
      <c r="C83" s="26" t="s">
        <v>426</v>
      </c>
      <c r="D83" s="23">
        <v>45253</v>
      </c>
      <c r="E83" s="21" t="s">
        <v>519</v>
      </c>
      <c r="F83" s="26" t="s">
        <v>109</v>
      </c>
      <c r="G83" s="21" t="s">
        <v>67</v>
      </c>
      <c r="H83" s="21" t="s">
        <v>28</v>
      </c>
      <c r="I83" s="21" t="s">
        <v>28</v>
      </c>
      <c r="J83" s="21" t="s">
        <v>15</v>
      </c>
      <c r="K83" s="21" t="s">
        <v>520</v>
      </c>
      <c r="L83" s="21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>
      <c r="A84" s="21" t="s">
        <v>523</v>
      </c>
      <c r="B84" s="21" t="s">
        <v>525</v>
      </c>
      <c r="C84" s="26" t="s">
        <v>526</v>
      </c>
      <c r="D84" s="23">
        <v>45261</v>
      </c>
      <c r="E84" s="21" t="s">
        <v>528</v>
      </c>
      <c r="F84" s="26" t="s">
        <v>530</v>
      </c>
      <c r="G84" s="21" t="s">
        <v>67</v>
      </c>
      <c r="H84" s="21" t="s">
        <v>30</v>
      </c>
      <c r="I84" s="21" t="s">
        <v>30</v>
      </c>
      <c r="J84" s="21" t="s">
        <v>15</v>
      </c>
      <c r="K84" s="21" t="s">
        <v>98</v>
      </c>
      <c r="L84" s="21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>
      <c r="A85" s="21" t="s">
        <v>531</v>
      </c>
      <c r="B85" s="21" t="s">
        <v>532</v>
      </c>
      <c r="C85" s="26" t="s">
        <v>215</v>
      </c>
      <c r="D85" s="23">
        <v>45261</v>
      </c>
      <c r="E85" s="21" t="s">
        <v>533</v>
      </c>
      <c r="F85" s="26" t="s">
        <v>73</v>
      </c>
      <c r="G85" s="21" t="s">
        <v>38</v>
      </c>
      <c r="H85" s="21" t="s">
        <v>28</v>
      </c>
      <c r="I85" s="21" t="s">
        <v>28</v>
      </c>
      <c r="J85" s="21" t="s">
        <v>15</v>
      </c>
      <c r="K85" s="21"/>
      <c r="L85" s="21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>
      <c r="A86" s="21" t="s">
        <v>538</v>
      </c>
      <c r="B86" s="21" t="s">
        <v>539</v>
      </c>
      <c r="C86" s="26" t="s">
        <v>541</v>
      </c>
      <c r="D86" s="23">
        <v>45266</v>
      </c>
      <c r="E86" s="21" t="s">
        <v>543</v>
      </c>
      <c r="F86" s="26" t="s">
        <v>84</v>
      </c>
      <c r="G86" s="21" t="s">
        <v>46</v>
      </c>
      <c r="H86" s="21" t="s">
        <v>30</v>
      </c>
      <c r="I86" s="21" t="s">
        <v>30</v>
      </c>
      <c r="J86" s="21" t="s">
        <v>15</v>
      </c>
      <c r="K86" s="48"/>
      <c r="L86" s="4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>
      <c r="A87" s="21" t="s">
        <v>549</v>
      </c>
      <c r="B87" s="21" t="s">
        <v>550</v>
      </c>
      <c r="C87" s="26" t="s">
        <v>63</v>
      </c>
      <c r="D87" s="23">
        <v>45267</v>
      </c>
      <c r="E87" s="21" t="s">
        <v>551</v>
      </c>
      <c r="F87" s="26" t="s">
        <v>66</v>
      </c>
      <c r="G87" s="21" t="s">
        <v>67</v>
      </c>
      <c r="H87" s="21" t="s">
        <v>28</v>
      </c>
      <c r="I87" s="21" t="s">
        <v>28</v>
      </c>
      <c r="J87" s="21" t="s">
        <v>15</v>
      </c>
      <c r="K87" s="21" t="s">
        <v>98</v>
      </c>
      <c r="L87" s="4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>
      <c r="A88" s="21" t="s">
        <v>552</v>
      </c>
      <c r="B88" s="21" t="s">
        <v>553</v>
      </c>
      <c r="C88" s="26" t="s">
        <v>554</v>
      </c>
      <c r="D88" s="23">
        <v>45267</v>
      </c>
      <c r="E88" s="21" t="s">
        <v>555</v>
      </c>
      <c r="F88" s="26" t="s">
        <v>417</v>
      </c>
      <c r="G88" s="21" t="s">
        <v>38</v>
      </c>
      <c r="H88" s="21" t="s">
        <v>48</v>
      </c>
      <c r="I88" s="21" t="s">
        <v>48</v>
      </c>
      <c r="J88" s="21" t="s">
        <v>15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>
      <c r="A89" s="21" t="s">
        <v>556</v>
      </c>
      <c r="B89" s="21" t="s">
        <v>557</v>
      </c>
      <c r="C89" s="26" t="s">
        <v>558</v>
      </c>
      <c r="D89" s="23">
        <v>45271</v>
      </c>
      <c r="E89" s="21" t="s">
        <v>559</v>
      </c>
      <c r="F89" s="26" t="s">
        <v>191</v>
      </c>
      <c r="G89" s="21" t="s">
        <v>38</v>
      </c>
      <c r="H89" s="21" t="s">
        <v>28</v>
      </c>
      <c r="I89" s="21" t="s">
        <v>30</v>
      </c>
      <c r="J89" s="21" t="s">
        <v>15</v>
      </c>
      <c r="K89" s="4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>
      <c r="A90" s="21" t="s">
        <v>562</v>
      </c>
      <c r="B90" s="21" t="s">
        <v>563</v>
      </c>
      <c r="C90" s="26" t="s">
        <v>565</v>
      </c>
      <c r="D90" s="23">
        <v>45272</v>
      </c>
      <c r="E90" s="21" t="s">
        <v>566</v>
      </c>
      <c r="F90" s="26" t="s">
        <v>148</v>
      </c>
      <c r="G90" s="21" t="s">
        <v>67</v>
      </c>
      <c r="H90" s="21" t="s">
        <v>28</v>
      </c>
      <c r="I90" s="21" t="s">
        <v>28</v>
      </c>
      <c r="J90" s="21" t="s">
        <v>15</v>
      </c>
      <c r="K90" s="25" t="s">
        <v>569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>
      <c r="A91" s="21" t="s">
        <v>570</v>
      </c>
      <c r="B91" s="21" t="s">
        <v>571</v>
      </c>
      <c r="C91" s="26" t="s">
        <v>300</v>
      </c>
      <c r="D91" s="23">
        <v>45272</v>
      </c>
      <c r="E91" s="21" t="s">
        <v>572</v>
      </c>
      <c r="F91" s="26" t="s">
        <v>408</v>
      </c>
      <c r="G91" s="21" t="s">
        <v>67</v>
      </c>
      <c r="H91" s="21" t="s">
        <v>28</v>
      </c>
      <c r="I91" s="21" t="s">
        <v>28</v>
      </c>
      <c r="J91" s="21" t="s">
        <v>15</v>
      </c>
      <c r="K91" s="25" t="s">
        <v>287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>
      <c r="A92" s="21" t="s">
        <v>578</v>
      </c>
      <c r="B92" s="21" t="s">
        <v>579</v>
      </c>
      <c r="C92" s="26" t="s">
        <v>580</v>
      </c>
      <c r="D92" s="23">
        <v>45274</v>
      </c>
      <c r="E92" s="21" t="s">
        <v>581</v>
      </c>
      <c r="F92" s="26" t="s">
        <v>180</v>
      </c>
      <c r="G92" s="21" t="s">
        <v>46</v>
      </c>
      <c r="H92" s="21" t="s">
        <v>48</v>
      </c>
      <c r="I92" s="21" t="s">
        <v>48</v>
      </c>
      <c r="J92" s="21" t="s">
        <v>15</v>
      </c>
      <c r="K92" s="4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>
      <c r="A93" s="21" t="s">
        <v>583</v>
      </c>
      <c r="B93" s="21" t="s">
        <v>584</v>
      </c>
      <c r="C93" s="26" t="s">
        <v>245</v>
      </c>
      <c r="D93" s="23">
        <v>45286</v>
      </c>
      <c r="E93" s="21" t="s">
        <v>587</v>
      </c>
      <c r="F93" s="26" t="s">
        <v>66</v>
      </c>
      <c r="G93" s="21" t="s">
        <v>67</v>
      </c>
      <c r="H93" s="21" t="s">
        <v>28</v>
      </c>
      <c r="I93" s="21" t="s">
        <v>28</v>
      </c>
      <c r="J93" s="21" t="s">
        <v>15</v>
      </c>
      <c r="K93" s="21" t="s">
        <v>459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>
      <c r="A94" s="21" t="s">
        <v>591</v>
      </c>
      <c r="B94" s="21" t="s">
        <v>592</v>
      </c>
      <c r="C94" s="26" t="s">
        <v>593</v>
      </c>
      <c r="D94" s="23">
        <v>45286</v>
      </c>
      <c r="E94" s="21" t="s">
        <v>594</v>
      </c>
      <c r="F94" s="26" t="s">
        <v>180</v>
      </c>
      <c r="G94" s="21" t="s">
        <v>595</v>
      </c>
      <c r="H94" s="21" t="s">
        <v>97</v>
      </c>
      <c r="I94" s="21" t="s">
        <v>97</v>
      </c>
      <c r="J94" s="21" t="s">
        <v>12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>
      <c r="A95" s="21" t="s">
        <v>598</v>
      </c>
      <c r="B95" s="21" t="s">
        <v>600</v>
      </c>
      <c r="C95" s="26" t="s">
        <v>156</v>
      </c>
      <c r="D95" s="23">
        <v>45286</v>
      </c>
      <c r="E95" s="21" t="s">
        <v>602</v>
      </c>
      <c r="F95" s="26" t="s">
        <v>158</v>
      </c>
      <c r="G95" s="21" t="s">
        <v>67</v>
      </c>
      <c r="H95" s="21" t="s">
        <v>28</v>
      </c>
      <c r="I95" s="21" t="s">
        <v>28</v>
      </c>
      <c r="J95" s="21" t="s">
        <v>15</v>
      </c>
      <c r="K95" s="21" t="s">
        <v>603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>
      <c r="A96" s="21" t="s">
        <v>605</v>
      </c>
      <c r="B96" s="21" t="s">
        <v>606</v>
      </c>
      <c r="C96" s="26" t="s">
        <v>300</v>
      </c>
      <c r="D96" s="23">
        <v>45288</v>
      </c>
      <c r="E96" s="21" t="s">
        <v>607</v>
      </c>
      <c r="F96" s="26" t="s">
        <v>408</v>
      </c>
      <c r="G96" s="21" t="s">
        <v>67</v>
      </c>
      <c r="H96" s="21" t="s">
        <v>28</v>
      </c>
      <c r="I96" s="21" t="s">
        <v>28</v>
      </c>
      <c r="J96" s="21" t="s">
        <v>15</v>
      </c>
      <c r="K96" s="21" t="s">
        <v>459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>
      <c r="A97" s="21" t="s">
        <v>609</v>
      </c>
      <c r="B97" s="21" t="s">
        <v>611</v>
      </c>
      <c r="C97" s="26" t="s">
        <v>565</v>
      </c>
      <c r="D97" s="23">
        <v>45290</v>
      </c>
      <c r="E97" s="21" t="s">
        <v>613</v>
      </c>
      <c r="F97" s="26" t="s">
        <v>191</v>
      </c>
      <c r="G97" s="21" t="s">
        <v>38</v>
      </c>
      <c r="H97" s="21" t="s">
        <v>28</v>
      </c>
      <c r="I97" s="21" t="s">
        <v>28</v>
      </c>
      <c r="J97" s="21" t="s">
        <v>15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>
      <c r="A98" s="26" t="s">
        <v>616</v>
      </c>
      <c r="B98" s="21" t="s">
        <v>617</v>
      </c>
      <c r="C98" s="26" t="s">
        <v>618</v>
      </c>
      <c r="D98" s="23">
        <v>45290</v>
      </c>
      <c r="E98" s="21" t="s">
        <v>619</v>
      </c>
      <c r="F98" s="26" t="s">
        <v>620</v>
      </c>
      <c r="G98" s="21" t="s">
        <v>67</v>
      </c>
      <c r="H98" s="21" t="s">
        <v>30</v>
      </c>
      <c r="I98" s="21" t="s">
        <v>30</v>
      </c>
      <c r="J98" s="21" t="s">
        <v>15</v>
      </c>
      <c r="K98" s="21" t="s">
        <v>621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>
      <c r="A99" s="21" t="s">
        <v>623</v>
      </c>
      <c r="B99" s="21" t="s">
        <v>624</v>
      </c>
      <c r="C99" s="26" t="s">
        <v>252</v>
      </c>
      <c r="D99" s="23">
        <v>45294</v>
      </c>
      <c r="E99" s="21" t="s">
        <v>625</v>
      </c>
      <c r="F99" s="26" t="s">
        <v>626</v>
      </c>
      <c r="G99" s="21" t="s">
        <v>38</v>
      </c>
      <c r="H99" s="21" t="s">
        <v>30</v>
      </c>
      <c r="I99" s="21" t="s">
        <v>30</v>
      </c>
      <c r="J99" s="21" t="s">
        <v>15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>
      <c r="A100" s="21" t="s">
        <v>627</v>
      </c>
      <c r="B100" s="21" t="s">
        <v>628</v>
      </c>
      <c r="C100" s="26" t="s">
        <v>309</v>
      </c>
      <c r="D100" s="23">
        <v>45295</v>
      </c>
      <c r="E100" s="21" t="s">
        <v>629</v>
      </c>
      <c r="F100" s="26" t="s">
        <v>180</v>
      </c>
      <c r="G100" s="21" t="s">
        <v>46</v>
      </c>
      <c r="H100" s="21" t="s">
        <v>28</v>
      </c>
      <c r="I100" s="21" t="s">
        <v>28</v>
      </c>
      <c r="J100" s="21" t="s">
        <v>15</v>
      </c>
      <c r="K100" s="21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>
      <c r="A101" s="21" t="s">
        <v>630</v>
      </c>
      <c r="B101" s="21" t="s">
        <v>631</v>
      </c>
      <c r="C101" s="26" t="s">
        <v>313</v>
      </c>
      <c r="D101" s="23">
        <v>45295</v>
      </c>
      <c r="E101" s="21" t="s">
        <v>633</v>
      </c>
      <c r="F101" s="26" t="s">
        <v>54</v>
      </c>
      <c r="G101" s="21" t="s">
        <v>67</v>
      </c>
      <c r="H101" s="21" t="s">
        <v>30</v>
      </c>
      <c r="I101" s="21" t="s">
        <v>30</v>
      </c>
      <c r="J101" s="21" t="s">
        <v>15</v>
      </c>
      <c r="K101" s="25" t="s">
        <v>634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>
      <c r="A102" s="21" t="s">
        <v>636</v>
      </c>
      <c r="B102" s="21" t="s">
        <v>637</v>
      </c>
      <c r="C102" s="26" t="s">
        <v>638</v>
      </c>
      <c r="D102" s="23">
        <v>45301</v>
      </c>
      <c r="E102" s="21" t="s">
        <v>639</v>
      </c>
      <c r="F102" s="26" t="s">
        <v>44</v>
      </c>
      <c r="G102" s="21" t="s">
        <v>46</v>
      </c>
      <c r="H102" s="21" t="s">
        <v>30</v>
      </c>
      <c r="I102" s="21" t="s">
        <v>30</v>
      </c>
      <c r="J102" s="21" t="s">
        <v>15</v>
      </c>
      <c r="K102" s="21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>
      <c r="A103" s="21" t="s">
        <v>641</v>
      </c>
      <c r="B103" s="21" t="s">
        <v>642</v>
      </c>
      <c r="C103" s="26" t="s">
        <v>644</v>
      </c>
      <c r="D103" s="23">
        <v>45302</v>
      </c>
      <c r="E103" s="21" t="s">
        <v>646</v>
      </c>
      <c r="F103" s="26" t="s">
        <v>95</v>
      </c>
      <c r="G103" s="21" t="s">
        <v>11</v>
      </c>
      <c r="H103" s="21" t="s">
        <v>30</v>
      </c>
      <c r="I103" s="21" t="s">
        <v>30</v>
      </c>
      <c r="J103" s="21" t="s">
        <v>12</v>
      </c>
      <c r="K103" s="21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>
      <c r="A104" s="21" t="s">
        <v>648</v>
      </c>
      <c r="B104" s="21" t="s">
        <v>649</v>
      </c>
      <c r="C104" s="26" t="s">
        <v>295</v>
      </c>
      <c r="D104" s="23">
        <v>45303</v>
      </c>
      <c r="E104" s="21" t="s">
        <v>651</v>
      </c>
      <c r="F104" s="26" t="s">
        <v>66</v>
      </c>
      <c r="G104" s="21" t="s">
        <v>67</v>
      </c>
      <c r="H104" s="21" t="s">
        <v>30</v>
      </c>
      <c r="I104" s="21" t="s">
        <v>30</v>
      </c>
      <c r="J104" s="21" t="s">
        <v>15</v>
      </c>
      <c r="K104" s="21" t="s">
        <v>603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>
      <c r="A105" s="21" t="s">
        <v>656</v>
      </c>
      <c r="B105" s="21" t="s">
        <v>657</v>
      </c>
      <c r="C105" s="26" t="s">
        <v>658</v>
      </c>
      <c r="D105" s="23">
        <v>45307</v>
      </c>
      <c r="E105" s="21" t="s">
        <v>659</v>
      </c>
      <c r="F105" s="26" t="s">
        <v>660</v>
      </c>
      <c r="G105" s="21" t="s">
        <v>67</v>
      </c>
      <c r="H105" s="21" t="s">
        <v>28</v>
      </c>
      <c r="I105" s="21" t="s">
        <v>28</v>
      </c>
      <c r="J105" s="21" t="s">
        <v>15</v>
      </c>
      <c r="K105" s="21" t="s">
        <v>661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>
      <c r="A106" s="21" t="s">
        <v>663</v>
      </c>
      <c r="B106" s="21" t="s">
        <v>664</v>
      </c>
      <c r="C106" s="21" t="s">
        <v>666</v>
      </c>
      <c r="D106" s="23">
        <v>45307</v>
      </c>
      <c r="E106" s="21" t="s">
        <v>668</v>
      </c>
      <c r="F106" s="26" t="s">
        <v>669</v>
      </c>
      <c r="G106" s="21" t="s">
        <v>67</v>
      </c>
      <c r="H106" s="21" t="s">
        <v>28</v>
      </c>
      <c r="I106" s="21" t="s">
        <v>28</v>
      </c>
      <c r="J106" s="21" t="s">
        <v>15</v>
      </c>
      <c r="K106" s="21" t="s">
        <v>672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>
      <c r="A107" s="21" t="s">
        <v>674</v>
      </c>
      <c r="B107" s="21" t="s">
        <v>675</v>
      </c>
      <c r="C107" s="26" t="s">
        <v>676</v>
      </c>
      <c r="D107" s="23">
        <v>45307</v>
      </c>
      <c r="E107" s="21" t="s">
        <v>677</v>
      </c>
      <c r="F107" s="26" t="s">
        <v>143</v>
      </c>
      <c r="G107" s="21" t="s">
        <v>90</v>
      </c>
      <c r="H107" s="21" t="s">
        <v>28</v>
      </c>
      <c r="I107" s="21" t="s">
        <v>28</v>
      </c>
      <c r="J107" s="21" t="s">
        <v>12</v>
      </c>
      <c r="K107" s="21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>
      <c r="A108" s="21" t="s">
        <v>680</v>
      </c>
      <c r="B108" s="21" t="s">
        <v>681</v>
      </c>
      <c r="C108" s="26" t="s">
        <v>134</v>
      </c>
      <c r="D108" s="23">
        <v>45308</v>
      </c>
      <c r="E108" s="21" t="s">
        <v>683</v>
      </c>
      <c r="F108" s="26" t="s">
        <v>684</v>
      </c>
      <c r="G108" s="21" t="s">
        <v>67</v>
      </c>
      <c r="H108" s="21" t="s">
        <v>30</v>
      </c>
      <c r="I108" s="21" t="s">
        <v>30</v>
      </c>
      <c r="J108" s="21" t="s">
        <v>15</v>
      </c>
      <c r="K108" s="21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>
      <c r="A109" s="21" t="s">
        <v>687</v>
      </c>
      <c r="B109" s="21" t="s">
        <v>688</v>
      </c>
      <c r="C109" s="26" t="s">
        <v>689</v>
      </c>
      <c r="D109" s="23">
        <v>45308</v>
      </c>
      <c r="E109" s="21" t="s">
        <v>690</v>
      </c>
      <c r="F109" s="26" t="s">
        <v>26</v>
      </c>
      <c r="G109" s="21" t="s">
        <v>27</v>
      </c>
      <c r="H109" s="21" t="s">
        <v>28</v>
      </c>
      <c r="I109" s="21" t="s">
        <v>28</v>
      </c>
      <c r="J109" s="21" t="s">
        <v>31</v>
      </c>
      <c r="K109" s="21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>
      <c r="A110" s="21" t="s">
        <v>693</v>
      </c>
      <c r="B110" s="21" t="s">
        <v>694</v>
      </c>
      <c r="C110" s="26" t="s">
        <v>695</v>
      </c>
      <c r="D110" s="23">
        <v>45314</v>
      </c>
      <c r="E110" s="21" t="s">
        <v>697</v>
      </c>
      <c r="F110" s="26" t="s">
        <v>180</v>
      </c>
      <c r="G110" s="21" t="s">
        <v>149</v>
      </c>
      <c r="H110" s="21" t="s">
        <v>28</v>
      </c>
      <c r="I110" s="21" t="s">
        <v>28</v>
      </c>
      <c r="J110" s="21" t="s">
        <v>15</v>
      </c>
      <c r="K110" s="21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>
      <c r="A111" s="21" t="s">
        <v>699</v>
      </c>
      <c r="B111" s="21" t="s">
        <v>700</v>
      </c>
      <c r="C111" s="26" t="s">
        <v>701</v>
      </c>
      <c r="D111" s="23">
        <v>45314</v>
      </c>
      <c r="E111" s="21" t="s">
        <v>702</v>
      </c>
      <c r="F111" s="26" t="s">
        <v>158</v>
      </c>
      <c r="G111" s="21" t="s">
        <v>38</v>
      </c>
      <c r="H111" s="21" t="s">
        <v>30</v>
      </c>
      <c r="I111" s="21" t="s">
        <v>30</v>
      </c>
      <c r="J111" s="21" t="s">
        <v>15</v>
      </c>
      <c r="K111" s="21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>
      <c r="A112" s="21" t="s">
        <v>705</v>
      </c>
      <c r="B112" s="21" t="s">
        <v>707</v>
      </c>
      <c r="C112" s="26" t="s">
        <v>464</v>
      </c>
      <c r="D112" s="23">
        <v>45317</v>
      </c>
      <c r="E112" s="21" t="s">
        <v>709</v>
      </c>
      <c r="F112" s="26" t="s">
        <v>44</v>
      </c>
      <c r="G112" s="21" t="s">
        <v>46</v>
      </c>
      <c r="H112" s="21" t="s">
        <v>30</v>
      </c>
      <c r="I112" s="21" t="s">
        <v>30</v>
      </c>
      <c r="J112" s="21" t="s">
        <v>15</v>
      </c>
      <c r="K112" s="21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>
      <c r="A113" s="21" t="s">
        <v>711</v>
      </c>
      <c r="B113" s="21" t="s">
        <v>712</v>
      </c>
      <c r="C113" s="26" t="s">
        <v>713</v>
      </c>
      <c r="D113" s="23">
        <v>45328</v>
      </c>
      <c r="E113" s="21" t="s">
        <v>714</v>
      </c>
      <c r="F113" s="26" t="s">
        <v>660</v>
      </c>
      <c r="G113" s="21" t="s">
        <v>67</v>
      </c>
      <c r="H113" s="21" t="s">
        <v>48</v>
      </c>
      <c r="I113" s="21" t="s">
        <v>716</v>
      </c>
      <c r="J113" s="21" t="s">
        <v>15</v>
      </c>
      <c r="K113" s="21" t="s">
        <v>718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>
      <c r="A114" s="21" t="s">
        <v>721</v>
      </c>
      <c r="B114" s="21" t="s">
        <v>722</v>
      </c>
      <c r="C114" s="26" t="s">
        <v>414</v>
      </c>
      <c r="D114" s="23">
        <v>45329</v>
      </c>
      <c r="E114" s="21" t="s">
        <v>723</v>
      </c>
      <c r="F114" s="26" t="s">
        <v>315</v>
      </c>
      <c r="G114" s="21" t="s">
        <v>67</v>
      </c>
      <c r="H114" s="21" t="s">
        <v>28</v>
      </c>
      <c r="I114" s="21" t="s">
        <v>28</v>
      </c>
      <c r="J114" s="21" t="s">
        <v>15</v>
      </c>
      <c r="K114" s="21" t="s">
        <v>724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>
      <c r="A115" s="21" t="s">
        <v>726</v>
      </c>
      <c r="B115" s="21" t="s">
        <v>727</v>
      </c>
      <c r="C115" s="26" t="s">
        <v>541</v>
      </c>
      <c r="D115" s="23">
        <v>45335</v>
      </c>
      <c r="E115" s="21" t="s">
        <v>730</v>
      </c>
      <c r="F115" s="26" t="s">
        <v>84</v>
      </c>
      <c r="G115" s="21" t="s">
        <v>46</v>
      </c>
      <c r="H115" s="21" t="s">
        <v>30</v>
      </c>
      <c r="I115" s="21" t="s">
        <v>30</v>
      </c>
      <c r="J115" s="21" t="s">
        <v>15</v>
      </c>
      <c r="K115" s="21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>
      <c r="A116" s="21" t="s">
        <v>732</v>
      </c>
      <c r="B116" s="21" t="s">
        <v>733</v>
      </c>
      <c r="C116" s="26" t="s">
        <v>734</v>
      </c>
      <c r="D116" s="23">
        <v>45335</v>
      </c>
      <c r="E116" s="21" t="s">
        <v>735</v>
      </c>
      <c r="F116" s="26" t="s">
        <v>66</v>
      </c>
      <c r="G116" s="21" t="s">
        <v>46</v>
      </c>
      <c r="H116" s="21" t="s">
        <v>28</v>
      </c>
      <c r="I116" s="21" t="s">
        <v>28</v>
      </c>
      <c r="J116" s="21" t="s">
        <v>15</v>
      </c>
      <c r="K116" s="21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>
      <c r="A117" s="21" t="s">
        <v>736</v>
      </c>
      <c r="B117" s="21" t="s">
        <v>737</v>
      </c>
      <c r="C117" s="26" t="s">
        <v>739</v>
      </c>
      <c r="D117" s="23">
        <v>45336</v>
      </c>
      <c r="E117" s="21" t="s">
        <v>741</v>
      </c>
      <c r="F117" s="26" t="s">
        <v>315</v>
      </c>
      <c r="G117" s="21" t="s">
        <v>67</v>
      </c>
      <c r="H117" s="21" t="s">
        <v>28</v>
      </c>
      <c r="I117" s="21" t="s">
        <v>28</v>
      </c>
      <c r="J117" s="21" t="s">
        <v>15</v>
      </c>
      <c r="K117" s="21" t="s">
        <v>744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>
      <c r="A118" s="21" t="s">
        <v>746</v>
      </c>
      <c r="B118" s="21" t="s">
        <v>747</v>
      </c>
      <c r="C118" s="26" t="s">
        <v>748</v>
      </c>
      <c r="D118" s="23">
        <v>45337</v>
      </c>
      <c r="E118" s="21" t="s">
        <v>749</v>
      </c>
      <c r="F118" s="26" t="s">
        <v>95</v>
      </c>
      <c r="G118" s="21" t="s">
        <v>38</v>
      </c>
      <c r="H118" s="21" t="s">
        <v>97</v>
      </c>
      <c r="I118" s="21" t="s">
        <v>28</v>
      </c>
      <c r="J118" s="21" t="s">
        <v>15</v>
      </c>
      <c r="K118" s="21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>
      <c r="A119" s="21" t="s">
        <v>750</v>
      </c>
      <c r="B119" s="21" t="s">
        <v>751</v>
      </c>
      <c r="C119" s="26" t="s">
        <v>265</v>
      </c>
      <c r="D119" s="23">
        <v>45341</v>
      </c>
      <c r="E119" s="21" t="s">
        <v>753</v>
      </c>
      <c r="F119" s="26" t="s">
        <v>385</v>
      </c>
      <c r="G119" s="21" t="s">
        <v>46</v>
      </c>
      <c r="H119" s="21" t="s">
        <v>30</v>
      </c>
      <c r="I119" s="21" t="s">
        <v>30</v>
      </c>
      <c r="J119" s="21" t="s">
        <v>15</v>
      </c>
      <c r="K119" s="21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>
      <c r="A120" s="21" t="s">
        <v>757</v>
      </c>
      <c r="B120" s="21" t="s">
        <v>758</v>
      </c>
      <c r="C120" s="26" t="s">
        <v>554</v>
      </c>
      <c r="D120" s="23">
        <v>45345</v>
      </c>
      <c r="E120" s="21" t="s">
        <v>759</v>
      </c>
      <c r="F120" s="26" t="s">
        <v>357</v>
      </c>
      <c r="G120" s="21" t="s">
        <v>38</v>
      </c>
      <c r="H120" s="21" t="s">
        <v>48</v>
      </c>
      <c r="I120" s="21" t="s">
        <v>48</v>
      </c>
      <c r="J120" s="21" t="s">
        <v>15</v>
      </c>
      <c r="K120" s="21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>
      <c r="A121" s="21" t="s">
        <v>760</v>
      </c>
      <c r="B121" s="21" t="s">
        <v>761</v>
      </c>
      <c r="C121" s="26" t="s">
        <v>762</v>
      </c>
      <c r="D121" s="23">
        <v>45346</v>
      </c>
      <c r="E121" s="21" t="s">
        <v>765</v>
      </c>
      <c r="F121" s="26" t="s">
        <v>766</v>
      </c>
      <c r="G121" s="21" t="s">
        <v>38</v>
      </c>
      <c r="H121" s="21" t="s">
        <v>30</v>
      </c>
      <c r="I121" s="21" t="s">
        <v>30</v>
      </c>
      <c r="J121" s="21" t="s">
        <v>15</v>
      </c>
      <c r="K121" s="21" t="s">
        <v>768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>
      <c r="A122" s="21" t="s">
        <v>769</v>
      </c>
      <c r="B122" s="21" t="s">
        <v>770</v>
      </c>
      <c r="C122" s="26" t="s">
        <v>225</v>
      </c>
      <c r="D122" s="23">
        <v>45349</v>
      </c>
      <c r="E122" s="21" t="s">
        <v>773</v>
      </c>
      <c r="F122" s="26" t="s">
        <v>95</v>
      </c>
      <c r="G122" s="21" t="s">
        <v>46</v>
      </c>
      <c r="H122" s="21" t="s">
        <v>48</v>
      </c>
      <c r="I122" s="21" t="s">
        <v>48</v>
      </c>
      <c r="J122" s="21" t="s">
        <v>15</v>
      </c>
      <c r="K122" s="21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>
      <c r="A123" s="21" t="s">
        <v>776</v>
      </c>
      <c r="B123" s="21" t="s">
        <v>777</v>
      </c>
      <c r="C123" s="26" t="s">
        <v>252</v>
      </c>
      <c r="D123" s="23">
        <v>45352</v>
      </c>
      <c r="E123" s="21" t="s">
        <v>778</v>
      </c>
      <c r="F123" s="26" t="s">
        <v>84</v>
      </c>
      <c r="G123" s="21" t="s">
        <v>46</v>
      </c>
      <c r="H123" s="21" t="s">
        <v>30</v>
      </c>
      <c r="I123" s="21" t="s">
        <v>30</v>
      </c>
      <c r="J123" s="21" t="s">
        <v>15</v>
      </c>
      <c r="K123" s="21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>
      <c r="A124" s="21" t="s">
        <v>783</v>
      </c>
      <c r="B124" s="21" t="s">
        <v>784</v>
      </c>
      <c r="C124" s="26" t="s">
        <v>178</v>
      </c>
      <c r="D124" s="23">
        <v>45355</v>
      </c>
      <c r="E124" s="21" t="s">
        <v>785</v>
      </c>
      <c r="F124" s="26" t="s">
        <v>180</v>
      </c>
      <c r="G124" s="21" t="s">
        <v>27</v>
      </c>
      <c r="H124" s="21" t="s">
        <v>97</v>
      </c>
      <c r="I124" s="21" t="s">
        <v>97</v>
      </c>
      <c r="J124" s="21" t="s">
        <v>31</v>
      </c>
      <c r="K124" s="21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>
      <c r="A125" s="21" t="s">
        <v>788</v>
      </c>
      <c r="B125" s="21" t="s">
        <v>789</v>
      </c>
      <c r="C125" s="26" t="s">
        <v>225</v>
      </c>
      <c r="D125" s="23">
        <v>45355</v>
      </c>
      <c r="E125" s="21" t="s">
        <v>792</v>
      </c>
      <c r="F125" s="26" t="s">
        <v>357</v>
      </c>
      <c r="G125" s="21" t="s">
        <v>38</v>
      </c>
      <c r="H125" s="21" t="s">
        <v>48</v>
      </c>
      <c r="I125" s="21" t="s">
        <v>48</v>
      </c>
      <c r="J125" s="21" t="s">
        <v>15</v>
      </c>
      <c r="K125" s="21" t="s">
        <v>793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>
      <c r="A126" s="21" t="s">
        <v>794</v>
      </c>
      <c r="B126" s="21" t="s">
        <v>795</v>
      </c>
      <c r="C126" s="26" t="s">
        <v>300</v>
      </c>
      <c r="D126" s="23">
        <v>45363</v>
      </c>
      <c r="E126" s="21" t="s">
        <v>796</v>
      </c>
      <c r="F126" s="26" t="s">
        <v>494</v>
      </c>
      <c r="G126" s="21" t="s">
        <v>67</v>
      </c>
      <c r="H126" s="21" t="s">
        <v>48</v>
      </c>
      <c r="I126" s="21" t="s">
        <v>28</v>
      </c>
      <c r="J126" s="21" t="s">
        <v>15</v>
      </c>
      <c r="K126" s="21" t="s">
        <v>800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>
      <c r="A127" s="21" t="s">
        <v>803</v>
      </c>
      <c r="B127" s="21" t="s">
        <v>804</v>
      </c>
      <c r="C127" s="26" t="s">
        <v>805</v>
      </c>
      <c r="D127" s="23">
        <v>45364</v>
      </c>
      <c r="E127" s="21" t="s">
        <v>806</v>
      </c>
      <c r="F127" s="26" t="s">
        <v>95</v>
      </c>
      <c r="G127" s="21" t="s">
        <v>149</v>
      </c>
      <c r="H127" s="21" t="s">
        <v>30</v>
      </c>
      <c r="I127" s="21" t="s">
        <v>30</v>
      </c>
      <c r="J127" s="21" t="s">
        <v>15</v>
      </c>
      <c r="K127" s="21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>
      <c r="A128" s="21" t="s">
        <v>808</v>
      </c>
      <c r="B128" s="21" t="s">
        <v>809</v>
      </c>
      <c r="C128" s="26" t="s">
        <v>810</v>
      </c>
      <c r="D128" s="23">
        <v>45364</v>
      </c>
      <c r="E128" s="21" t="s">
        <v>811</v>
      </c>
      <c r="F128" s="26" t="s">
        <v>202</v>
      </c>
      <c r="G128" s="21" t="s">
        <v>46</v>
      </c>
      <c r="H128" s="21" t="s">
        <v>28</v>
      </c>
      <c r="I128" s="21" t="s">
        <v>28</v>
      </c>
      <c r="J128" s="21" t="s">
        <v>15</v>
      </c>
      <c r="K128" s="21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>
      <c r="A129" s="21" t="s">
        <v>815</v>
      </c>
      <c r="B129" s="21" t="s">
        <v>816</v>
      </c>
      <c r="C129" s="26" t="s">
        <v>196</v>
      </c>
      <c r="D129" s="23">
        <v>45366</v>
      </c>
      <c r="E129" s="21" t="s">
        <v>819</v>
      </c>
      <c r="F129" s="26" t="s">
        <v>408</v>
      </c>
      <c r="G129" s="21" t="s">
        <v>67</v>
      </c>
      <c r="H129" s="21" t="s">
        <v>28</v>
      </c>
      <c r="I129" s="21" t="s">
        <v>28</v>
      </c>
      <c r="J129" s="21" t="s">
        <v>15</v>
      </c>
      <c r="K129" s="21" t="s">
        <v>820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>
      <c r="A130" s="21" t="s">
        <v>822</v>
      </c>
      <c r="B130" s="21" t="s">
        <v>823</v>
      </c>
      <c r="C130" s="26" t="s">
        <v>215</v>
      </c>
      <c r="D130" s="23">
        <v>45369</v>
      </c>
      <c r="E130" s="21" t="s">
        <v>824</v>
      </c>
      <c r="F130" s="26" t="s">
        <v>417</v>
      </c>
      <c r="G130" s="21" t="s">
        <v>38</v>
      </c>
      <c r="H130" s="21" t="s">
        <v>28</v>
      </c>
      <c r="I130" s="21" t="s">
        <v>28</v>
      </c>
      <c r="J130" s="21" t="s">
        <v>15</v>
      </c>
      <c r="K130" s="21" t="s">
        <v>827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>
      <c r="A131" s="21" t="s">
        <v>831</v>
      </c>
      <c r="B131" s="21" t="s">
        <v>832</v>
      </c>
      <c r="C131" s="26" t="s">
        <v>833</v>
      </c>
      <c r="D131" s="23">
        <v>45372</v>
      </c>
      <c r="E131" s="21" t="s">
        <v>834</v>
      </c>
      <c r="F131" s="26" t="s">
        <v>114</v>
      </c>
      <c r="G131" s="21" t="s">
        <v>149</v>
      </c>
      <c r="H131" s="21" t="s">
        <v>48</v>
      </c>
      <c r="I131" s="21" t="s">
        <v>48</v>
      </c>
      <c r="J131" s="21" t="s">
        <v>15</v>
      </c>
      <c r="K131" s="21" t="s">
        <v>835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>
      <c r="A132" s="21" t="s">
        <v>837</v>
      </c>
      <c r="B132" s="21" t="s">
        <v>839</v>
      </c>
      <c r="C132" s="26" t="s">
        <v>464</v>
      </c>
      <c r="D132" s="23">
        <v>45391</v>
      </c>
      <c r="E132" s="21" t="s">
        <v>842</v>
      </c>
      <c r="F132" s="26" t="s">
        <v>95</v>
      </c>
      <c r="G132" s="21" t="s">
        <v>46</v>
      </c>
      <c r="H132" s="21" t="s">
        <v>48</v>
      </c>
      <c r="I132" s="21" t="s">
        <v>30</v>
      </c>
      <c r="J132" s="21" t="s">
        <v>15</v>
      </c>
      <c r="K132" s="21" t="s">
        <v>98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>
      <c r="A133" s="21" t="s">
        <v>845</v>
      </c>
      <c r="B133" s="21" t="s">
        <v>846</v>
      </c>
      <c r="C133" s="26" t="s">
        <v>847</v>
      </c>
      <c r="D133" s="23">
        <v>45401</v>
      </c>
      <c r="E133" s="21" t="s">
        <v>848</v>
      </c>
      <c r="F133" s="26" t="s">
        <v>202</v>
      </c>
      <c r="G133" s="21" t="s">
        <v>149</v>
      </c>
      <c r="H133" s="21" t="s">
        <v>30</v>
      </c>
      <c r="I133" s="21" t="s">
        <v>30</v>
      </c>
      <c r="J133" s="21" t="s">
        <v>15</v>
      </c>
      <c r="K133" s="21" t="s">
        <v>849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>
      <c r="A134" s="21" t="s">
        <v>851</v>
      </c>
      <c r="B134" s="21" t="s">
        <v>853</v>
      </c>
      <c r="C134" s="26" t="s">
        <v>141</v>
      </c>
      <c r="D134" s="23">
        <v>45401</v>
      </c>
      <c r="E134" s="21" t="s">
        <v>854</v>
      </c>
      <c r="F134" s="26" t="s">
        <v>95</v>
      </c>
      <c r="G134" s="21" t="s">
        <v>149</v>
      </c>
      <c r="H134" s="21" t="s">
        <v>30</v>
      </c>
      <c r="I134" s="21" t="s">
        <v>28</v>
      </c>
      <c r="J134" s="21" t="s">
        <v>15</v>
      </c>
      <c r="K134" s="21" t="s">
        <v>856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>
      <c r="A135" s="21" t="s">
        <v>857</v>
      </c>
      <c r="B135" s="21" t="s">
        <v>858</v>
      </c>
      <c r="C135" s="26" t="s">
        <v>565</v>
      </c>
      <c r="D135" s="23">
        <v>45411</v>
      </c>
      <c r="E135" s="21" t="s">
        <v>859</v>
      </c>
      <c r="F135" s="26" t="s">
        <v>114</v>
      </c>
      <c r="G135" s="21" t="s">
        <v>149</v>
      </c>
      <c r="H135" s="21" t="s">
        <v>28</v>
      </c>
      <c r="I135" s="21" t="s">
        <v>28</v>
      </c>
      <c r="J135" s="21" t="s">
        <v>15</v>
      </c>
      <c r="K135" s="21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>
      <c r="A136" s="21" t="s">
        <v>864</v>
      </c>
      <c r="B136" s="21" t="s">
        <v>865</v>
      </c>
      <c r="C136" s="26" t="s">
        <v>866</v>
      </c>
      <c r="D136" s="23">
        <v>45411</v>
      </c>
      <c r="E136" s="21" t="s">
        <v>867</v>
      </c>
      <c r="F136" s="26" t="s">
        <v>180</v>
      </c>
      <c r="G136" s="21" t="s">
        <v>149</v>
      </c>
      <c r="H136" s="21" t="s">
        <v>28</v>
      </c>
      <c r="I136" s="21" t="s">
        <v>28</v>
      </c>
      <c r="J136" s="21" t="s">
        <v>15</v>
      </c>
      <c r="K136" s="21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>
      <c r="A137" s="21" t="s">
        <v>868</v>
      </c>
      <c r="B137" s="21" t="s">
        <v>869</v>
      </c>
      <c r="C137" s="26" t="s">
        <v>870</v>
      </c>
      <c r="D137" s="23">
        <v>45414</v>
      </c>
      <c r="E137" s="21" t="s">
        <v>871</v>
      </c>
      <c r="F137" s="26" t="s">
        <v>873</v>
      </c>
      <c r="G137" s="21" t="s">
        <v>90</v>
      </c>
      <c r="H137" s="21" t="s">
        <v>28</v>
      </c>
      <c r="I137" s="21" t="s">
        <v>28</v>
      </c>
      <c r="J137" s="21" t="s">
        <v>31</v>
      </c>
      <c r="K137" s="21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>
      <c r="A138" s="21" t="s">
        <v>877</v>
      </c>
      <c r="B138" s="21" t="s">
        <v>161</v>
      </c>
      <c r="C138" s="21"/>
      <c r="D138" s="23">
        <v>45415</v>
      </c>
      <c r="E138" s="21" t="s">
        <v>878</v>
      </c>
      <c r="F138" s="21"/>
      <c r="G138" s="21" t="s">
        <v>38</v>
      </c>
      <c r="H138" s="21" t="s">
        <v>28</v>
      </c>
      <c r="I138" s="21"/>
      <c r="J138" s="21" t="s">
        <v>15</v>
      </c>
      <c r="K138" s="21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>
      <c r="A139" s="21" t="s">
        <v>879</v>
      </c>
      <c r="B139" s="21" t="s">
        <v>880</v>
      </c>
      <c r="C139" s="26" t="s">
        <v>372</v>
      </c>
      <c r="D139" s="23">
        <v>45418</v>
      </c>
      <c r="E139" s="21" t="s">
        <v>881</v>
      </c>
      <c r="F139" s="26" t="s">
        <v>73</v>
      </c>
      <c r="G139" s="21" t="s">
        <v>38</v>
      </c>
      <c r="H139" s="21" t="s">
        <v>48</v>
      </c>
      <c r="I139" s="21" t="s">
        <v>30</v>
      </c>
      <c r="J139" s="21" t="s">
        <v>15</v>
      </c>
      <c r="K139" s="21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>
      <c r="A140" s="21" t="s">
        <v>882</v>
      </c>
      <c r="B140" s="21" t="s">
        <v>883</v>
      </c>
      <c r="C140" s="26" t="s">
        <v>82</v>
      </c>
      <c r="D140" s="23">
        <v>45418</v>
      </c>
      <c r="E140" s="21" t="s">
        <v>884</v>
      </c>
      <c r="F140" s="26" t="s">
        <v>885</v>
      </c>
      <c r="G140" s="21" t="s">
        <v>67</v>
      </c>
      <c r="H140" s="21" t="s">
        <v>28</v>
      </c>
      <c r="I140" s="21" t="s">
        <v>30</v>
      </c>
      <c r="J140" s="21" t="s">
        <v>15</v>
      </c>
      <c r="K140" s="21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>
      <c r="A141" s="21" t="s">
        <v>889</v>
      </c>
      <c r="B141" s="21" t="s">
        <v>890</v>
      </c>
      <c r="C141" s="26" t="s">
        <v>891</v>
      </c>
      <c r="D141" s="23">
        <v>45433</v>
      </c>
      <c r="E141" s="21" t="s">
        <v>892</v>
      </c>
      <c r="F141" s="26" t="s">
        <v>54</v>
      </c>
      <c r="G141" s="21" t="s">
        <v>38</v>
      </c>
      <c r="H141" s="21" t="s">
        <v>28</v>
      </c>
      <c r="I141" s="21" t="s">
        <v>30</v>
      </c>
      <c r="J141" s="21" t="s">
        <v>15</v>
      </c>
      <c r="K141" s="21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>
      <c r="A142" s="21" t="s">
        <v>893</v>
      </c>
      <c r="B142" s="21" t="s">
        <v>894</v>
      </c>
      <c r="C142" s="26" t="s">
        <v>895</v>
      </c>
      <c r="D142" s="23">
        <v>45433</v>
      </c>
      <c r="E142" s="21" t="s">
        <v>896</v>
      </c>
      <c r="F142" s="26" t="s">
        <v>350</v>
      </c>
      <c r="G142" s="21" t="s">
        <v>38</v>
      </c>
      <c r="H142" s="21" t="s">
        <v>28</v>
      </c>
      <c r="I142" s="21" t="s">
        <v>28</v>
      </c>
      <c r="J142" s="21" t="s">
        <v>15</v>
      </c>
      <c r="K142" s="21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>
      <c r="A143" s="21" t="s">
        <v>901</v>
      </c>
      <c r="B143" s="21" t="s">
        <v>902</v>
      </c>
      <c r="C143" s="26" t="s">
        <v>414</v>
      </c>
      <c r="D143" s="23">
        <v>45439</v>
      </c>
      <c r="E143" s="21" t="s">
        <v>903</v>
      </c>
      <c r="F143" s="26" t="s">
        <v>79</v>
      </c>
      <c r="G143" s="21" t="s">
        <v>67</v>
      </c>
      <c r="H143" s="21" t="s">
        <v>28</v>
      </c>
      <c r="I143" s="21" t="s">
        <v>28</v>
      </c>
      <c r="J143" s="21" t="s">
        <v>15</v>
      </c>
      <c r="K143" s="21" t="s">
        <v>904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>
      <c r="A144" s="21" t="s">
        <v>908</v>
      </c>
      <c r="B144" s="21" t="s">
        <v>909</v>
      </c>
      <c r="C144" s="26" t="s">
        <v>910</v>
      </c>
      <c r="D144" s="23">
        <v>45439</v>
      </c>
      <c r="E144" s="21" t="s">
        <v>911</v>
      </c>
      <c r="F144" s="26" t="s">
        <v>60</v>
      </c>
      <c r="G144" s="21" t="s">
        <v>90</v>
      </c>
      <c r="H144" s="21" t="s">
        <v>30</v>
      </c>
      <c r="I144" s="21" t="s">
        <v>30</v>
      </c>
      <c r="J144" s="21" t="s">
        <v>12</v>
      </c>
      <c r="K144" s="21" t="s">
        <v>912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>
      <c r="A145" s="21" t="s">
        <v>913</v>
      </c>
      <c r="B145" s="21" t="s">
        <v>914</v>
      </c>
      <c r="C145" s="26" t="s">
        <v>644</v>
      </c>
      <c r="D145" s="23">
        <v>45444</v>
      </c>
      <c r="E145" s="21" t="s">
        <v>915</v>
      </c>
      <c r="F145" s="26" t="s">
        <v>626</v>
      </c>
      <c r="G145" s="21" t="s">
        <v>38</v>
      </c>
      <c r="H145" s="21" t="s">
        <v>30</v>
      </c>
      <c r="I145" s="21" t="s">
        <v>30</v>
      </c>
      <c r="J145" s="21" t="s">
        <v>15</v>
      </c>
      <c r="K145" s="21"/>
      <c r="L145" s="18"/>
      <c r="M145" s="50" t="s">
        <v>918</v>
      </c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>
      <c r="A146" s="21" t="s">
        <v>919</v>
      </c>
      <c r="B146" s="21" t="s">
        <v>920</v>
      </c>
      <c r="C146" s="26" t="s">
        <v>921</v>
      </c>
      <c r="D146" s="23">
        <v>45444</v>
      </c>
      <c r="E146" s="21" t="s">
        <v>922</v>
      </c>
      <c r="F146" s="26" t="s">
        <v>44</v>
      </c>
      <c r="G146" s="21" t="s">
        <v>149</v>
      </c>
      <c r="H146" s="21" t="s">
        <v>30</v>
      </c>
      <c r="I146" s="21" t="s">
        <v>30</v>
      </c>
      <c r="J146" s="21" t="s">
        <v>15</v>
      </c>
      <c r="K146" s="21"/>
      <c r="L146" s="18"/>
      <c r="M146" s="50" t="s">
        <v>925</v>
      </c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>
      <c r="A147" s="21" t="s">
        <v>928</v>
      </c>
      <c r="B147" s="21" t="s">
        <v>929</v>
      </c>
      <c r="C147" s="26" t="s">
        <v>565</v>
      </c>
      <c r="D147" s="23">
        <v>45447</v>
      </c>
      <c r="E147" s="21" t="s">
        <v>930</v>
      </c>
      <c r="F147" s="26" t="s">
        <v>885</v>
      </c>
      <c r="G147" s="21" t="s">
        <v>67</v>
      </c>
      <c r="H147" s="21" t="s">
        <v>28</v>
      </c>
      <c r="I147" s="21" t="s">
        <v>28</v>
      </c>
      <c r="J147" s="21" t="s">
        <v>15</v>
      </c>
      <c r="K147" s="21" t="s">
        <v>932</v>
      </c>
      <c r="L147" s="18"/>
      <c r="M147" s="50" t="s">
        <v>933</v>
      </c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>
      <c r="A148" s="21" t="s">
        <v>937</v>
      </c>
      <c r="B148" s="21" t="s">
        <v>938</v>
      </c>
      <c r="C148" s="26" t="s">
        <v>940</v>
      </c>
      <c r="D148" s="23">
        <v>45451</v>
      </c>
      <c r="E148" s="21" t="s">
        <v>942</v>
      </c>
      <c r="F148" s="26" t="s">
        <v>943</v>
      </c>
      <c r="G148" s="21" t="s">
        <v>38</v>
      </c>
      <c r="H148" s="21" t="s">
        <v>28</v>
      </c>
      <c r="I148" s="21" t="s">
        <v>28</v>
      </c>
      <c r="J148" s="21" t="s">
        <v>15</v>
      </c>
      <c r="K148" s="21"/>
      <c r="L148" s="18"/>
      <c r="M148" s="50" t="s">
        <v>945</v>
      </c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>
      <c r="A149" s="21" t="s">
        <v>948</v>
      </c>
      <c r="B149" s="21" t="s">
        <v>949</v>
      </c>
      <c r="C149" s="21" t="s">
        <v>666</v>
      </c>
      <c r="D149" s="23">
        <v>45455</v>
      </c>
      <c r="E149" s="21" t="s">
        <v>951</v>
      </c>
      <c r="F149" s="26" t="s">
        <v>95</v>
      </c>
      <c r="G149" s="21" t="s">
        <v>67</v>
      </c>
      <c r="H149" s="21" t="s">
        <v>28</v>
      </c>
      <c r="I149" s="21" t="s">
        <v>28</v>
      </c>
      <c r="J149" s="21" t="s">
        <v>15</v>
      </c>
      <c r="K149" s="21" t="s">
        <v>952</v>
      </c>
      <c r="L149" s="18"/>
      <c r="M149" s="50" t="s">
        <v>958</v>
      </c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>
      <c r="A150" s="21" t="s">
        <v>959</v>
      </c>
      <c r="B150" s="21" t="s">
        <v>960</v>
      </c>
      <c r="C150" s="26" t="s">
        <v>689</v>
      </c>
      <c r="D150" s="23">
        <v>45460</v>
      </c>
      <c r="E150" s="21" t="s">
        <v>961</v>
      </c>
      <c r="F150" s="26" t="s">
        <v>962</v>
      </c>
      <c r="G150" s="21" t="s">
        <v>67</v>
      </c>
      <c r="H150" s="21" t="s">
        <v>28</v>
      </c>
      <c r="I150" s="21" t="s">
        <v>28</v>
      </c>
      <c r="J150" s="21" t="s">
        <v>15</v>
      </c>
      <c r="K150" s="21" t="s">
        <v>964</v>
      </c>
      <c r="L150" s="18"/>
      <c r="M150" s="50" t="s">
        <v>977</v>
      </c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>
      <c r="A151" s="21" t="s">
        <v>979</v>
      </c>
      <c r="B151" s="21" t="s">
        <v>980</v>
      </c>
      <c r="C151" s="26" t="s">
        <v>238</v>
      </c>
      <c r="D151" s="23">
        <v>45460</v>
      </c>
      <c r="E151" s="21" t="s">
        <v>983</v>
      </c>
      <c r="F151" s="26" t="s">
        <v>315</v>
      </c>
      <c r="G151" s="21" t="s">
        <v>67</v>
      </c>
      <c r="H151" s="21" t="s">
        <v>30</v>
      </c>
      <c r="I151" s="21" t="s">
        <v>30</v>
      </c>
      <c r="J151" s="21" t="s">
        <v>15</v>
      </c>
      <c r="K151" s="21" t="s">
        <v>986</v>
      </c>
      <c r="L151" s="18"/>
      <c r="M151" s="50" t="s">
        <v>995</v>
      </c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>
      <c r="A152" s="21" t="s">
        <v>996</v>
      </c>
      <c r="B152" s="21" t="s">
        <v>997</v>
      </c>
      <c r="C152" s="26" t="s">
        <v>998</v>
      </c>
      <c r="D152" s="23">
        <v>45469</v>
      </c>
      <c r="E152" s="21" t="s">
        <v>999</v>
      </c>
      <c r="F152" s="26" t="s">
        <v>620</v>
      </c>
      <c r="G152" s="21" t="s">
        <v>67</v>
      </c>
      <c r="H152" s="21" t="s">
        <v>716</v>
      </c>
      <c r="I152" s="21" t="s">
        <v>716</v>
      </c>
      <c r="J152" s="21" t="s">
        <v>15</v>
      </c>
      <c r="K152" s="21" t="s">
        <v>1000</v>
      </c>
      <c r="L152" s="18"/>
      <c r="M152" s="18" t="s">
        <v>608</v>
      </c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>
      <c r="A153" s="21" t="s">
        <v>1003</v>
      </c>
      <c r="B153" s="21" t="s">
        <v>1004</v>
      </c>
      <c r="C153" s="26" t="s">
        <v>1005</v>
      </c>
      <c r="D153" s="23">
        <v>45482</v>
      </c>
      <c r="E153" s="21" t="s">
        <v>1006</v>
      </c>
      <c r="F153" s="26" t="s">
        <v>669</v>
      </c>
      <c r="G153" s="21" t="s">
        <v>67</v>
      </c>
      <c r="H153" s="21" t="s">
        <v>30</v>
      </c>
      <c r="I153" s="21" t="s">
        <v>30</v>
      </c>
      <c r="J153" s="21" t="s">
        <v>15</v>
      </c>
      <c r="K153" s="21" t="s">
        <v>964</v>
      </c>
      <c r="L153" s="18"/>
      <c r="M153" s="18" t="s">
        <v>647</v>
      </c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>
      <c r="A154" s="21" t="s">
        <v>1013</v>
      </c>
      <c r="B154" s="21" t="s">
        <v>1014</v>
      </c>
      <c r="C154" s="26" t="s">
        <v>123</v>
      </c>
      <c r="D154" s="23">
        <v>45482</v>
      </c>
      <c r="E154" s="21" t="s">
        <v>1015</v>
      </c>
      <c r="F154" s="26" t="s">
        <v>385</v>
      </c>
      <c r="G154" s="21" t="s">
        <v>90</v>
      </c>
      <c r="H154" s="21" t="s">
        <v>30</v>
      </c>
      <c r="I154" s="21" t="s">
        <v>30</v>
      </c>
      <c r="J154" s="21" t="s">
        <v>12</v>
      </c>
      <c r="K154" s="21"/>
      <c r="L154" s="18"/>
      <c r="M154" s="18" t="s">
        <v>1016</v>
      </c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>
      <c r="A155" s="21" t="s">
        <v>1020</v>
      </c>
      <c r="B155" s="21" t="s">
        <v>1021</v>
      </c>
      <c r="C155" s="26" t="s">
        <v>101</v>
      </c>
      <c r="D155" s="23">
        <v>45482</v>
      </c>
      <c r="E155" s="21" t="s">
        <v>1022</v>
      </c>
      <c r="F155" s="26" t="s">
        <v>377</v>
      </c>
      <c r="G155" s="21" t="s">
        <v>90</v>
      </c>
      <c r="H155" s="21" t="s">
        <v>28</v>
      </c>
      <c r="I155" s="21" t="s">
        <v>28</v>
      </c>
      <c r="J155" s="21" t="s">
        <v>12</v>
      </c>
      <c r="K155" s="21"/>
      <c r="L155" s="18"/>
      <c r="M155" s="18" t="s">
        <v>1024</v>
      </c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>
      <c r="A156" s="21" t="s">
        <v>1029</v>
      </c>
      <c r="B156" s="21" t="s">
        <v>1030</v>
      </c>
      <c r="C156" s="26" t="s">
        <v>284</v>
      </c>
      <c r="D156" s="23">
        <v>45484</v>
      </c>
      <c r="E156" s="21" t="s">
        <v>1031</v>
      </c>
      <c r="F156" s="26" t="s">
        <v>315</v>
      </c>
      <c r="G156" s="21" t="s">
        <v>67</v>
      </c>
      <c r="H156" s="21" t="s">
        <v>28</v>
      </c>
      <c r="I156" s="21" t="s">
        <v>28</v>
      </c>
      <c r="J156" s="21" t="s">
        <v>15</v>
      </c>
      <c r="K156" s="21" t="s">
        <v>1032</v>
      </c>
      <c r="L156" s="18"/>
      <c r="M156" s="18" t="s">
        <v>447</v>
      </c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>
      <c r="A157" s="21" t="s">
        <v>1035</v>
      </c>
      <c r="B157" s="21" t="s">
        <v>1036</v>
      </c>
      <c r="C157" s="26" t="s">
        <v>238</v>
      </c>
      <c r="D157" s="23">
        <v>45484</v>
      </c>
      <c r="E157" s="21" t="s">
        <v>1037</v>
      </c>
      <c r="F157" s="26" t="s">
        <v>885</v>
      </c>
      <c r="G157" s="21" t="s">
        <v>67</v>
      </c>
      <c r="H157" s="21" t="s">
        <v>30</v>
      </c>
      <c r="I157" s="21" t="s">
        <v>30</v>
      </c>
      <c r="J157" s="21" t="s">
        <v>15</v>
      </c>
      <c r="K157" s="21" t="s">
        <v>1039</v>
      </c>
      <c r="L157" s="18"/>
      <c r="M157" s="18" t="s">
        <v>573</v>
      </c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>
      <c r="A158" s="21" t="s">
        <v>1040</v>
      </c>
      <c r="B158" s="21" t="s">
        <v>1041</v>
      </c>
      <c r="C158" s="26" t="s">
        <v>701</v>
      </c>
      <c r="D158" s="23">
        <v>45486</v>
      </c>
      <c r="E158" s="21" t="s">
        <v>1042</v>
      </c>
      <c r="F158" s="26" t="s">
        <v>660</v>
      </c>
      <c r="G158" s="21" t="s">
        <v>67</v>
      </c>
      <c r="H158" s="21" t="s">
        <v>30</v>
      </c>
      <c r="I158" s="21" t="s">
        <v>30</v>
      </c>
      <c r="J158" s="21" t="s">
        <v>15</v>
      </c>
      <c r="K158" s="21"/>
      <c r="L158" s="25"/>
      <c r="M158" s="18" t="s">
        <v>582</v>
      </c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>
      <c r="A159" s="21" t="s">
        <v>1043</v>
      </c>
      <c r="B159" s="21" t="s">
        <v>1044</v>
      </c>
      <c r="C159" s="21" t="s">
        <v>1045</v>
      </c>
      <c r="D159" s="23">
        <v>45491</v>
      </c>
      <c r="E159" s="21" t="s">
        <v>1047</v>
      </c>
      <c r="F159" s="26" t="s">
        <v>1048</v>
      </c>
      <c r="G159" s="21" t="s">
        <v>67</v>
      </c>
      <c r="H159" s="21" t="s">
        <v>30</v>
      </c>
      <c r="I159" s="21"/>
      <c r="J159" s="21" t="s">
        <v>15</v>
      </c>
      <c r="K159" s="21"/>
      <c r="L159" s="18"/>
      <c r="M159" s="18" t="s">
        <v>384</v>
      </c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>
      <c r="A160" s="21" t="s">
        <v>1052</v>
      </c>
      <c r="B160" s="21" t="s">
        <v>1053</v>
      </c>
      <c r="C160" s="26" t="s">
        <v>354</v>
      </c>
      <c r="D160" s="23">
        <v>45496</v>
      </c>
      <c r="E160" s="21" t="s">
        <v>1054</v>
      </c>
      <c r="F160" s="26" t="s">
        <v>54</v>
      </c>
      <c r="G160" s="21" t="s">
        <v>67</v>
      </c>
      <c r="H160" s="21" t="s">
        <v>28</v>
      </c>
      <c r="I160" s="21" t="s">
        <v>28</v>
      </c>
      <c r="J160" s="21" t="s">
        <v>15</v>
      </c>
      <c r="K160" s="21"/>
      <c r="L160" s="18"/>
      <c r="M160" s="18" t="s">
        <v>460</v>
      </c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>
      <c r="A161" s="21" t="s">
        <v>1056</v>
      </c>
      <c r="B161" s="21" t="s">
        <v>1057</v>
      </c>
      <c r="C161" s="26" t="s">
        <v>1058</v>
      </c>
      <c r="D161" s="23">
        <v>45499</v>
      </c>
      <c r="E161" s="21" t="s">
        <v>1059</v>
      </c>
      <c r="F161" s="26" t="s">
        <v>684</v>
      </c>
      <c r="G161" s="21" t="s">
        <v>67</v>
      </c>
      <c r="H161" s="21" t="s">
        <v>28</v>
      </c>
      <c r="I161" s="21" t="s">
        <v>28</v>
      </c>
      <c r="J161" s="21" t="s">
        <v>15</v>
      </c>
      <c r="K161" s="21"/>
      <c r="L161" s="18"/>
      <c r="M161" s="18" t="s">
        <v>632</v>
      </c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>
      <c r="A162" s="21" t="s">
        <v>1062</v>
      </c>
      <c r="B162" s="21" t="s">
        <v>1063</v>
      </c>
      <c r="C162" s="26" t="s">
        <v>162</v>
      </c>
      <c r="D162" s="23">
        <v>45502</v>
      </c>
      <c r="E162" s="21" t="s">
        <v>1065</v>
      </c>
      <c r="F162" s="26" t="s">
        <v>158</v>
      </c>
      <c r="G162" s="21" t="s">
        <v>38</v>
      </c>
      <c r="H162" s="21" t="s">
        <v>30</v>
      </c>
      <c r="I162" s="21" t="s">
        <v>28</v>
      </c>
      <c r="J162" s="21" t="s">
        <v>15</v>
      </c>
      <c r="K162" s="21"/>
      <c r="L162" s="18"/>
      <c r="M162" s="18" t="s">
        <v>1066</v>
      </c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>
      <c r="A163" s="21" t="s">
        <v>1068</v>
      </c>
      <c r="B163" s="21" t="s">
        <v>1069</v>
      </c>
      <c r="C163" s="26" t="s">
        <v>101</v>
      </c>
      <c r="D163" s="23">
        <v>45502</v>
      </c>
      <c r="E163" s="21" t="s">
        <v>1072</v>
      </c>
      <c r="F163" s="26" t="s">
        <v>315</v>
      </c>
      <c r="G163" s="21" t="s">
        <v>67</v>
      </c>
      <c r="H163" s="21" t="s">
        <v>28</v>
      </c>
      <c r="I163" s="21" t="s">
        <v>28</v>
      </c>
      <c r="J163" s="21" t="s">
        <v>15</v>
      </c>
      <c r="K163" s="21"/>
      <c r="L163" s="18"/>
      <c r="M163" s="18" t="s">
        <v>573</v>
      </c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>
      <c r="A164" s="21" t="s">
        <v>1074</v>
      </c>
      <c r="B164" s="21" t="s">
        <v>1075</v>
      </c>
      <c r="C164" s="26" t="s">
        <v>1076</v>
      </c>
      <c r="D164" s="23">
        <v>45503</v>
      </c>
      <c r="E164" s="21" t="s">
        <v>1078</v>
      </c>
      <c r="F164" s="26" t="s">
        <v>26</v>
      </c>
      <c r="G164" s="21" t="s">
        <v>46</v>
      </c>
      <c r="H164" s="21" t="s">
        <v>30</v>
      </c>
      <c r="I164" s="21" t="s">
        <v>30</v>
      </c>
      <c r="J164" s="21" t="s">
        <v>12</v>
      </c>
      <c r="K164" s="21"/>
      <c r="L164" s="18"/>
      <c r="M164" s="18" t="s">
        <v>1079</v>
      </c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>
      <c r="A165" s="26" t="s">
        <v>1080</v>
      </c>
      <c r="B165" s="21" t="s">
        <v>1082</v>
      </c>
      <c r="C165" s="26" t="s">
        <v>284</v>
      </c>
      <c r="D165" s="23">
        <v>45504</v>
      </c>
      <c r="E165" s="21" t="s">
        <v>1085</v>
      </c>
      <c r="F165" s="26" t="s">
        <v>660</v>
      </c>
      <c r="G165" s="21" t="s">
        <v>67</v>
      </c>
      <c r="H165" s="21" t="s">
        <v>28</v>
      </c>
      <c r="I165" s="21" t="s">
        <v>28</v>
      </c>
      <c r="J165" s="21" t="s">
        <v>15</v>
      </c>
      <c r="K165" s="21"/>
      <c r="L165" s="18"/>
      <c r="M165" s="18" t="s">
        <v>447</v>
      </c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>
      <c r="A166" s="21" t="s">
        <v>1091</v>
      </c>
      <c r="B166" s="21" t="s">
        <v>1092</v>
      </c>
      <c r="C166" s="26" t="s">
        <v>1093</v>
      </c>
      <c r="D166" s="23">
        <v>45504</v>
      </c>
      <c r="E166" s="21" t="s">
        <v>1094</v>
      </c>
      <c r="F166" s="26" t="s">
        <v>79</v>
      </c>
      <c r="G166" s="21" t="s">
        <v>27</v>
      </c>
      <c r="H166" s="21" t="s">
        <v>28</v>
      </c>
      <c r="I166" s="21" t="s">
        <v>28</v>
      </c>
      <c r="J166" s="21" t="s">
        <v>31</v>
      </c>
      <c r="K166" s="21"/>
      <c r="L166" s="18"/>
      <c r="M166" s="18" t="s">
        <v>1095</v>
      </c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>
      <c r="A167" s="21" t="s">
        <v>1096</v>
      </c>
      <c r="B167" s="21" t="s">
        <v>1097</v>
      </c>
      <c r="C167" s="21" t="s">
        <v>1098</v>
      </c>
      <c r="D167" s="23">
        <v>45505</v>
      </c>
      <c r="E167" s="21" t="s">
        <v>1099</v>
      </c>
      <c r="F167" s="26" t="s">
        <v>1100</v>
      </c>
      <c r="G167" s="21" t="s">
        <v>67</v>
      </c>
      <c r="H167" s="21" t="s">
        <v>28</v>
      </c>
      <c r="I167" s="21" t="s">
        <v>28</v>
      </c>
      <c r="J167" s="21" t="s">
        <v>15</v>
      </c>
      <c r="K167" s="21"/>
      <c r="L167" s="18"/>
      <c r="M167" s="18" t="s">
        <v>304</v>
      </c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>
      <c r="A168" s="21" t="s">
        <v>1102</v>
      </c>
      <c r="B168" s="21" t="s">
        <v>1104</v>
      </c>
      <c r="C168" s="26" t="s">
        <v>1105</v>
      </c>
      <c r="D168" s="23">
        <v>45506</v>
      </c>
      <c r="E168" s="21" t="s">
        <v>1106</v>
      </c>
      <c r="F168" s="26" t="s">
        <v>148</v>
      </c>
      <c r="G168" s="21" t="s">
        <v>46</v>
      </c>
      <c r="H168" s="21" t="s">
        <v>97</v>
      </c>
      <c r="I168" s="21" t="s">
        <v>97</v>
      </c>
      <c r="J168" s="21" t="s">
        <v>15</v>
      </c>
      <c r="K168" s="21"/>
      <c r="L168" s="18"/>
      <c r="M168" s="18" t="s">
        <v>1108</v>
      </c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>
      <c r="A169" s="21" t="s">
        <v>1109</v>
      </c>
      <c r="B169" s="21" t="s">
        <v>1110</v>
      </c>
      <c r="C169" s="26" t="s">
        <v>810</v>
      </c>
      <c r="D169" s="23">
        <v>45506</v>
      </c>
      <c r="E169" s="21" t="s">
        <v>1112</v>
      </c>
      <c r="F169" s="26" t="s">
        <v>158</v>
      </c>
      <c r="G169" s="21" t="s">
        <v>67</v>
      </c>
      <c r="H169" s="21" t="s">
        <v>28</v>
      </c>
      <c r="I169" s="21" t="s">
        <v>28</v>
      </c>
      <c r="J169" s="21" t="s">
        <v>15</v>
      </c>
      <c r="K169" s="21"/>
      <c r="L169" s="18"/>
      <c r="M169" s="18" t="s">
        <v>608</v>
      </c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>
      <c r="A170" s="21" t="s">
        <v>1114</v>
      </c>
      <c r="B170" s="21" t="s">
        <v>1115</v>
      </c>
      <c r="C170" s="26" t="s">
        <v>1116</v>
      </c>
      <c r="D170" s="23">
        <v>45509</v>
      </c>
      <c r="E170" s="21" t="s">
        <v>1117</v>
      </c>
      <c r="F170" s="26" t="s">
        <v>315</v>
      </c>
      <c r="G170" s="21" t="s">
        <v>38</v>
      </c>
      <c r="H170" s="21" t="s">
        <v>28</v>
      </c>
      <c r="I170" s="21" t="s">
        <v>28</v>
      </c>
      <c r="J170" s="21" t="s">
        <v>15</v>
      </c>
      <c r="K170" s="21"/>
      <c r="L170" s="18"/>
      <c r="M170" s="18" t="s">
        <v>931</v>
      </c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>
      <c r="A171" s="21" t="s">
        <v>1121</v>
      </c>
      <c r="B171" s="21" t="s">
        <v>1122</v>
      </c>
      <c r="C171" s="26" t="s">
        <v>1123</v>
      </c>
      <c r="D171" s="23">
        <v>45510</v>
      </c>
      <c r="E171" s="21" t="s">
        <v>1124</v>
      </c>
      <c r="F171" s="26" t="s">
        <v>1125</v>
      </c>
      <c r="G171" s="21" t="s">
        <v>38</v>
      </c>
      <c r="H171" s="21" t="s">
        <v>30</v>
      </c>
      <c r="I171" s="21" t="s">
        <v>30</v>
      </c>
      <c r="J171" s="21" t="s">
        <v>15</v>
      </c>
      <c r="K171" s="21"/>
      <c r="L171" s="18"/>
      <c r="M171" s="18" t="s">
        <v>1060</v>
      </c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>
      <c r="A172" s="21" t="s">
        <v>1127</v>
      </c>
      <c r="B172" s="21" t="s">
        <v>1128</v>
      </c>
      <c r="C172" s="26" t="s">
        <v>146</v>
      </c>
      <c r="D172" s="23">
        <v>45512</v>
      </c>
      <c r="E172" s="21" t="s">
        <v>1129</v>
      </c>
      <c r="F172" s="26" t="s">
        <v>302</v>
      </c>
      <c r="G172" s="21" t="s">
        <v>38</v>
      </c>
      <c r="H172" s="21" t="s">
        <v>28</v>
      </c>
      <c r="I172" s="21" t="s">
        <v>28</v>
      </c>
      <c r="J172" s="21" t="s">
        <v>15</v>
      </c>
      <c r="K172" s="21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>
      <c r="A173" s="21" t="s">
        <v>1131</v>
      </c>
      <c r="B173" s="21" t="s">
        <v>1133</v>
      </c>
      <c r="C173" s="26" t="s">
        <v>1134</v>
      </c>
      <c r="D173" s="23">
        <v>45528</v>
      </c>
      <c r="E173" s="21" t="s">
        <v>1136</v>
      </c>
      <c r="F173" s="26" t="s">
        <v>1137</v>
      </c>
      <c r="G173" s="21" t="s">
        <v>149</v>
      </c>
      <c r="H173" s="21" t="s">
        <v>30</v>
      </c>
      <c r="I173" s="21" t="s">
        <v>30</v>
      </c>
      <c r="J173" s="21" t="s">
        <v>15</v>
      </c>
      <c r="K173" s="21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>
      <c r="A174" s="21" t="s">
        <v>1139</v>
      </c>
      <c r="B174" s="21" t="s">
        <v>1140</v>
      </c>
      <c r="C174" s="21"/>
      <c r="D174" s="23">
        <v>45530</v>
      </c>
      <c r="E174" s="21" t="s">
        <v>1141</v>
      </c>
      <c r="F174" s="26" t="s">
        <v>95</v>
      </c>
      <c r="G174" s="21" t="s">
        <v>46</v>
      </c>
      <c r="H174" s="21" t="s">
        <v>30</v>
      </c>
      <c r="I174" s="21"/>
      <c r="J174" s="21" t="s">
        <v>15</v>
      </c>
      <c r="K174" s="21"/>
      <c r="L174" s="18"/>
      <c r="M174" s="18" t="s">
        <v>1143</v>
      </c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>
      <c r="A175" s="21" t="s">
        <v>1144</v>
      </c>
      <c r="B175" s="21" t="s">
        <v>1145</v>
      </c>
      <c r="C175" s="26" t="s">
        <v>1146</v>
      </c>
      <c r="D175" s="23">
        <v>45530</v>
      </c>
      <c r="E175" s="21" t="s">
        <v>1147</v>
      </c>
      <c r="F175" s="26" t="s">
        <v>400</v>
      </c>
      <c r="G175" s="21" t="s">
        <v>90</v>
      </c>
      <c r="H175" s="21" t="s">
        <v>1148</v>
      </c>
      <c r="I175" s="21" t="s">
        <v>1148</v>
      </c>
      <c r="J175" s="21" t="s">
        <v>31</v>
      </c>
      <c r="K175" s="21"/>
      <c r="L175" s="18"/>
      <c r="M175" s="18" t="s">
        <v>678</v>
      </c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>
      <c r="A176" s="21" t="s">
        <v>1149</v>
      </c>
      <c r="B176" s="21" t="s">
        <v>1150</v>
      </c>
      <c r="C176" s="26" t="s">
        <v>156</v>
      </c>
      <c r="D176" s="23">
        <v>45530</v>
      </c>
      <c r="E176" s="21" t="s">
        <v>1151</v>
      </c>
      <c r="F176" s="26" t="s">
        <v>254</v>
      </c>
      <c r="G176" s="21" t="s">
        <v>38</v>
      </c>
      <c r="H176" s="21" t="s">
        <v>28</v>
      </c>
      <c r="I176" s="21" t="s">
        <v>28</v>
      </c>
      <c r="J176" s="21" t="s">
        <v>15</v>
      </c>
      <c r="K176" s="21"/>
      <c r="L176" s="18"/>
      <c r="M176" s="18" t="s">
        <v>568</v>
      </c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>
      <c r="A177" s="21" t="s">
        <v>1155</v>
      </c>
      <c r="B177" s="21" t="s">
        <v>1156</v>
      </c>
      <c r="C177" s="26" t="s">
        <v>1157</v>
      </c>
      <c r="D177" s="23">
        <v>45532</v>
      </c>
      <c r="E177" s="21" t="s">
        <v>1158</v>
      </c>
      <c r="F177" s="26" t="s">
        <v>136</v>
      </c>
      <c r="G177" s="21" t="s">
        <v>38</v>
      </c>
      <c r="H177" s="21" t="s">
        <v>30</v>
      </c>
      <c r="I177" s="21" t="s">
        <v>30</v>
      </c>
      <c r="J177" s="21" t="s">
        <v>15</v>
      </c>
      <c r="K177" s="21"/>
      <c r="L177" s="18"/>
      <c r="M177" s="18" t="s">
        <v>742</v>
      </c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>
      <c r="A178" s="21" t="s">
        <v>1163</v>
      </c>
      <c r="B178" s="21" t="s">
        <v>1164</v>
      </c>
      <c r="C178" s="21" t="s">
        <v>1165</v>
      </c>
      <c r="D178" s="23">
        <v>45533</v>
      </c>
      <c r="E178" s="21" t="s">
        <v>1166</v>
      </c>
      <c r="F178" s="26" t="s">
        <v>1167</v>
      </c>
      <c r="G178" s="21" t="s">
        <v>67</v>
      </c>
      <c r="H178" s="21" t="s">
        <v>48</v>
      </c>
      <c r="I178" s="21" t="s">
        <v>48</v>
      </c>
      <c r="J178" s="21" t="s">
        <v>15</v>
      </c>
      <c r="K178" s="21"/>
      <c r="L178" s="18"/>
      <c r="M178" s="18" t="s">
        <v>317</v>
      </c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>
      <c r="A179" s="21" t="s">
        <v>1170</v>
      </c>
      <c r="B179" s="21" t="s">
        <v>1171</v>
      </c>
      <c r="C179" s="26" t="s">
        <v>1172</v>
      </c>
      <c r="D179" s="23">
        <v>45538</v>
      </c>
      <c r="E179" s="21" t="s">
        <v>1174</v>
      </c>
      <c r="F179" s="26" t="s">
        <v>114</v>
      </c>
      <c r="G179" s="21" t="s">
        <v>67</v>
      </c>
      <c r="H179" s="21" t="s">
        <v>97</v>
      </c>
      <c r="I179" s="21" t="s">
        <v>97</v>
      </c>
      <c r="J179" s="21" t="s">
        <v>15</v>
      </c>
      <c r="K179" s="21"/>
      <c r="L179" s="18"/>
      <c r="M179" s="18" t="s">
        <v>55</v>
      </c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>
      <c r="A180" s="21" t="s">
        <v>1175</v>
      </c>
      <c r="B180" s="21" t="s">
        <v>1177</v>
      </c>
      <c r="C180" s="26" t="s">
        <v>1178</v>
      </c>
      <c r="D180" s="23">
        <v>45541</v>
      </c>
      <c r="E180" s="21" t="s">
        <v>1180</v>
      </c>
      <c r="F180" s="26" t="s">
        <v>417</v>
      </c>
      <c r="G180" s="21" t="s">
        <v>67</v>
      </c>
      <c r="H180" s="21" t="s">
        <v>28</v>
      </c>
      <c r="I180" s="21" t="s">
        <v>28</v>
      </c>
      <c r="J180" s="21" t="s">
        <v>15</v>
      </c>
      <c r="K180" s="21"/>
      <c r="L180" s="18"/>
      <c r="M180" s="18" t="s">
        <v>74</v>
      </c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>
      <c r="A181" s="21" t="s">
        <v>1183</v>
      </c>
      <c r="B181" s="21" t="s">
        <v>1184</v>
      </c>
      <c r="C181" s="26" t="s">
        <v>313</v>
      </c>
      <c r="D181" s="23">
        <v>45546</v>
      </c>
      <c r="E181" s="21" t="s">
        <v>1185</v>
      </c>
      <c r="F181" s="26" t="s">
        <v>766</v>
      </c>
      <c r="G181" s="21" t="s">
        <v>38</v>
      </c>
      <c r="H181" s="21" t="s">
        <v>28</v>
      </c>
      <c r="I181" s="21" t="s">
        <v>30</v>
      </c>
      <c r="J181" s="21" t="s">
        <v>15</v>
      </c>
      <c r="K181" s="21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>
      <c r="A182" s="21" t="s">
        <v>1188</v>
      </c>
      <c r="B182" s="21" t="s">
        <v>1189</v>
      </c>
      <c r="C182" s="26" t="s">
        <v>200</v>
      </c>
      <c r="D182" s="23">
        <v>45559</v>
      </c>
      <c r="E182" s="21" t="s">
        <v>1190</v>
      </c>
      <c r="F182" s="26" t="s">
        <v>143</v>
      </c>
      <c r="G182" s="21" t="s">
        <v>46</v>
      </c>
      <c r="H182" s="21" t="s">
        <v>28</v>
      </c>
      <c r="I182" s="21" t="s">
        <v>28</v>
      </c>
      <c r="J182" s="21" t="s">
        <v>15</v>
      </c>
      <c r="K182" s="21"/>
      <c r="L182" s="18"/>
      <c r="M182" s="18" t="s">
        <v>1191</v>
      </c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>
      <c r="A183" s="21" t="s">
        <v>1194</v>
      </c>
      <c r="B183" s="21" t="s">
        <v>1195</v>
      </c>
      <c r="C183" s="26" t="s">
        <v>238</v>
      </c>
      <c r="D183" s="23">
        <v>45559</v>
      </c>
      <c r="E183" s="21" t="s">
        <v>1197</v>
      </c>
      <c r="F183" s="26" t="s">
        <v>962</v>
      </c>
      <c r="G183" s="21" t="s">
        <v>67</v>
      </c>
      <c r="H183" s="21" t="s">
        <v>30</v>
      </c>
      <c r="I183" s="21" t="s">
        <v>30</v>
      </c>
      <c r="J183" s="21" t="s">
        <v>15</v>
      </c>
      <c r="K183" s="21"/>
      <c r="L183" s="18"/>
      <c r="M183" s="18" t="s">
        <v>460</v>
      </c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>
      <c r="A184" s="21" t="s">
        <v>1198</v>
      </c>
      <c r="B184" s="21" t="s">
        <v>1199</v>
      </c>
      <c r="C184" s="26" t="s">
        <v>998</v>
      </c>
      <c r="D184" s="23">
        <v>45559</v>
      </c>
      <c r="E184" s="21" t="s">
        <v>1200</v>
      </c>
      <c r="F184" s="26" t="s">
        <v>530</v>
      </c>
      <c r="G184" s="21" t="s">
        <v>67</v>
      </c>
      <c r="H184" s="21" t="s">
        <v>30</v>
      </c>
      <c r="I184" s="21" t="s">
        <v>716</v>
      </c>
      <c r="J184" s="21" t="s">
        <v>15</v>
      </c>
      <c r="K184" s="21"/>
      <c r="L184" s="18"/>
      <c r="M184" s="18" t="s">
        <v>483</v>
      </c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>
      <c r="A185" s="21" t="s">
        <v>1201</v>
      </c>
      <c r="B185" s="21" t="s">
        <v>1202</v>
      </c>
      <c r="C185" s="26" t="s">
        <v>431</v>
      </c>
      <c r="D185" s="23">
        <v>45572</v>
      </c>
      <c r="E185" s="21" t="s">
        <v>1203</v>
      </c>
      <c r="F185" s="26" t="s">
        <v>240</v>
      </c>
      <c r="G185" s="21" t="s">
        <v>38</v>
      </c>
      <c r="H185" s="21" t="s">
        <v>30</v>
      </c>
      <c r="I185" s="21" t="s">
        <v>30</v>
      </c>
      <c r="J185" s="21" t="s">
        <v>15</v>
      </c>
      <c r="K185" s="21"/>
      <c r="L185" s="18"/>
      <c r="M185" s="18" t="s">
        <v>931</v>
      </c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>
      <c r="A186" s="21" t="s">
        <v>1208</v>
      </c>
      <c r="B186" s="21" t="s">
        <v>1209</v>
      </c>
      <c r="C186" s="26" t="s">
        <v>1178</v>
      </c>
      <c r="D186" s="23">
        <v>45572</v>
      </c>
      <c r="E186" s="21" t="s">
        <v>1210</v>
      </c>
      <c r="F186" s="26" t="s">
        <v>79</v>
      </c>
      <c r="G186" s="21" t="s">
        <v>46</v>
      </c>
      <c r="H186" s="21" t="s">
        <v>28</v>
      </c>
      <c r="I186" s="21" t="s">
        <v>28</v>
      </c>
      <c r="J186" s="21" t="s">
        <v>31</v>
      </c>
      <c r="K186" s="21"/>
      <c r="L186" s="18"/>
      <c r="M186" s="18" t="s">
        <v>678</v>
      </c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>
      <c r="A187" s="21" t="s">
        <v>1211</v>
      </c>
      <c r="B187" s="21" t="s">
        <v>1212</v>
      </c>
      <c r="C187" s="26" t="s">
        <v>1213</v>
      </c>
      <c r="D187" s="23">
        <v>45575</v>
      </c>
      <c r="E187" s="21" t="s">
        <v>1214</v>
      </c>
      <c r="F187" s="26" t="s">
        <v>325</v>
      </c>
      <c r="G187" s="21" t="s">
        <v>38</v>
      </c>
      <c r="H187" s="21" t="s">
        <v>28</v>
      </c>
      <c r="I187" s="21" t="s">
        <v>28</v>
      </c>
      <c r="J187" s="21" t="s">
        <v>15</v>
      </c>
      <c r="K187" s="21"/>
      <c r="L187" s="18"/>
      <c r="M187" s="18" t="s">
        <v>728</v>
      </c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>
      <c r="A188" s="21" t="s">
        <v>1216</v>
      </c>
      <c r="B188" s="21" t="s">
        <v>1217</v>
      </c>
      <c r="C188" s="26" t="s">
        <v>1218</v>
      </c>
      <c r="D188" s="23">
        <v>45575</v>
      </c>
      <c r="E188" s="21" t="s">
        <v>1219</v>
      </c>
      <c r="F188" s="26" t="s">
        <v>400</v>
      </c>
      <c r="G188" s="21" t="s">
        <v>46</v>
      </c>
      <c r="H188" s="21" t="s">
        <v>30</v>
      </c>
      <c r="I188" s="21" t="s">
        <v>30</v>
      </c>
      <c r="J188" s="21" t="s">
        <v>15</v>
      </c>
      <c r="K188" s="21"/>
      <c r="L188" s="18"/>
      <c r="M188" s="18" t="s">
        <v>1220</v>
      </c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>
      <c r="A189" s="21" t="s">
        <v>1223</v>
      </c>
      <c r="B189" s="21" t="s">
        <v>1224</v>
      </c>
      <c r="C189" s="26" t="s">
        <v>141</v>
      </c>
      <c r="D189" s="23">
        <v>45576</v>
      </c>
      <c r="E189" s="21" t="s">
        <v>1225</v>
      </c>
      <c r="F189" s="26" t="s">
        <v>44</v>
      </c>
      <c r="G189" s="21" t="s">
        <v>149</v>
      </c>
      <c r="H189" s="21" t="s">
        <v>28</v>
      </c>
      <c r="I189" s="21" t="s">
        <v>28</v>
      </c>
      <c r="J189" s="21" t="s">
        <v>31</v>
      </c>
      <c r="K189" s="21"/>
      <c r="L189" s="18"/>
      <c r="M189" s="18" t="s">
        <v>1226</v>
      </c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>
      <c r="A190" s="21" t="s">
        <v>1228</v>
      </c>
      <c r="B190" s="21" t="s">
        <v>1229</v>
      </c>
      <c r="C190" s="26" t="s">
        <v>810</v>
      </c>
      <c r="D190" s="23">
        <v>45580</v>
      </c>
      <c r="E190" s="21" t="s">
        <v>1231</v>
      </c>
      <c r="F190" s="26" t="s">
        <v>158</v>
      </c>
      <c r="G190" s="21" t="s">
        <v>67</v>
      </c>
      <c r="H190" s="21" t="s">
        <v>28</v>
      </c>
      <c r="I190" s="21" t="s">
        <v>28</v>
      </c>
      <c r="J190" s="21" t="s">
        <v>15</v>
      </c>
      <c r="K190" s="21"/>
      <c r="L190" s="18"/>
      <c r="M190" s="18" t="s">
        <v>608</v>
      </c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>
      <c r="A191" s="21" t="s">
        <v>1232</v>
      </c>
      <c r="B191" s="21" t="s">
        <v>1233</v>
      </c>
      <c r="C191" s="26" t="s">
        <v>156</v>
      </c>
      <c r="D191" s="23">
        <v>45580</v>
      </c>
      <c r="E191" s="21" t="s">
        <v>1235</v>
      </c>
      <c r="F191" s="26" t="s">
        <v>885</v>
      </c>
      <c r="G191" s="21" t="s">
        <v>67</v>
      </c>
      <c r="H191" s="21" t="s">
        <v>28</v>
      </c>
      <c r="I191" s="21" t="s">
        <v>28</v>
      </c>
      <c r="J191" s="21" t="s">
        <v>15</v>
      </c>
      <c r="K191" s="21"/>
      <c r="L191" s="18"/>
      <c r="M191" s="18" t="s">
        <v>573</v>
      </c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>
      <c r="A192" s="21" t="s">
        <v>1237</v>
      </c>
      <c r="B192" s="21" t="s">
        <v>1238</v>
      </c>
      <c r="C192" s="26" t="s">
        <v>491</v>
      </c>
      <c r="D192" s="23">
        <v>45582</v>
      </c>
      <c r="E192" s="21" t="s">
        <v>1239</v>
      </c>
      <c r="F192" s="26" t="s">
        <v>248</v>
      </c>
      <c r="G192" s="21" t="s">
        <v>38</v>
      </c>
      <c r="H192" s="21" t="s">
        <v>30</v>
      </c>
      <c r="I192" s="21" t="s">
        <v>30</v>
      </c>
      <c r="J192" s="21" t="s">
        <v>15</v>
      </c>
      <c r="K192" s="21"/>
      <c r="L192" s="18"/>
      <c r="M192" s="18" t="s">
        <v>1240</v>
      </c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>
      <c r="A193" s="21" t="s">
        <v>1243</v>
      </c>
      <c r="B193" s="21" t="s">
        <v>1244</v>
      </c>
      <c r="C193" s="26" t="s">
        <v>1245</v>
      </c>
      <c r="D193" s="23">
        <v>45586</v>
      </c>
      <c r="E193" s="21" t="s">
        <v>1246</v>
      </c>
      <c r="F193" s="26" t="s">
        <v>417</v>
      </c>
      <c r="G193" s="21" t="s">
        <v>38</v>
      </c>
      <c r="H193" s="21" t="s">
        <v>48</v>
      </c>
      <c r="I193" s="21" t="s">
        <v>716</v>
      </c>
      <c r="J193" s="21" t="s">
        <v>15</v>
      </c>
      <c r="K193" s="21"/>
      <c r="L193" s="18"/>
      <c r="M193" s="18" t="s">
        <v>1113</v>
      </c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>
      <c r="A194" s="21" t="s">
        <v>1248</v>
      </c>
      <c r="B194" s="21" t="s">
        <v>1249</v>
      </c>
      <c r="C194" s="26" t="s">
        <v>1218</v>
      </c>
      <c r="D194" s="23">
        <v>45589</v>
      </c>
      <c r="E194" s="21" t="s">
        <v>1250</v>
      </c>
      <c r="F194" s="26" t="s">
        <v>400</v>
      </c>
      <c r="G194" s="21" t="s">
        <v>46</v>
      </c>
      <c r="H194" s="21" t="s">
        <v>28</v>
      </c>
      <c r="I194" s="21" t="s">
        <v>30</v>
      </c>
      <c r="J194" s="21" t="s">
        <v>15</v>
      </c>
      <c r="K194" s="21"/>
      <c r="L194" s="18"/>
      <c r="M194" s="18" t="s">
        <v>1108</v>
      </c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>
      <c r="A195" s="21" t="s">
        <v>1251</v>
      </c>
      <c r="B195" s="21" t="s">
        <v>1252</v>
      </c>
      <c r="C195" s="26" t="s">
        <v>618</v>
      </c>
      <c r="D195" s="23">
        <v>45589</v>
      </c>
      <c r="E195" s="21" t="s">
        <v>1253</v>
      </c>
      <c r="F195" s="26" t="s">
        <v>211</v>
      </c>
      <c r="G195" s="21" t="s">
        <v>67</v>
      </c>
      <c r="H195" s="21" t="s">
        <v>30</v>
      </c>
      <c r="I195" s="21" t="s">
        <v>30</v>
      </c>
      <c r="J195" s="21" t="s">
        <v>15</v>
      </c>
      <c r="K195" s="21"/>
      <c r="L195" s="18"/>
      <c r="M195" s="18" t="s">
        <v>508</v>
      </c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>
      <c r="A196" s="21" t="s">
        <v>1254</v>
      </c>
      <c r="B196" s="21" t="s">
        <v>1255</v>
      </c>
      <c r="C196" s="26" t="s">
        <v>1178</v>
      </c>
      <c r="D196" s="23">
        <v>45590</v>
      </c>
      <c r="E196" s="21" t="s">
        <v>1257</v>
      </c>
      <c r="F196" s="26" t="s">
        <v>669</v>
      </c>
      <c r="G196" s="21" t="s">
        <v>67</v>
      </c>
      <c r="H196" s="21" t="s">
        <v>30</v>
      </c>
      <c r="I196" s="21" t="s">
        <v>28</v>
      </c>
      <c r="J196" s="21" t="s">
        <v>15</v>
      </c>
      <c r="K196" s="21"/>
      <c r="L196" s="18"/>
      <c r="M196" s="18" t="s">
        <v>460</v>
      </c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>
      <c r="A197" s="21" t="s">
        <v>1259</v>
      </c>
      <c r="B197" s="21" t="s">
        <v>1260</v>
      </c>
      <c r="C197" s="26" t="s">
        <v>1261</v>
      </c>
      <c r="D197" s="23">
        <v>45594</v>
      </c>
      <c r="E197" s="21" t="s">
        <v>1262</v>
      </c>
      <c r="F197" s="26" t="s">
        <v>626</v>
      </c>
      <c r="G197" s="21" t="s">
        <v>67</v>
      </c>
      <c r="H197" s="21" t="s">
        <v>97</v>
      </c>
      <c r="I197" s="21" t="s">
        <v>97</v>
      </c>
      <c r="J197" s="21" t="s">
        <v>15</v>
      </c>
      <c r="K197" s="21"/>
      <c r="L197" s="18"/>
      <c r="M197" s="18" t="s">
        <v>223</v>
      </c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>
      <c r="A198" s="21" t="s">
        <v>1263</v>
      </c>
      <c r="B198" s="21" t="s">
        <v>1264</v>
      </c>
      <c r="C198" s="26" t="s">
        <v>1265</v>
      </c>
      <c r="D198" s="23">
        <v>45595</v>
      </c>
      <c r="E198" s="21" t="s">
        <v>1266</v>
      </c>
      <c r="F198" s="26" t="s">
        <v>60</v>
      </c>
      <c r="G198" s="21" t="s">
        <v>149</v>
      </c>
      <c r="H198" s="21" t="s">
        <v>28</v>
      </c>
      <c r="I198" s="21" t="s">
        <v>28</v>
      </c>
      <c r="J198" s="21" t="s">
        <v>15</v>
      </c>
      <c r="K198" s="21"/>
      <c r="L198" s="18"/>
      <c r="M198" s="18" t="s">
        <v>1267</v>
      </c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>
      <c r="A199" s="21" t="s">
        <v>1270</v>
      </c>
      <c r="B199" s="21" t="s">
        <v>1271</v>
      </c>
      <c r="C199" s="26" t="s">
        <v>405</v>
      </c>
      <c r="D199" s="23">
        <v>45595</v>
      </c>
      <c r="E199" s="21" t="s">
        <v>1272</v>
      </c>
      <c r="F199" s="26" t="s">
        <v>120</v>
      </c>
      <c r="G199" s="21" t="s">
        <v>46</v>
      </c>
      <c r="H199" s="21" t="s">
        <v>28</v>
      </c>
      <c r="I199" s="21" t="s">
        <v>28</v>
      </c>
      <c r="J199" s="21" t="s">
        <v>15</v>
      </c>
      <c r="K199" s="21"/>
      <c r="L199" s="18"/>
      <c r="M199" s="18" t="s">
        <v>1273</v>
      </c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>
      <c r="A200" s="21" t="s">
        <v>1276</v>
      </c>
      <c r="B200" s="21" t="s">
        <v>1277</v>
      </c>
      <c r="C200" s="26" t="s">
        <v>1172</v>
      </c>
      <c r="D200" s="23">
        <v>45596</v>
      </c>
      <c r="E200" s="21" t="s">
        <v>1278</v>
      </c>
      <c r="F200" s="26" t="s">
        <v>962</v>
      </c>
      <c r="G200" s="21" t="s">
        <v>67</v>
      </c>
      <c r="H200" s="21" t="s">
        <v>97</v>
      </c>
      <c r="I200" s="21" t="s">
        <v>97</v>
      </c>
      <c r="J200" s="21" t="s">
        <v>15</v>
      </c>
      <c r="K200" s="21"/>
      <c r="L200" s="18"/>
      <c r="M200" s="18" t="s">
        <v>55</v>
      </c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>
      <c r="A201" s="21" t="s">
        <v>1280</v>
      </c>
      <c r="B201" s="21" t="s">
        <v>1281</v>
      </c>
      <c r="C201" s="26" t="s">
        <v>238</v>
      </c>
      <c r="D201" s="23">
        <v>45597</v>
      </c>
      <c r="E201" s="21" t="s">
        <v>1284</v>
      </c>
      <c r="F201" s="26" t="s">
        <v>1125</v>
      </c>
      <c r="G201" s="21" t="s">
        <v>67</v>
      </c>
      <c r="H201" s="21" t="s">
        <v>48</v>
      </c>
      <c r="I201" s="21" t="s">
        <v>30</v>
      </c>
      <c r="J201" s="21" t="s">
        <v>15</v>
      </c>
      <c r="K201" s="21"/>
      <c r="L201" s="18"/>
      <c r="M201" s="18" t="s">
        <v>483</v>
      </c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>
      <c r="A202" s="21" t="s">
        <v>1285</v>
      </c>
      <c r="B202" s="21" t="s">
        <v>1286</v>
      </c>
      <c r="C202" s="26" t="s">
        <v>431</v>
      </c>
      <c r="D202" s="23">
        <v>45601</v>
      </c>
      <c r="E202" s="21" t="s">
        <v>1287</v>
      </c>
      <c r="F202" s="26" t="s">
        <v>143</v>
      </c>
      <c r="G202" s="21" t="s">
        <v>46</v>
      </c>
      <c r="H202" s="21" t="s">
        <v>30</v>
      </c>
      <c r="I202" s="21" t="s">
        <v>30</v>
      </c>
      <c r="J202" s="21" t="s">
        <v>15</v>
      </c>
      <c r="K202" s="21"/>
      <c r="L202" s="18"/>
      <c r="M202" s="18" t="s">
        <v>1191</v>
      </c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>
      <c r="A203" s="21" t="s">
        <v>1288</v>
      </c>
      <c r="B203" s="21" t="s">
        <v>1289</v>
      </c>
      <c r="C203" s="26" t="s">
        <v>638</v>
      </c>
      <c r="D203" s="23">
        <v>45603</v>
      </c>
      <c r="E203" s="21" t="s">
        <v>1290</v>
      </c>
      <c r="F203" s="26" t="s">
        <v>60</v>
      </c>
      <c r="G203" s="21" t="s">
        <v>46</v>
      </c>
      <c r="H203" s="21" t="s">
        <v>28</v>
      </c>
      <c r="I203" s="21" t="s">
        <v>30</v>
      </c>
      <c r="J203" s="21" t="s">
        <v>12</v>
      </c>
      <c r="K203" s="21"/>
      <c r="L203" s="18"/>
      <c r="M203" s="18" t="s">
        <v>1079</v>
      </c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>
      <c r="A204" s="21" t="s">
        <v>1293</v>
      </c>
      <c r="B204" s="21" t="s">
        <v>1294</v>
      </c>
      <c r="C204" s="26" t="s">
        <v>1295</v>
      </c>
      <c r="D204" s="23">
        <v>45603</v>
      </c>
      <c r="E204" s="21" t="s">
        <v>1296</v>
      </c>
      <c r="F204" s="26" t="s">
        <v>26</v>
      </c>
      <c r="G204" s="21" t="s">
        <v>46</v>
      </c>
      <c r="H204" s="21" t="s">
        <v>30</v>
      </c>
      <c r="I204" s="21" t="s">
        <v>30</v>
      </c>
      <c r="J204" s="21" t="s">
        <v>15</v>
      </c>
      <c r="K204" s="21"/>
      <c r="L204" s="18"/>
      <c r="M204" s="18" t="s">
        <v>1143</v>
      </c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>
      <c r="A205" s="21" t="s">
        <v>1299</v>
      </c>
      <c r="B205" s="21" t="s">
        <v>1300</v>
      </c>
      <c r="C205" s="26" t="s">
        <v>101</v>
      </c>
      <c r="D205" s="23">
        <v>45612</v>
      </c>
      <c r="E205" s="21" t="s">
        <v>1301</v>
      </c>
      <c r="F205" s="26" t="s">
        <v>79</v>
      </c>
      <c r="G205" s="21" t="s">
        <v>67</v>
      </c>
      <c r="H205" s="21" t="s">
        <v>28</v>
      </c>
      <c r="I205" s="21" t="s">
        <v>28</v>
      </c>
      <c r="J205" s="21" t="s">
        <v>15</v>
      </c>
      <c r="K205" s="21"/>
      <c r="L205" s="18"/>
      <c r="M205" s="18" t="s">
        <v>384</v>
      </c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>
      <c r="A206" s="21" t="s">
        <v>1302</v>
      </c>
      <c r="B206" s="21" t="s">
        <v>1303</v>
      </c>
      <c r="C206" s="26" t="s">
        <v>1304</v>
      </c>
      <c r="D206" s="23">
        <v>45615</v>
      </c>
      <c r="E206" s="21" t="s">
        <v>1305</v>
      </c>
      <c r="F206" s="26" t="s">
        <v>1137</v>
      </c>
      <c r="G206" s="21" t="s">
        <v>149</v>
      </c>
      <c r="H206" s="21" t="s">
        <v>28</v>
      </c>
      <c r="I206" s="21" t="s">
        <v>28</v>
      </c>
      <c r="J206" s="21" t="s">
        <v>12</v>
      </c>
      <c r="K206" s="21"/>
      <c r="L206" s="18"/>
      <c r="M206" s="18" t="s">
        <v>1306</v>
      </c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>
      <c r="A207" s="21" t="s">
        <v>1307</v>
      </c>
      <c r="B207" s="21" t="s">
        <v>1309</v>
      </c>
      <c r="C207" s="26" t="s">
        <v>313</v>
      </c>
      <c r="D207" s="23">
        <v>45622</v>
      </c>
      <c r="E207" s="21" t="s">
        <v>1311</v>
      </c>
      <c r="F207" s="26" t="s">
        <v>79</v>
      </c>
      <c r="G207" s="21" t="s">
        <v>67</v>
      </c>
      <c r="H207" s="21" t="s">
        <v>28</v>
      </c>
      <c r="I207" s="21" t="s">
        <v>30</v>
      </c>
      <c r="J207" s="21" t="s">
        <v>15</v>
      </c>
      <c r="K207" s="21"/>
      <c r="L207" s="18"/>
      <c r="M207" s="18" t="s">
        <v>55</v>
      </c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>
      <c r="A208" s="21" t="s">
        <v>1313</v>
      </c>
      <c r="B208" s="21" t="s">
        <v>1314</v>
      </c>
      <c r="C208" s="26" t="s">
        <v>695</v>
      </c>
      <c r="D208" s="23">
        <v>45630</v>
      </c>
      <c r="E208" s="21" t="s">
        <v>1316</v>
      </c>
      <c r="F208" s="26" t="s">
        <v>494</v>
      </c>
      <c r="G208" s="21" t="s">
        <v>67</v>
      </c>
      <c r="H208" s="21" t="s">
        <v>28</v>
      </c>
      <c r="I208" s="21" t="s">
        <v>28</v>
      </c>
      <c r="J208" s="21" t="s">
        <v>15</v>
      </c>
      <c r="K208" s="21"/>
      <c r="L208" s="18"/>
      <c r="M208" s="18" t="s">
        <v>536</v>
      </c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>
      <c r="A209" s="21" t="s">
        <v>1318</v>
      </c>
      <c r="B209" s="21" t="s">
        <v>1319</v>
      </c>
      <c r="C209" s="26" t="s">
        <v>107</v>
      </c>
      <c r="D209" s="23">
        <v>45632</v>
      </c>
      <c r="E209" s="21" t="s">
        <v>514</v>
      </c>
      <c r="F209" s="26" t="s">
        <v>417</v>
      </c>
      <c r="G209" s="21" t="s">
        <v>38</v>
      </c>
      <c r="H209" s="21" t="s">
        <v>28</v>
      </c>
      <c r="I209" s="21" t="s">
        <v>28</v>
      </c>
      <c r="J209" s="21" t="s">
        <v>15</v>
      </c>
      <c r="K209" s="21"/>
      <c r="L209" s="18"/>
      <c r="M209" s="18" t="s">
        <v>294</v>
      </c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>
      <c r="A210" s="21" t="s">
        <v>1322</v>
      </c>
      <c r="B210" s="21" t="s">
        <v>1323</v>
      </c>
      <c r="C210" s="26" t="s">
        <v>921</v>
      </c>
      <c r="D210" s="23">
        <v>45632</v>
      </c>
      <c r="E210" s="21" t="s">
        <v>1324</v>
      </c>
      <c r="F210" s="26" t="s">
        <v>1125</v>
      </c>
      <c r="G210" s="21" t="s">
        <v>67</v>
      </c>
      <c r="H210" s="21" t="s">
        <v>28</v>
      </c>
      <c r="I210" s="21" t="s">
        <v>30</v>
      </c>
      <c r="J210" s="21" t="s">
        <v>15</v>
      </c>
      <c r="K210" s="21"/>
      <c r="L210" s="18"/>
      <c r="M210" s="18" t="s">
        <v>647</v>
      </c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>
      <c r="A211" s="21" t="s">
        <v>1325</v>
      </c>
      <c r="B211" s="21" t="s">
        <v>1326</v>
      </c>
      <c r="C211" s="26" t="s">
        <v>1327</v>
      </c>
      <c r="D211" s="23">
        <v>45635</v>
      </c>
      <c r="E211" s="21" t="s">
        <v>1329</v>
      </c>
      <c r="F211" s="26" t="s">
        <v>211</v>
      </c>
      <c r="G211" s="21" t="s">
        <v>38</v>
      </c>
      <c r="H211" s="21" t="s">
        <v>30</v>
      </c>
      <c r="I211" s="21" t="s">
        <v>30</v>
      </c>
      <c r="J211" s="21" t="s">
        <v>15</v>
      </c>
      <c r="K211" s="21"/>
      <c r="L211" s="18"/>
      <c r="M211" s="18" t="s">
        <v>1077</v>
      </c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>
      <c r="A212" s="21" t="s">
        <v>1330</v>
      </c>
      <c r="B212" s="21" t="s">
        <v>1331</v>
      </c>
      <c r="C212" s="21" t="s">
        <v>1165</v>
      </c>
      <c r="D212" s="23">
        <v>45635</v>
      </c>
      <c r="E212" s="21" t="s">
        <v>1332</v>
      </c>
      <c r="F212" s="26" t="s">
        <v>1333</v>
      </c>
      <c r="G212" s="21" t="s">
        <v>67</v>
      </c>
      <c r="H212" s="21" t="s">
        <v>48</v>
      </c>
      <c r="I212" s="21" t="s">
        <v>48</v>
      </c>
      <c r="J212" s="21" t="s">
        <v>15</v>
      </c>
      <c r="K212" s="21"/>
      <c r="L212" s="18"/>
      <c r="M212" s="18" t="s">
        <v>138</v>
      </c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>
      <c r="A213" s="21" t="s">
        <v>1336</v>
      </c>
      <c r="B213" s="21" t="s">
        <v>1337</v>
      </c>
      <c r="C213" s="26" t="s">
        <v>1338</v>
      </c>
      <c r="D213" s="23">
        <v>45636</v>
      </c>
      <c r="E213" s="21" t="s">
        <v>1339</v>
      </c>
      <c r="F213" s="26" t="s">
        <v>1167</v>
      </c>
      <c r="G213" s="21" t="s">
        <v>38</v>
      </c>
      <c r="H213" s="21" t="s">
        <v>97</v>
      </c>
      <c r="I213" s="21" t="s">
        <v>28</v>
      </c>
      <c r="J213" s="21" t="s">
        <v>15</v>
      </c>
      <c r="K213" s="21"/>
      <c r="L213" s="18"/>
      <c r="M213" s="18" t="s">
        <v>1101</v>
      </c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>
      <c r="A214" s="21" t="s">
        <v>1342</v>
      </c>
      <c r="B214" s="21" t="s">
        <v>1343</v>
      </c>
      <c r="C214" s="26" t="s">
        <v>238</v>
      </c>
      <c r="D214" s="23">
        <v>45644</v>
      </c>
      <c r="E214" s="21" t="s">
        <v>1344</v>
      </c>
      <c r="F214" s="26" t="s">
        <v>962</v>
      </c>
      <c r="G214" s="21" t="s">
        <v>67</v>
      </c>
      <c r="H214" s="21" t="s">
        <v>30</v>
      </c>
      <c r="I214" s="21" t="s">
        <v>30</v>
      </c>
      <c r="J214" s="21" t="s">
        <v>15</v>
      </c>
      <c r="K214" s="21"/>
      <c r="L214" s="18"/>
      <c r="M214" s="18" t="s">
        <v>632</v>
      </c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>
      <c r="A215" s="21" t="s">
        <v>1345</v>
      </c>
      <c r="B215" s="21" t="s">
        <v>1346</v>
      </c>
      <c r="C215" s="26" t="s">
        <v>1310</v>
      </c>
      <c r="D215" s="23">
        <v>45644</v>
      </c>
      <c r="E215" s="21" t="s">
        <v>1347</v>
      </c>
      <c r="F215" s="26" t="s">
        <v>180</v>
      </c>
      <c r="G215" s="21" t="s">
        <v>67</v>
      </c>
      <c r="H215" s="21" t="s">
        <v>28</v>
      </c>
      <c r="I215" s="21" t="s">
        <v>28</v>
      </c>
      <c r="J215" s="21" t="s">
        <v>15</v>
      </c>
      <c r="K215" s="21"/>
      <c r="L215" s="18"/>
      <c r="M215" s="18" t="s">
        <v>376</v>
      </c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>
      <c r="A216" s="21" t="s">
        <v>1349</v>
      </c>
      <c r="B216" s="21" t="s">
        <v>1350</v>
      </c>
      <c r="C216" s="26" t="s">
        <v>196</v>
      </c>
      <c r="D216" s="23">
        <v>45656</v>
      </c>
      <c r="E216" s="21" t="s">
        <v>1352</v>
      </c>
      <c r="F216" s="26" t="s">
        <v>84</v>
      </c>
      <c r="G216" s="21" t="s">
        <v>46</v>
      </c>
      <c r="H216" s="21" t="s">
        <v>28</v>
      </c>
      <c r="I216" s="21" t="s">
        <v>28</v>
      </c>
      <c r="J216" s="21" t="s">
        <v>15</v>
      </c>
      <c r="K216" s="21"/>
      <c r="L216" s="18"/>
      <c r="M216" s="18" t="s">
        <v>1354</v>
      </c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>
      <c r="A217" s="21" t="s">
        <v>1356</v>
      </c>
      <c r="B217" s="21" t="s">
        <v>1357</v>
      </c>
      <c r="C217" s="26" t="s">
        <v>491</v>
      </c>
      <c r="D217" s="23">
        <v>45656</v>
      </c>
      <c r="E217" s="21" t="s">
        <v>1358</v>
      </c>
      <c r="F217" s="26" t="s">
        <v>248</v>
      </c>
      <c r="G217" s="21" t="s">
        <v>38</v>
      </c>
      <c r="H217" s="21" t="s">
        <v>28</v>
      </c>
      <c r="I217" s="21" t="s">
        <v>30</v>
      </c>
      <c r="J217" s="21" t="s">
        <v>15</v>
      </c>
      <c r="K217" s="21"/>
      <c r="L217" s="18"/>
      <c r="M217" s="18" t="s">
        <v>1240</v>
      </c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>
      <c r="A218" s="21" t="s">
        <v>1359</v>
      </c>
      <c r="B218" s="21" t="s">
        <v>1360</v>
      </c>
      <c r="C218" s="26" t="s">
        <v>1361</v>
      </c>
      <c r="D218" s="23">
        <v>45660</v>
      </c>
      <c r="E218" s="21" t="s">
        <v>1362</v>
      </c>
      <c r="F218" s="26" t="s">
        <v>36</v>
      </c>
      <c r="G218" s="21" t="s">
        <v>38</v>
      </c>
      <c r="H218" s="21" t="s">
        <v>30</v>
      </c>
      <c r="I218" s="21" t="s">
        <v>30</v>
      </c>
      <c r="J218" s="21" t="s">
        <v>15</v>
      </c>
      <c r="K218" s="21"/>
      <c r="L218" s="18"/>
      <c r="M218" s="18" t="s">
        <v>1182</v>
      </c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>
      <c r="A219" s="21" t="s">
        <v>1366</v>
      </c>
      <c r="B219" s="21" t="s">
        <v>1367</v>
      </c>
      <c r="C219" s="26" t="s">
        <v>313</v>
      </c>
      <c r="D219" s="23">
        <v>45661</v>
      </c>
      <c r="E219" s="21" t="s">
        <v>1368</v>
      </c>
      <c r="F219" s="26" t="s">
        <v>148</v>
      </c>
      <c r="G219" s="21" t="s">
        <v>46</v>
      </c>
      <c r="H219" s="21" t="s">
        <v>28</v>
      </c>
      <c r="I219" s="21" t="s">
        <v>30</v>
      </c>
      <c r="J219" s="21" t="s">
        <v>15</v>
      </c>
      <c r="K219" s="21"/>
      <c r="L219" s="18"/>
      <c r="M219" s="18" t="s">
        <v>1273</v>
      </c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>
      <c r="A220" s="21" t="s">
        <v>1371</v>
      </c>
      <c r="B220" s="21" t="s">
        <v>1372</v>
      </c>
      <c r="C220" s="26" t="s">
        <v>676</v>
      </c>
      <c r="D220" s="23">
        <v>45661</v>
      </c>
      <c r="E220" s="21" t="s">
        <v>1373</v>
      </c>
      <c r="F220" s="26" t="s">
        <v>494</v>
      </c>
      <c r="G220" s="21" t="s">
        <v>67</v>
      </c>
      <c r="H220" s="21" t="s">
        <v>28</v>
      </c>
      <c r="I220" s="21" t="s">
        <v>28</v>
      </c>
      <c r="J220" s="21" t="s">
        <v>15</v>
      </c>
      <c r="K220" s="21"/>
      <c r="L220" s="18"/>
      <c r="M220" s="18" t="s">
        <v>596</v>
      </c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>
      <c r="A221" s="21" t="s">
        <v>1376</v>
      </c>
      <c r="B221" s="21" t="s">
        <v>1377</v>
      </c>
      <c r="C221" s="26" t="s">
        <v>810</v>
      </c>
      <c r="D221" s="23">
        <v>45665</v>
      </c>
      <c r="E221" s="21" t="s">
        <v>1379</v>
      </c>
      <c r="F221" s="26" t="s">
        <v>417</v>
      </c>
      <c r="G221" s="21" t="s">
        <v>67</v>
      </c>
      <c r="H221" s="21" t="s">
        <v>28</v>
      </c>
      <c r="I221" s="21" t="s">
        <v>28</v>
      </c>
      <c r="J221" s="21" t="s">
        <v>15</v>
      </c>
      <c r="K221" s="21"/>
      <c r="L221" s="18"/>
      <c r="M221" s="18" t="s">
        <v>460</v>
      </c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spans="1:27">
      <c r="A222" s="21" t="s">
        <v>1381</v>
      </c>
      <c r="B222" s="21" t="s">
        <v>1382</v>
      </c>
      <c r="C222" s="26" t="s">
        <v>215</v>
      </c>
      <c r="D222" s="23">
        <v>45665</v>
      </c>
      <c r="E222" s="21" t="s">
        <v>1383</v>
      </c>
      <c r="F222" s="26" t="s">
        <v>169</v>
      </c>
      <c r="G222" s="21" t="s">
        <v>38</v>
      </c>
      <c r="H222" s="21" t="s">
        <v>28</v>
      </c>
      <c r="I222" s="21" t="s">
        <v>28</v>
      </c>
      <c r="J222" s="21" t="s">
        <v>15</v>
      </c>
      <c r="K222" s="21"/>
      <c r="L222" s="18"/>
      <c r="M222" s="18" t="s">
        <v>1258</v>
      </c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spans="1:27">
      <c r="A223" s="21" t="s">
        <v>1384</v>
      </c>
      <c r="B223" s="21" t="s">
        <v>1385</v>
      </c>
      <c r="C223" s="26" t="s">
        <v>123</v>
      </c>
      <c r="D223" s="23">
        <v>45677</v>
      </c>
      <c r="E223" s="21" t="s">
        <v>1386</v>
      </c>
      <c r="F223" s="26" t="s">
        <v>1125</v>
      </c>
      <c r="G223" s="21" t="s">
        <v>67</v>
      </c>
      <c r="H223" s="21" t="s">
        <v>28</v>
      </c>
      <c r="I223" s="21" t="s">
        <v>30</v>
      </c>
      <c r="J223" s="21" t="s">
        <v>15</v>
      </c>
      <c r="K223" s="21"/>
      <c r="L223" s="18"/>
      <c r="M223" s="18" t="s">
        <v>483</v>
      </c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spans="1:27">
      <c r="A224" s="21" t="s">
        <v>1389</v>
      </c>
      <c r="B224" s="21" t="s">
        <v>1390</v>
      </c>
      <c r="C224" s="26" t="s">
        <v>1304</v>
      </c>
      <c r="D224" s="23">
        <v>45677</v>
      </c>
      <c r="E224" s="21" t="s">
        <v>1392</v>
      </c>
      <c r="F224" s="26" t="s">
        <v>148</v>
      </c>
      <c r="G224" s="21" t="s">
        <v>67</v>
      </c>
      <c r="H224" s="21" t="s">
        <v>28</v>
      </c>
      <c r="I224" s="21" t="s">
        <v>28</v>
      </c>
      <c r="J224" s="21" t="s">
        <v>15</v>
      </c>
      <c r="K224" s="21"/>
      <c r="L224" s="18"/>
      <c r="M224" s="18" t="s">
        <v>622</v>
      </c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spans="1:27">
      <c r="A225" s="21" t="s">
        <v>1393</v>
      </c>
      <c r="B225" s="21" t="s">
        <v>1394</v>
      </c>
      <c r="C225" s="26" t="s">
        <v>558</v>
      </c>
      <c r="D225" s="23">
        <v>45677</v>
      </c>
      <c r="E225" s="21" t="s">
        <v>1395</v>
      </c>
      <c r="F225" s="26" t="s">
        <v>180</v>
      </c>
      <c r="G225" s="21" t="s">
        <v>90</v>
      </c>
      <c r="H225" s="21" t="s">
        <v>30</v>
      </c>
      <c r="I225" s="21" t="s">
        <v>30</v>
      </c>
      <c r="J225" s="21" t="s">
        <v>31</v>
      </c>
      <c r="K225" s="21"/>
      <c r="L225" s="18"/>
      <c r="M225" s="18" t="s">
        <v>1396</v>
      </c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spans="1:27">
      <c r="A226" s="21" t="s">
        <v>1399</v>
      </c>
      <c r="B226" s="21" t="s">
        <v>1400</v>
      </c>
      <c r="C226" s="26" t="s">
        <v>1310</v>
      </c>
      <c r="D226" s="23">
        <v>45678</v>
      </c>
      <c r="E226" s="21" t="s">
        <v>1401</v>
      </c>
      <c r="F226" s="26" t="s">
        <v>669</v>
      </c>
      <c r="G226" s="21" t="s">
        <v>67</v>
      </c>
      <c r="H226" s="21" t="s">
        <v>28</v>
      </c>
      <c r="I226" s="21" t="s">
        <v>28</v>
      </c>
      <c r="J226" s="21" t="s">
        <v>15</v>
      </c>
      <c r="K226" s="21"/>
      <c r="L226" s="18"/>
      <c r="M226" s="18" t="s">
        <v>647</v>
      </c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spans="1:27">
      <c r="A227" s="21" t="s">
        <v>1403</v>
      </c>
      <c r="B227" s="21" t="s">
        <v>1405</v>
      </c>
      <c r="C227" s="26" t="s">
        <v>1245</v>
      </c>
      <c r="D227" s="23">
        <v>45681</v>
      </c>
      <c r="E227" s="21" t="s">
        <v>1408</v>
      </c>
      <c r="F227" s="26" t="s">
        <v>143</v>
      </c>
      <c r="G227" s="21" t="s">
        <v>90</v>
      </c>
      <c r="H227" s="21" t="s">
        <v>48</v>
      </c>
      <c r="I227" s="21" t="s">
        <v>716</v>
      </c>
      <c r="J227" s="21" t="s">
        <v>12</v>
      </c>
      <c r="K227" s="21"/>
      <c r="L227" s="18"/>
      <c r="M227" s="18" t="s">
        <v>1409</v>
      </c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spans="1:27">
      <c r="A228" s="21" t="s">
        <v>1410</v>
      </c>
      <c r="B228" s="21" t="s">
        <v>1411</v>
      </c>
      <c r="C228" s="26" t="s">
        <v>618</v>
      </c>
      <c r="D228" s="23">
        <v>45681</v>
      </c>
      <c r="E228" s="21" t="s">
        <v>1412</v>
      </c>
      <c r="F228" s="26" t="s">
        <v>1333</v>
      </c>
      <c r="G228" s="21" t="s">
        <v>67</v>
      </c>
      <c r="H228" s="21" t="s">
        <v>30</v>
      </c>
      <c r="I228" s="21" t="s">
        <v>30</v>
      </c>
      <c r="J228" s="21" t="s">
        <v>15</v>
      </c>
      <c r="K228" s="21"/>
      <c r="L228" s="18"/>
      <c r="M228" s="18" t="s">
        <v>573</v>
      </c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spans="1:27">
      <c r="A229" s="21" t="s">
        <v>1415</v>
      </c>
      <c r="B229" s="21" t="s">
        <v>1416</v>
      </c>
      <c r="C229" s="21" t="s">
        <v>1045</v>
      </c>
      <c r="D229" s="23">
        <v>45688</v>
      </c>
      <c r="E229" s="21" t="s">
        <v>1417</v>
      </c>
      <c r="F229" s="26" t="s">
        <v>315</v>
      </c>
      <c r="G229" s="21" t="s">
        <v>67</v>
      </c>
      <c r="H229" s="21" t="s">
        <v>28</v>
      </c>
      <c r="I229" s="21" t="s">
        <v>30</v>
      </c>
      <c r="J229" s="21" t="s">
        <v>15</v>
      </c>
      <c r="K229" s="21"/>
      <c r="L229" s="18"/>
      <c r="M229" s="18" t="s">
        <v>384</v>
      </c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spans="1:27">
      <c r="A230" s="21" t="s">
        <v>1421</v>
      </c>
      <c r="B230" s="21" t="s">
        <v>1422</v>
      </c>
      <c r="C230" s="26" t="s">
        <v>618</v>
      </c>
      <c r="D230" s="23">
        <v>45694</v>
      </c>
      <c r="E230" s="21" t="s">
        <v>1423</v>
      </c>
      <c r="F230" s="26" t="s">
        <v>626</v>
      </c>
      <c r="G230" s="21" t="s">
        <v>67</v>
      </c>
      <c r="H230" s="21" t="s">
        <v>30</v>
      </c>
      <c r="I230" s="21" t="s">
        <v>30</v>
      </c>
      <c r="J230" s="21" t="s">
        <v>15</v>
      </c>
      <c r="K230" s="21"/>
      <c r="L230" s="18"/>
      <c r="M230" s="18" t="s">
        <v>596</v>
      </c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spans="1:27">
      <c r="A231" s="21" t="s">
        <v>1425</v>
      </c>
      <c r="B231" s="21" t="s">
        <v>1426</v>
      </c>
      <c r="C231" s="26" t="s">
        <v>141</v>
      </c>
      <c r="D231" s="23">
        <v>45695</v>
      </c>
      <c r="E231" s="21" t="s">
        <v>1427</v>
      </c>
      <c r="F231" s="26" t="s">
        <v>1167</v>
      </c>
      <c r="G231" s="21" t="s">
        <v>67</v>
      </c>
      <c r="H231" s="21" t="s">
        <v>28</v>
      </c>
      <c r="I231" s="21" t="s">
        <v>28</v>
      </c>
      <c r="J231" s="21" t="s">
        <v>15</v>
      </c>
      <c r="K231" s="21"/>
      <c r="L231" s="18"/>
      <c r="M231" s="18" t="s">
        <v>632</v>
      </c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spans="1:27">
      <c r="A232" s="21" t="s">
        <v>1431</v>
      </c>
      <c r="B232" s="21" t="s">
        <v>1433</v>
      </c>
      <c r="C232" s="26" t="s">
        <v>895</v>
      </c>
      <c r="D232" s="23">
        <v>45695</v>
      </c>
      <c r="E232" s="21" t="s">
        <v>1434</v>
      </c>
      <c r="F232" s="26" t="s">
        <v>385</v>
      </c>
      <c r="G232" s="21" t="s">
        <v>46</v>
      </c>
      <c r="H232" s="21" t="s">
        <v>28</v>
      </c>
      <c r="I232" s="21" t="s">
        <v>28</v>
      </c>
      <c r="J232" s="21" t="s">
        <v>15</v>
      </c>
      <c r="K232" s="21"/>
      <c r="L232" s="18"/>
      <c r="M232" s="18" t="s">
        <v>1108</v>
      </c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spans="1:27">
      <c r="A233" s="26" t="s">
        <v>1437</v>
      </c>
      <c r="B233" s="21" t="s">
        <v>1438</v>
      </c>
      <c r="C233" s="26" t="s">
        <v>1439</v>
      </c>
      <c r="D233" s="23">
        <v>45698</v>
      </c>
      <c r="E233" s="21" t="s">
        <v>1440</v>
      </c>
      <c r="F233" s="26" t="s">
        <v>143</v>
      </c>
      <c r="G233" s="21" t="s">
        <v>46</v>
      </c>
      <c r="H233" s="21" t="s">
        <v>30</v>
      </c>
      <c r="I233" s="21" t="s">
        <v>48</v>
      </c>
      <c r="J233" s="21" t="s">
        <v>15</v>
      </c>
      <c r="K233" s="21"/>
      <c r="L233" s="18"/>
      <c r="M233" s="18" t="s">
        <v>1273</v>
      </c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spans="1:27">
      <c r="A234" s="21" t="s">
        <v>1443</v>
      </c>
      <c r="B234" s="21" t="s">
        <v>1444</v>
      </c>
      <c r="C234" s="26" t="s">
        <v>167</v>
      </c>
      <c r="D234" s="23">
        <v>45698</v>
      </c>
      <c r="E234" s="21" t="s">
        <v>1446</v>
      </c>
      <c r="F234" s="26" t="s">
        <v>191</v>
      </c>
      <c r="G234" s="21" t="s">
        <v>67</v>
      </c>
      <c r="H234" s="21" t="s">
        <v>28</v>
      </c>
      <c r="I234" s="21" t="s">
        <v>28</v>
      </c>
      <c r="J234" s="21" t="s">
        <v>15</v>
      </c>
      <c r="K234" s="21"/>
      <c r="L234" s="18"/>
      <c r="M234" s="18" t="s">
        <v>407</v>
      </c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spans="1:27">
      <c r="A235" s="21" t="s">
        <v>1447</v>
      </c>
      <c r="B235" s="21" t="s">
        <v>1448</v>
      </c>
      <c r="C235" s="26" t="s">
        <v>748</v>
      </c>
      <c r="D235" s="23">
        <v>45699</v>
      </c>
      <c r="E235" s="21" t="s">
        <v>1450</v>
      </c>
      <c r="F235" s="26" t="s">
        <v>95</v>
      </c>
      <c r="G235" s="21" t="s">
        <v>67</v>
      </c>
      <c r="H235" s="21" t="s">
        <v>28</v>
      </c>
      <c r="I235" s="21" t="s">
        <v>28</v>
      </c>
      <c r="J235" s="21" t="s">
        <v>15</v>
      </c>
      <c r="K235" s="21"/>
      <c r="L235" s="18"/>
      <c r="M235" s="18" t="s">
        <v>55</v>
      </c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spans="1:27">
      <c r="A236" s="21" t="s">
        <v>1453</v>
      </c>
      <c r="B236" s="21" t="s">
        <v>1454</v>
      </c>
      <c r="C236" s="26" t="s">
        <v>1455</v>
      </c>
      <c r="D236" s="23">
        <v>45700</v>
      </c>
      <c r="E236" s="21" t="s">
        <v>1456</v>
      </c>
      <c r="F236" s="26" t="s">
        <v>136</v>
      </c>
      <c r="G236" s="21" t="s">
        <v>46</v>
      </c>
      <c r="H236" s="21" t="s">
        <v>30</v>
      </c>
      <c r="I236" s="21" t="s">
        <v>28</v>
      </c>
      <c r="J236" s="21" t="s">
        <v>15</v>
      </c>
      <c r="K236" s="21"/>
      <c r="L236" s="18"/>
      <c r="M236" s="18" t="s">
        <v>1459</v>
      </c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spans="1:27">
      <c r="A237" s="21" t="s">
        <v>1461</v>
      </c>
      <c r="B237" s="21" t="s">
        <v>1462</v>
      </c>
      <c r="C237" s="26" t="s">
        <v>1463</v>
      </c>
      <c r="D237" s="23">
        <v>45706</v>
      </c>
      <c r="E237" s="21" t="s">
        <v>1464</v>
      </c>
      <c r="F237" s="26" t="s">
        <v>60</v>
      </c>
      <c r="G237" s="21" t="s">
        <v>38</v>
      </c>
      <c r="H237" s="21" t="s">
        <v>28</v>
      </c>
      <c r="I237" s="21" t="s">
        <v>28</v>
      </c>
      <c r="J237" s="21" t="s">
        <v>15</v>
      </c>
      <c r="K237" s="21"/>
      <c r="L237" s="18"/>
      <c r="M237" s="18" t="s">
        <v>836</v>
      </c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spans="1:27">
      <c r="A238" s="21" t="s">
        <v>1468</v>
      </c>
      <c r="B238" s="21" t="s">
        <v>1469</v>
      </c>
      <c r="C238" s="26" t="s">
        <v>1304</v>
      </c>
      <c r="D238" s="23">
        <v>45707</v>
      </c>
      <c r="E238" s="21" t="s">
        <v>1470</v>
      </c>
      <c r="F238" s="26" t="s">
        <v>136</v>
      </c>
      <c r="G238" s="21" t="s">
        <v>46</v>
      </c>
      <c r="H238" s="21" t="s">
        <v>30</v>
      </c>
      <c r="I238" s="21" t="s">
        <v>28</v>
      </c>
      <c r="J238" s="21" t="s">
        <v>15</v>
      </c>
      <c r="K238" s="21"/>
      <c r="L238" s="18"/>
      <c r="M238" s="18" t="s">
        <v>1459</v>
      </c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spans="1:27">
      <c r="A239" s="21" t="s">
        <v>1471</v>
      </c>
      <c r="B239" s="21" t="s">
        <v>1472</v>
      </c>
      <c r="C239" s="26" t="s">
        <v>1295</v>
      </c>
      <c r="D239" s="23">
        <v>45709</v>
      </c>
      <c r="E239" s="21" t="s">
        <v>1473</v>
      </c>
      <c r="F239" s="26" t="s">
        <v>1125</v>
      </c>
      <c r="G239" s="21" t="s">
        <v>38</v>
      </c>
      <c r="H239" s="21" t="s">
        <v>30</v>
      </c>
      <c r="I239" s="21" t="s">
        <v>30</v>
      </c>
      <c r="J239" s="21" t="s">
        <v>15</v>
      </c>
      <c r="K239" s="21"/>
      <c r="L239" s="18"/>
      <c r="M239" s="18" t="s">
        <v>1113</v>
      </c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spans="1:27">
      <c r="A240" s="21" t="s">
        <v>1477</v>
      </c>
      <c r="B240" s="21" t="s">
        <v>1478</v>
      </c>
      <c r="C240" s="26" t="s">
        <v>238</v>
      </c>
      <c r="D240" s="23">
        <v>45713</v>
      </c>
      <c r="E240" s="21" t="s">
        <v>1479</v>
      </c>
      <c r="F240" s="26" t="s">
        <v>1333</v>
      </c>
      <c r="G240" s="21" t="s">
        <v>67</v>
      </c>
      <c r="H240" s="21" t="s">
        <v>30</v>
      </c>
      <c r="I240" s="21" t="s">
        <v>30</v>
      </c>
      <c r="J240" s="21" t="s">
        <v>15</v>
      </c>
      <c r="K240" s="21"/>
      <c r="L240" s="18"/>
      <c r="M240" s="18" t="s">
        <v>573</v>
      </c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spans="1:27">
      <c r="A241" s="21" t="s">
        <v>1481</v>
      </c>
      <c r="B241" s="21" t="s">
        <v>1482</v>
      </c>
      <c r="C241" s="26" t="s">
        <v>1406</v>
      </c>
      <c r="D241" s="23">
        <v>45715</v>
      </c>
      <c r="E241" s="21" t="s">
        <v>1484</v>
      </c>
      <c r="F241" s="26" t="s">
        <v>1486</v>
      </c>
      <c r="G241" s="21" t="s">
        <v>38</v>
      </c>
      <c r="H241" s="21" t="s">
        <v>28</v>
      </c>
      <c r="I241" s="21" t="s">
        <v>28</v>
      </c>
      <c r="J241" s="21" t="s">
        <v>15</v>
      </c>
      <c r="K241" s="21"/>
      <c r="L241" s="18"/>
      <c r="M241" s="18" t="s">
        <v>1038</v>
      </c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spans="1:27">
      <c r="A242" s="21" t="s">
        <v>1488</v>
      </c>
      <c r="B242" s="21" t="s">
        <v>1490</v>
      </c>
      <c r="C242" s="26" t="s">
        <v>1245</v>
      </c>
      <c r="D242" s="23">
        <v>45722</v>
      </c>
      <c r="E242" s="21" t="s">
        <v>1492</v>
      </c>
      <c r="F242" s="26" t="s">
        <v>180</v>
      </c>
      <c r="G242" s="21" t="s">
        <v>67</v>
      </c>
      <c r="H242" s="21" t="s">
        <v>28</v>
      </c>
      <c r="I242" s="21" t="s">
        <v>716</v>
      </c>
      <c r="J242" s="21" t="s">
        <v>15</v>
      </c>
      <c r="K242" s="21"/>
      <c r="L242" s="18"/>
      <c r="M242" s="18" t="s">
        <v>483</v>
      </c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spans="1:27">
      <c r="A243" s="21"/>
      <c r="B243" s="21"/>
      <c r="C243" s="21"/>
      <c r="D243" s="23"/>
      <c r="E243" s="21"/>
      <c r="F243" s="21"/>
      <c r="G243" s="21"/>
      <c r="H243" s="21"/>
      <c r="I243" s="21"/>
      <c r="J243" s="21"/>
      <c r="K243" s="21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spans="1:27">
      <c r="A244" s="21" t="s">
        <v>1496</v>
      </c>
      <c r="B244" s="21" t="s">
        <v>1498</v>
      </c>
      <c r="C244" s="26" t="s">
        <v>1419</v>
      </c>
      <c r="D244" s="23">
        <v>45728</v>
      </c>
      <c r="E244" s="21" t="s">
        <v>1499</v>
      </c>
      <c r="F244" s="26" t="s">
        <v>400</v>
      </c>
      <c r="G244" s="21" t="s">
        <v>46</v>
      </c>
      <c r="H244" s="21" t="s">
        <v>28</v>
      </c>
      <c r="I244" s="21" t="s">
        <v>30</v>
      </c>
      <c r="J244" s="21" t="s">
        <v>15</v>
      </c>
      <c r="K244" s="21"/>
      <c r="L244" s="18"/>
      <c r="M244" s="18" t="s">
        <v>1191</v>
      </c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spans="1:27">
      <c r="A245" s="21" t="s">
        <v>1501</v>
      </c>
      <c r="B245" s="21" t="s">
        <v>1502</v>
      </c>
      <c r="C245" s="26" t="s">
        <v>1463</v>
      </c>
      <c r="D245" s="23">
        <v>45729</v>
      </c>
      <c r="E245" s="21" t="s">
        <v>1504</v>
      </c>
      <c r="F245" s="26" t="s">
        <v>626</v>
      </c>
      <c r="G245" s="21" t="s">
        <v>67</v>
      </c>
      <c r="H245" s="21" t="s">
        <v>30</v>
      </c>
      <c r="I245" s="21" t="s">
        <v>28</v>
      </c>
      <c r="J245" s="21" t="s">
        <v>15</v>
      </c>
      <c r="K245" s="21"/>
      <c r="L245" s="18"/>
      <c r="M245" s="18" t="s">
        <v>632</v>
      </c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spans="1:27">
      <c r="A246" s="21" t="s">
        <v>1505</v>
      </c>
      <c r="B246" s="21" t="s">
        <v>1506</v>
      </c>
      <c r="C246" s="26" t="s">
        <v>1507</v>
      </c>
      <c r="D246" s="23">
        <v>45729</v>
      </c>
      <c r="E246" s="21" t="s">
        <v>1509</v>
      </c>
      <c r="F246" s="26" t="s">
        <v>885</v>
      </c>
      <c r="G246" s="21" t="s">
        <v>67</v>
      </c>
      <c r="H246" s="21" t="s">
        <v>30</v>
      </c>
      <c r="I246" s="21" t="s">
        <v>30</v>
      </c>
      <c r="J246" s="21" t="s">
        <v>15</v>
      </c>
      <c r="K246" s="21"/>
      <c r="L246" s="18"/>
      <c r="M246" s="18" t="s">
        <v>573</v>
      </c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spans="1:27">
      <c r="A247" s="21" t="s">
        <v>1511</v>
      </c>
      <c r="B247" s="21" t="s">
        <v>1512</v>
      </c>
      <c r="C247" s="26" t="s">
        <v>405</v>
      </c>
      <c r="D247" s="23">
        <v>45733</v>
      </c>
      <c r="E247" s="21" t="s">
        <v>1513</v>
      </c>
      <c r="F247" s="26" t="s">
        <v>95</v>
      </c>
      <c r="G247" s="21" t="s">
        <v>46</v>
      </c>
      <c r="H247" s="21" t="s">
        <v>28</v>
      </c>
      <c r="I247" s="21" t="s">
        <v>28</v>
      </c>
      <c r="J247" s="21" t="s">
        <v>15</v>
      </c>
      <c r="K247" s="21"/>
      <c r="L247" s="18"/>
      <c r="M247" s="18" t="s">
        <v>1353</v>
      </c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spans="1:27">
      <c r="A248" s="21" t="s">
        <v>1516</v>
      </c>
      <c r="B248" s="21" t="s">
        <v>1517</v>
      </c>
      <c r="C248" s="26" t="s">
        <v>1406</v>
      </c>
      <c r="D248" s="23">
        <v>45736</v>
      </c>
      <c r="E248" s="21" t="s">
        <v>1518</v>
      </c>
      <c r="F248" s="26" t="s">
        <v>136</v>
      </c>
      <c r="G248" s="21" t="s">
        <v>46</v>
      </c>
      <c r="H248" s="21" t="s">
        <v>28</v>
      </c>
      <c r="I248" s="21" t="s">
        <v>28</v>
      </c>
      <c r="J248" s="21" t="s">
        <v>15</v>
      </c>
      <c r="K248" s="21"/>
      <c r="L248" s="18"/>
      <c r="M248" s="18" t="s">
        <v>1191</v>
      </c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spans="1:27">
      <c r="A249" s="21" t="s">
        <v>1523</v>
      </c>
      <c r="B249" s="21" t="s">
        <v>1524</v>
      </c>
      <c r="C249" s="26" t="s">
        <v>1178</v>
      </c>
      <c r="D249" s="23">
        <v>45741</v>
      </c>
      <c r="E249" s="21" t="s">
        <v>1525</v>
      </c>
      <c r="F249" s="26" t="s">
        <v>417</v>
      </c>
      <c r="G249" s="21" t="s">
        <v>67</v>
      </c>
      <c r="H249" s="21" t="s">
        <v>28</v>
      </c>
      <c r="I249" s="21" t="s">
        <v>28</v>
      </c>
      <c r="J249" s="21" t="s">
        <v>15</v>
      </c>
      <c r="K249" s="21"/>
      <c r="L249" s="18"/>
      <c r="M249" s="18" t="s">
        <v>223</v>
      </c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spans="1:27">
      <c r="A250" s="21" t="s">
        <v>1529</v>
      </c>
      <c r="B250" s="21" t="s">
        <v>1530</v>
      </c>
      <c r="C250" s="26" t="s">
        <v>1218</v>
      </c>
      <c r="D250" s="23">
        <v>45745</v>
      </c>
      <c r="E250" s="21" t="s">
        <v>1532</v>
      </c>
      <c r="F250" s="26" t="s">
        <v>114</v>
      </c>
      <c r="G250" s="21" t="s">
        <v>149</v>
      </c>
      <c r="H250" s="21" t="s">
        <v>28</v>
      </c>
      <c r="I250" s="21" t="s">
        <v>30</v>
      </c>
      <c r="J250" s="21" t="s">
        <v>15</v>
      </c>
      <c r="K250" s="21"/>
      <c r="L250" s="18"/>
      <c r="M250" s="18" t="s">
        <v>1267</v>
      </c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spans="1:27">
      <c r="A251" s="21" t="s">
        <v>1534</v>
      </c>
      <c r="B251" s="21" t="s">
        <v>1535</v>
      </c>
      <c r="C251" s="26" t="s">
        <v>156</v>
      </c>
      <c r="D251" s="23">
        <v>45745</v>
      </c>
      <c r="E251" s="21" t="s">
        <v>1536</v>
      </c>
      <c r="F251" s="26" t="s">
        <v>240</v>
      </c>
      <c r="G251" s="21" t="s">
        <v>38</v>
      </c>
      <c r="H251" s="21" t="s">
        <v>28</v>
      </c>
      <c r="I251" s="21" t="s">
        <v>28</v>
      </c>
      <c r="J251" s="21" t="s">
        <v>15</v>
      </c>
      <c r="K251" s="21"/>
      <c r="L251" s="18"/>
      <c r="M251" s="18" t="s">
        <v>1182</v>
      </c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spans="1:27">
      <c r="A252" s="21" t="s">
        <v>1537</v>
      </c>
      <c r="B252" s="21" t="s">
        <v>1538</v>
      </c>
      <c r="C252" s="26" t="s">
        <v>414</v>
      </c>
      <c r="D252" s="23">
        <v>45747</v>
      </c>
      <c r="E252" s="21" t="s">
        <v>1540</v>
      </c>
      <c r="F252" s="26" t="s">
        <v>54</v>
      </c>
      <c r="G252" s="21" t="s">
        <v>38</v>
      </c>
      <c r="H252" s="21" t="s">
        <v>30</v>
      </c>
      <c r="I252" s="21" t="s">
        <v>28</v>
      </c>
      <c r="J252" s="21" t="s">
        <v>15</v>
      </c>
      <c r="K252" s="21"/>
      <c r="L252" s="18"/>
      <c r="M252" s="18" t="s">
        <v>742</v>
      </c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spans="1:27">
      <c r="A253" s="21" t="s">
        <v>1541</v>
      </c>
      <c r="B253" s="21" t="s">
        <v>1542</v>
      </c>
      <c r="C253" s="26" t="s">
        <v>1543</v>
      </c>
      <c r="D253" s="23">
        <v>45748</v>
      </c>
      <c r="E253" s="21" t="s">
        <v>1544</v>
      </c>
      <c r="F253" s="26" t="s">
        <v>417</v>
      </c>
      <c r="G253" s="21" t="s">
        <v>38</v>
      </c>
      <c r="H253" s="21" t="s">
        <v>28</v>
      </c>
      <c r="I253" s="21" t="s">
        <v>28</v>
      </c>
      <c r="J253" s="21" t="s">
        <v>15</v>
      </c>
      <c r="K253" s="21"/>
      <c r="L253" s="18"/>
      <c r="M253" s="18" t="s">
        <v>1066</v>
      </c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spans="1:27">
      <c r="A254" s="21" t="s">
        <v>1546</v>
      </c>
      <c r="B254" s="21" t="s">
        <v>1547</v>
      </c>
      <c r="C254" s="26" t="s">
        <v>167</v>
      </c>
      <c r="D254" s="23">
        <v>45748</v>
      </c>
      <c r="E254" s="21" t="s">
        <v>1548</v>
      </c>
      <c r="F254" s="26" t="s">
        <v>1333</v>
      </c>
      <c r="G254" s="21" t="s">
        <v>67</v>
      </c>
      <c r="H254" s="21" t="s">
        <v>28</v>
      </c>
      <c r="I254" s="21" t="s">
        <v>28</v>
      </c>
      <c r="J254" s="21" t="s">
        <v>15</v>
      </c>
      <c r="K254" s="21"/>
      <c r="L254" s="18"/>
      <c r="M254" s="18" t="s">
        <v>622</v>
      </c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spans="1:27">
      <c r="A255" s="21" t="s">
        <v>1549</v>
      </c>
      <c r="B255" s="21" t="s">
        <v>1550</v>
      </c>
      <c r="C255" s="21"/>
      <c r="D255" s="23">
        <v>45758</v>
      </c>
      <c r="E255" s="21" t="s">
        <v>1551</v>
      </c>
      <c r="F255" s="26" t="s">
        <v>1552</v>
      </c>
      <c r="G255" s="21" t="s">
        <v>67</v>
      </c>
      <c r="H255" s="21" t="s">
        <v>28</v>
      </c>
      <c r="I255" s="21"/>
      <c r="J255" s="21" t="s">
        <v>15</v>
      </c>
      <c r="K255" s="21"/>
      <c r="L255" s="18"/>
      <c r="M255" s="18" t="s">
        <v>212</v>
      </c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spans="1:27">
      <c r="A256" s="21" t="s">
        <v>1553</v>
      </c>
      <c r="B256" s="21" t="s">
        <v>1554</v>
      </c>
      <c r="C256" s="26" t="s">
        <v>1295</v>
      </c>
      <c r="D256" s="23">
        <v>45758</v>
      </c>
      <c r="E256" s="21" t="s">
        <v>1555</v>
      </c>
      <c r="F256" s="26" t="s">
        <v>169</v>
      </c>
      <c r="G256" s="21" t="s">
        <v>38</v>
      </c>
      <c r="H256" s="21" t="s">
        <v>28</v>
      </c>
      <c r="I256" s="21" t="s">
        <v>30</v>
      </c>
      <c r="J256" s="21" t="s">
        <v>15</v>
      </c>
      <c r="K256" s="21"/>
      <c r="L256" s="18"/>
      <c r="M256" s="18" t="s">
        <v>1113</v>
      </c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spans="1:27">
      <c r="A257" s="21" t="s">
        <v>1556</v>
      </c>
      <c r="B257" s="21" t="s">
        <v>1557</v>
      </c>
      <c r="C257" s="26" t="s">
        <v>748</v>
      </c>
      <c r="D257" s="23">
        <v>45768</v>
      </c>
      <c r="E257" s="21" t="s">
        <v>1558</v>
      </c>
      <c r="F257" s="26" t="s">
        <v>60</v>
      </c>
      <c r="G257" s="21" t="s">
        <v>38</v>
      </c>
      <c r="H257" s="21" t="s">
        <v>28</v>
      </c>
      <c r="I257" s="21" t="s">
        <v>28</v>
      </c>
      <c r="J257" s="21" t="s">
        <v>15</v>
      </c>
      <c r="K257" s="21"/>
      <c r="L257" s="18"/>
      <c r="M257" s="18" t="s">
        <v>742</v>
      </c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spans="1:27">
      <c r="A258" s="21" t="s">
        <v>1560</v>
      </c>
      <c r="B258" s="21" t="s">
        <v>1561</v>
      </c>
      <c r="C258" s="26" t="s">
        <v>491</v>
      </c>
      <c r="D258" s="23">
        <v>45768</v>
      </c>
      <c r="E258" s="21" t="s">
        <v>1562</v>
      </c>
      <c r="F258" s="26" t="s">
        <v>211</v>
      </c>
      <c r="G258" s="21" t="s">
        <v>38</v>
      </c>
      <c r="H258" s="21" t="s">
        <v>30</v>
      </c>
      <c r="I258" s="21" t="s">
        <v>30</v>
      </c>
      <c r="J258" s="21" t="s">
        <v>15</v>
      </c>
      <c r="K258" s="21"/>
      <c r="L258" s="18"/>
      <c r="M258" s="18" t="s">
        <v>1240</v>
      </c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spans="1:27">
      <c r="A259" s="21" t="s">
        <v>1563</v>
      </c>
      <c r="B259" s="21" t="s">
        <v>1564</v>
      </c>
      <c r="C259" s="26" t="s">
        <v>107</v>
      </c>
      <c r="D259" s="23">
        <v>45768</v>
      </c>
      <c r="E259" s="21" t="s">
        <v>1565</v>
      </c>
      <c r="F259" s="26" t="s">
        <v>1167</v>
      </c>
      <c r="G259" s="21" t="s">
        <v>38</v>
      </c>
      <c r="H259" s="21" t="s">
        <v>30</v>
      </c>
      <c r="I259" s="21" t="s">
        <v>28</v>
      </c>
      <c r="J259" s="21" t="s">
        <v>15</v>
      </c>
      <c r="K259" s="21"/>
      <c r="L259" s="18"/>
      <c r="M259" s="18" t="s">
        <v>1077</v>
      </c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spans="1:27">
      <c r="A260" s="21" t="s">
        <v>1568</v>
      </c>
      <c r="B260" s="21" t="s">
        <v>1569</v>
      </c>
      <c r="C260" s="26" t="s">
        <v>1375</v>
      </c>
      <c r="D260" s="23">
        <v>45768</v>
      </c>
      <c r="E260" s="21" t="s">
        <v>1570</v>
      </c>
      <c r="F260" s="26" t="s">
        <v>873</v>
      </c>
      <c r="G260" s="21" t="s">
        <v>149</v>
      </c>
      <c r="H260" s="21" t="s">
        <v>97</v>
      </c>
      <c r="I260" s="21" t="s">
        <v>97</v>
      </c>
      <c r="J260" s="21" t="s">
        <v>15</v>
      </c>
      <c r="K260" s="21"/>
      <c r="L260" s="18"/>
      <c r="M260" s="18" t="s">
        <v>1365</v>
      </c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spans="1:27">
      <c r="A261" s="21" t="s">
        <v>1571</v>
      </c>
      <c r="B261" s="21" t="s">
        <v>1572</v>
      </c>
      <c r="C261" s="26" t="s">
        <v>1573</v>
      </c>
      <c r="D261" s="23">
        <v>45768</v>
      </c>
      <c r="E261" s="21" t="s">
        <v>1574</v>
      </c>
      <c r="F261" s="26" t="s">
        <v>385</v>
      </c>
      <c r="G261" s="21" t="s">
        <v>67</v>
      </c>
      <c r="H261" s="21" t="s">
        <v>28</v>
      </c>
      <c r="I261" s="21" t="s">
        <v>28</v>
      </c>
      <c r="J261" s="21" t="s">
        <v>15</v>
      </c>
      <c r="K261" s="21"/>
      <c r="L261" s="18"/>
      <c r="M261" s="18" t="s">
        <v>116</v>
      </c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spans="1:27">
      <c r="A262" s="21" t="s">
        <v>1576</v>
      </c>
      <c r="B262" s="21" t="s">
        <v>1577</v>
      </c>
      <c r="C262" s="26" t="s">
        <v>156</v>
      </c>
      <c r="D262" s="23">
        <v>45768</v>
      </c>
      <c r="E262" s="21" t="s">
        <v>1579</v>
      </c>
      <c r="F262" s="26" t="s">
        <v>417</v>
      </c>
      <c r="G262" s="21" t="s">
        <v>38</v>
      </c>
      <c r="H262" s="21" t="s">
        <v>28</v>
      </c>
      <c r="I262" s="21" t="s">
        <v>28</v>
      </c>
      <c r="J262" s="21" t="s">
        <v>15</v>
      </c>
      <c r="K262" s="21"/>
      <c r="L262" s="18"/>
      <c r="M262" s="18" t="s">
        <v>1066</v>
      </c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spans="1:27">
      <c r="A263" s="21" t="s">
        <v>1580</v>
      </c>
      <c r="B263" s="21" t="s">
        <v>1581</v>
      </c>
      <c r="C263" s="26" t="s">
        <v>1338</v>
      </c>
      <c r="D263" s="23">
        <v>45768</v>
      </c>
      <c r="E263" s="21" t="s">
        <v>1582</v>
      </c>
      <c r="F263" s="26" t="s">
        <v>54</v>
      </c>
      <c r="G263" s="21" t="s">
        <v>67</v>
      </c>
      <c r="H263" s="21" t="s">
        <v>28</v>
      </c>
      <c r="I263" s="21" t="s">
        <v>28</v>
      </c>
      <c r="J263" s="21" t="s">
        <v>15</v>
      </c>
      <c r="K263" s="21"/>
      <c r="L263" s="18"/>
      <c r="M263" s="18" t="s">
        <v>138</v>
      </c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spans="1:27">
      <c r="A264" s="21" t="s">
        <v>1583</v>
      </c>
      <c r="B264" s="21" t="s">
        <v>1584</v>
      </c>
      <c r="C264" s="26" t="s">
        <v>1093</v>
      </c>
      <c r="D264" s="23">
        <v>45769</v>
      </c>
      <c r="E264" s="21" t="s">
        <v>1586</v>
      </c>
      <c r="F264" s="26" t="s">
        <v>84</v>
      </c>
      <c r="G264" s="21" t="s">
        <v>67</v>
      </c>
      <c r="H264" s="21" t="s">
        <v>28</v>
      </c>
      <c r="I264" s="21" t="s">
        <v>28</v>
      </c>
      <c r="J264" s="21" t="s">
        <v>15</v>
      </c>
      <c r="K264" s="21"/>
      <c r="L264" s="18"/>
      <c r="M264" s="18" t="s">
        <v>422</v>
      </c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spans="1:27">
      <c r="A265" s="21" t="s">
        <v>1588</v>
      </c>
      <c r="B265" s="21" t="s">
        <v>1589</v>
      </c>
      <c r="C265" s="21"/>
      <c r="D265" s="23">
        <v>45770</v>
      </c>
      <c r="E265" s="21" t="s">
        <v>1590</v>
      </c>
      <c r="F265" s="26" t="s">
        <v>377</v>
      </c>
      <c r="G265" s="21" t="s">
        <v>38</v>
      </c>
      <c r="H265" s="21" t="s">
        <v>28</v>
      </c>
      <c r="I265" s="21"/>
      <c r="J265" s="21" t="s">
        <v>15</v>
      </c>
      <c r="K265" s="21"/>
      <c r="L265" s="18"/>
      <c r="M265" s="18" t="s">
        <v>944</v>
      </c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spans="1:27">
      <c r="A266" s="21" t="s">
        <v>1591</v>
      </c>
      <c r="B266" s="21" t="s">
        <v>1592</v>
      </c>
      <c r="C266" s="26" t="s">
        <v>1419</v>
      </c>
      <c r="D266" s="23">
        <v>45775</v>
      </c>
      <c r="E266" s="21" t="s">
        <v>1593</v>
      </c>
      <c r="F266" s="26" t="s">
        <v>943</v>
      </c>
      <c r="G266" s="21" t="s">
        <v>38</v>
      </c>
      <c r="H266" s="21" t="s">
        <v>28</v>
      </c>
      <c r="I266" s="21" t="s">
        <v>30</v>
      </c>
      <c r="J266" s="21" t="s">
        <v>15</v>
      </c>
      <c r="K266" s="21"/>
      <c r="L266" s="18"/>
      <c r="M266" s="18" t="s">
        <v>742</v>
      </c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spans="1:27">
      <c r="A267" s="21" t="s">
        <v>1597</v>
      </c>
      <c r="B267" s="21" t="s">
        <v>1598</v>
      </c>
      <c r="C267" s="26" t="s">
        <v>810</v>
      </c>
      <c r="D267" s="23">
        <v>45785</v>
      </c>
      <c r="E267" s="21" t="s">
        <v>1599</v>
      </c>
      <c r="F267" s="26" t="s">
        <v>148</v>
      </c>
      <c r="G267" s="21" t="s">
        <v>46</v>
      </c>
      <c r="H267" s="21" t="s">
        <v>30</v>
      </c>
      <c r="I267" s="21" t="s">
        <v>28</v>
      </c>
      <c r="J267" s="21" t="s">
        <v>15</v>
      </c>
      <c r="K267" s="21"/>
      <c r="L267" s="18"/>
      <c r="M267" s="18" t="s">
        <v>1143</v>
      </c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spans="1:27">
      <c r="A268" s="21" t="s">
        <v>1600</v>
      </c>
      <c r="B268" s="21" t="s">
        <v>1601</v>
      </c>
      <c r="C268" s="26" t="s">
        <v>1455</v>
      </c>
      <c r="D268" s="23">
        <v>45787</v>
      </c>
      <c r="E268" s="21" t="s">
        <v>1602</v>
      </c>
      <c r="F268" s="26" t="s">
        <v>626</v>
      </c>
      <c r="G268" s="21" t="s">
        <v>67</v>
      </c>
      <c r="H268" s="21" t="s">
        <v>28</v>
      </c>
      <c r="I268" s="21" t="s">
        <v>28</v>
      </c>
      <c r="J268" s="21" t="s">
        <v>15</v>
      </c>
      <c r="K268" s="21"/>
      <c r="L268" s="18"/>
      <c r="M268" s="18" t="s">
        <v>573</v>
      </c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spans="1:27">
      <c r="A269" s="21" t="s">
        <v>1603</v>
      </c>
      <c r="B269" s="21" t="s">
        <v>1604</v>
      </c>
      <c r="C269" s="26" t="s">
        <v>82</v>
      </c>
      <c r="D269" s="23">
        <v>45787</v>
      </c>
      <c r="E269" s="21" t="s">
        <v>1605</v>
      </c>
      <c r="F269" s="26" t="s">
        <v>669</v>
      </c>
      <c r="G269" s="21" t="s">
        <v>67</v>
      </c>
      <c r="H269" s="21" t="s">
        <v>28</v>
      </c>
      <c r="I269" s="21" t="s">
        <v>30</v>
      </c>
      <c r="J269" s="21" t="s">
        <v>15</v>
      </c>
      <c r="K269" s="21"/>
      <c r="L269" s="18"/>
      <c r="M269" s="18" t="s">
        <v>407</v>
      </c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spans="1:27">
      <c r="A270" s="21" t="s">
        <v>1606</v>
      </c>
      <c r="B270" s="21" t="s">
        <v>1607</v>
      </c>
      <c r="C270" s="26" t="s">
        <v>156</v>
      </c>
      <c r="D270" s="23">
        <v>45797</v>
      </c>
      <c r="E270" s="21" t="s">
        <v>1608</v>
      </c>
      <c r="F270" s="26" t="s">
        <v>1333</v>
      </c>
      <c r="G270" s="21" t="s">
        <v>67</v>
      </c>
      <c r="H270" s="21" t="s">
        <v>30</v>
      </c>
      <c r="I270" s="21" t="s">
        <v>28</v>
      </c>
      <c r="J270" s="21" t="s">
        <v>15</v>
      </c>
      <c r="K270" s="21"/>
      <c r="L270" s="18"/>
      <c r="M270" s="18" t="s">
        <v>116</v>
      </c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spans="1:27">
      <c r="A271" s="21" t="s">
        <v>1610</v>
      </c>
      <c r="B271" s="21" t="s">
        <v>1612</v>
      </c>
      <c r="C271" s="26" t="s">
        <v>1429</v>
      </c>
      <c r="D271" s="23">
        <v>45797</v>
      </c>
      <c r="E271" s="21" t="s">
        <v>1613</v>
      </c>
      <c r="F271" s="26" t="s">
        <v>385</v>
      </c>
      <c r="G271" s="21" t="s">
        <v>90</v>
      </c>
      <c r="H271" s="21" t="s">
        <v>28</v>
      </c>
      <c r="I271" s="21" t="s">
        <v>28</v>
      </c>
      <c r="J271" s="21" t="s">
        <v>31</v>
      </c>
      <c r="K271" s="21"/>
      <c r="L271" s="18"/>
      <c r="M271" s="18" t="s">
        <v>1615</v>
      </c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spans="1:27">
      <c r="A272" s="21" t="s">
        <v>1616</v>
      </c>
      <c r="B272" s="21" t="s">
        <v>1617</v>
      </c>
      <c r="C272" s="26" t="s">
        <v>1521</v>
      </c>
      <c r="D272" s="23">
        <v>45803</v>
      </c>
      <c r="E272" s="21" t="s">
        <v>1618</v>
      </c>
      <c r="F272" s="26" t="s">
        <v>109</v>
      </c>
      <c r="G272" s="21" t="s">
        <v>67</v>
      </c>
      <c r="H272" s="21" t="s">
        <v>28</v>
      </c>
      <c r="I272" s="21" t="s">
        <v>28</v>
      </c>
      <c r="J272" s="21" t="s">
        <v>15</v>
      </c>
      <c r="K272" s="21"/>
      <c r="L272" s="18"/>
      <c r="M272" s="18" t="s">
        <v>472</v>
      </c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spans="1:27">
      <c r="A273" s="21" t="s">
        <v>1619</v>
      </c>
      <c r="B273" s="21" t="s">
        <v>1620</v>
      </c>
      <c r="C273" s="26" t="s">
        <v>618</v>
      </c>
      <c r="D273" s="23">
        <v>45803</v>
      </c>
      <c r="E273" s="21" t="s">
        <v>1621</v>
      </c>
      <c r="F273" s="26" t="s">
        <v>143</v>
      </c>
      <c r="G273" s="21" t="s">
        <v>46</v>
      </c>
      <c r="H273" s="21" t="s">
        <v>30</v>
      </c>
      <c r="I273" s="21" t="s">
        <v>30</v>
      </c>
      <c r="J273" s="21" t="s">
        <v>15</v>
      </c>
      <c r="K273" s="21"/>
      <c r="L273" s="18"/>
      <c r="M273" s="18" t="s">
        <v>1354</v>
      </c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spans="1:27">
      <c r="A274" s="21" t="s">
        <v>1622</v>
      </c>
      <c r="B274" s="21" t="s">
        <v>1623</v>
      </c>
      <c r="C274" s="26" t="s">
        <v>541</v>
      </c>
      <c r="D274" s="23">
        <v>45806</v>
      </c>
      <c r="E274" s="21" t="s">
        <v>1624</v>
      </c>
      <c r="F274" s="26" t="s">
        <v>66</v>
      </c>
      <c r="G274" s="21" t="s">
        <v>46</v>
      </c>
      <c r="H274" s="21" t="s">
        <v>30</v>
      </c>
      <c r="I274" s="21" t="s">
        <v>30</v>
      </c>
      <c r="J274" s="21" t="s">
        <v>15</v>
      </c>
      <c r="K274" s="21"/>
      <c r="L274" s="18"/>
      <c r="M274" s="18" t="s">
        <v>1460</v>
      </c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spans="1:27">
      <c r="A275" s="26" t="s">
        <v>1625</v>
      </c>
      <c r="B275" s="21" t="s">
        <v>1626</v>
      </c>
      <c r="C275" s="26" t="s">
        <v>1058</v>
      </c>
      <c r="D275" s="23">
        <v>45813</v>
      </c>
      <c r="E275" s="21" t="s">
        <v>1627</v>
      </c>
      <c r="F275" s="26" t="s">
        <v>240</v>
      </c>
      <c r="G275" s="21" t="s">
        <v>38</v>
      </c>
      <c r="H275" s="21" t="s">
        <v>28</v>
      </c>
      <c r="I275" s="21" t="s">
        <v>28</v>
      </c>
      <c r="J275" s="21" t="s">
        <v>15</v>
      </c>
      <c r="K275" s="21"/>
      <c r="L275" s="18"/>
      <c r="M275" s="18" t="s">
        <v>742</v>
      </c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spans="1:27">
      <c r="A276" s="21" t="s">
        <v>1629</v>
      </c>
      <c r="B276" s="21" t="s">
        <v>1630</v>
      </c>
      <c r="C276" s="26" t="s">
        <v>128</v>
      </c>
      <c r="D276" s="23">
        <v>45827</v>
      </c>
      <c r="E276" s="21" t="s">
        <v>1632</v>
      </c>
      <c r="F276" s="26" t="s">
        <v>95</v>
      </c>
      <c r="G276" s="21" t="s">
        <v>90</v>
      </c>
      <c r="H276" s="21" t="s">
        <v>48</v>
      </c>
      <c r="I276" s="21" t="s">
        <v>30</v>
      </c>
      <c r="J276" s="21" t="s">
        <v>12</v>
      </c>
      <c r="K276" s="21"/>
      <c r="L276" s="18"/>
      <c r="M276" s="18" t="s">
        <v>1452</v>
      </c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spans="1:27">
      <c r="A277" s="21" t="s">
        <v>1633</v>
      </c>
      <c r="B277" s="21" t="s">
        <v>1634</v>
      </c>
      <c r="C277" s="26" t="s">
        <v>1475</v>
      </c>
      <c r="D277" s="23">
        <v>45827</v>
      </c>
      <c r="E277" s="21" t="s">
        <v>1635</v>
      </c>
      <c r="F277" s="26" t="s">
        <v>26</v>
      </c>
      <c r="G277" s="21" t="s">
        <v>46</v>
      </c>
      <c r="H277" s="21" t="s">
        <v>28</v>
      </c>
      <c r="I277" s="21" t="s">
        <v>28</v>
      </c>
      <c r="J277" s="21" t="s">
        <v>15</v>
      </c>
      <c r="K277" s="21"/>
      <c r="L277" s="18"/>
      <c r="M277" s="18" t="s">
        <v>1559</v>
      </c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spans="1:27">
      <c r="A278" s="21" t="s">
        <v>1637</v>
      </c>
      <c r="B278" s="21" t="s">
        <v>1638</v>
      </c>
      <c r="C278" s="26" t="s">
        <v>810</v>
      </c>
      <c r="D278" s="23">
        <v>45827</v>
      </c>
      <c r="E278" s="21" t="s">
        <v>1640</v>
      </c>
      <c r="F278" s="26" t="s">
        <v>136</v>
      </c>
      <c r="G278" s="21" t="s">
        <v>46</v>
      </c>
      <c r="H278" s="21" t="s">
        <v>28</v>
      </c>
      <c r="I278" s="21" t="s">
        <v>28</v>
      </c>
      <c r="J278" s="21" t="s">
        <v>15</v>
      </c>
      <c r="K278" s="21"/>
      <c r="L278" s="18"/>
      <c r="M278" s="18" t="s">
        <v>1143</v>
      </c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spans="1:27">
      <c r="A279" s="21" t="s">
        <v>1641</v>
      </c>
      <c r="B279" s="21" t="s">
        <v>1642</v>
      </c>
      <c r="C279" s="26" t="s">
        <v>1489</v>
      </c>
      <c r="D279" s="23">
        <v>45827</v>
      </c>
      <c r="E279" s="21" t="s">
        <v>1643</v>
      </c>
      <c r="F279" s="26" t="s">
        <v>169</v>
      </c>
      <c r="G279" s="21" t="s">
        <v>67</v>
      </c>
      <c r="H279" s="21" t="s">
        <v>28</v>
      </c>
      <c r="I279" s="21" t="s">
        <v>28</v>
      </c>
      <c r="J279" s="21" t="s">
        <v>15</v>
      </c>
      <c r="K279" s="21"/>
      <c r="L279" s="18"/>
      <c r="M279" s="18" t="s">
        <v>185</v>
      </c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spans="1:27">
      <c r="A280" s="21" t="s">
        <v>1645</v>
      </c>
      <c r="B280" s="21" t="s">
        <v>1646</v>
      </c>
      <c r="C280" s="26" t="s">
        <v>1647</v>
      </c>
      <c r="D280" s="23">
        <v>45840</v>
      </c>
      <c r="E280" s="21" t="s">
        <v>1649</v>
      </c>
      <c r="F280" s="26" t="s">
        <v>873</v>
      </c>
      <c r="G280" s="21" t="s">
        <v>46</v>
      </c>
      <c r="H280" s="21" t="s">
        <v>97</v>
      </c>
      <c r="I280" s="21" t="s">
        <v>28</v>
      </c>
      <c r="J280" s="21" t="s">
        <v>15</v>
      </c>
      <c r="K280" s="21"/>
      <c r="L280" s="18"/>
      <c r="M280" s="18" t="s">
        <v>1497</v>
      </c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spans="1:27">
      <c r="A281" s="21" t="s">
        <v>1651</v>
      </c>
      <c r="B281" s="21" t="s">
        <v>1652</v>
      </c>
      <c r="C281" s="26" t="s">
        <v>593</v>
      </c>
      <c r="D281" s="23">
        <v>45841</v>
      </c>
      <c r="E281" s="21" t="s">
        <v>1653</v>
      </c>
      <c r="F281" s="26" t="s">
        <v>417</v>
      </c>
      <c r="G281" s="21" t="s">
        <v>46</v>
      </c>
      <c r="H281" s="21" t="s">
        <v>48</v>
      </c>
      <c r="I281" s="21" t="s">
        <v>48</v>
      </c>
      <c r="J281" s="21" t="s">
        <v>15</v>
      </c>
      <c r="K281" s="21"/>
      <c r="L281" s="18"/>
      <c r="M281" s="18" t="s">
        <v>1654</v>
      </c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spans="1:27">
      <c r="A282" s="21" t="s">
        <v>1656</v>
      </c>
      <c r="B282" s="21" t="s">
        <v>1657</v>
      </c>
      <c r="C282" s="26" t="s">
        <v>278</v>
      </c>
      <c r="D282" s="23">
        <v>45841</v>
      </c>
      <c r="E282" s="21" t="s">
        <v>1658</v>
      </c>
      <c r="F282" s="26" t="s">
        <v>109</v>
      </c>
      <c r="G282" s="21" t="s">
        <v>38</v>
      </c>
      <c r="H282" s="21" t="s">
        <v>30</v>
      </c>
      <c r="I282" s="21" t="s">
        <v>30</v>
      </c>
      <c r="J282" s="21" t="s">
        <v>15</v>
      </c>
      <c r="K282" s="21"/>
      <c r="L282" s="18"/>
      <c r="M282" s="18" t="s">
        <v>1215</v>
      </c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spans="1:27">
      <c r="A283" s="21" t="s">
        <v>1659</v>
      </c>
      <c r="B283" s="21" t="s">
        <v>1660</v>
      </c>
      <c r="C283" s="26" t="s">
        <v>1327</v>
      </c>
      <c r="D283" s="23">
        <v>45845</v>
      </c>
      <c r="E283" s="21" t="s">
        <v>1661</v>
      </c>
      <c r="F283" s="26" t="s">
        <v>962</v>
      </c>
      <c r="G283" s="21" t="s">
        <v>67</v>
      </c>
      <c r="H283" s="21" t="s">
        <v>28</v>
      </c>
      <c r="I283" s="21" t="s">
        <v>30</v>
      </c>
      <c r="J283" s="21" t="s">
        <v>15</v>
      </c>
      <c r="K283" s="21"/>
      <c r="L283" s="18"/>
      <c r="M283" s="18" t="s">
        <v>460</v>
      </c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spans="1:27">
      <c r="A284" s="21" t="s">
        <v>1662</v>
      </c>
      <c r="B284" s="21" t="s">
        <v>1663</v>
      </c>
      <c r="C284" s="26" t="s">
        <v>1261</v>
      </c>
      <c r="D284" s="23">
        <v>45845</v>
      </c>
      <c r="E284" s="21" t="s">
        <v>1664</v>
      </c>
      <c r="F284" s="26" t="s">
        <v>1125</v>
      </c>
      <c r="G284" s="21" t="s">
        <v>67</v>
      </c>
      <c r="H284" s="21" t="s">
        <v>30</v>
      </c>
      <c r="I284" s="21" t="s">
        <v>97</v>
      </c>
      <c r="J284" s="21" t="s">
        <v>15</v>
      </c>
      <c r="K284" s="21"/>
      <c r="L284" s="18"/>
      <c r="M284" s="18" t="s">
        <v>376</v>
      </c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spans="1:27">
      <c r="A285" s="21" t="s">
        <v>1665</v>
      </c>
      <c r="B285" s="21" t="s">
        <v>1666</v>
      </c>
      <c r="C285" s="26" t="s">
        <v>1361</v>
      </c>
      <c r="D285" s="23">
        <v>45845</v>
      </c>
      <c r="E285" s="21" t="s">
        <v>1667</v>
      </c>
      <c r="F285" s="26" t="s">
        <v>44</v>
      </c>
      <c r="G285" s="21" t="s">
        <v>90</v>
      </c>
      <c r="H285" s="21" t="s">
        <v>30</v>
      </c>
      <c r="I285" s="21" t="s">
        <v>30</v>
      </c>
      <c r="J285" s="21" t="s">
        <v>31</v>
      </c>
      <c r="K285" s="21"/>
      <c r="L285" s="18"/>
      <c r="M285" s="18" t="s">
        <v>1669</v>
      </c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spans="1:27">
      <c r="A286" s="21" t="s">
        <v>1672</v>
      </c>
      <c r="B286" s="21" t="s">
        <v>1673</v>
      </c>
      <c r="C286" s="26" t="s">
        <v>676</v>
      </c>
      <c r="D286" s="23">
        <v>45846</v>
      </c>
      <c r="E286" s="21" t="s">
        <v>1674</v>
      </c>
      <c r="F286" s="26" t="s">
        <v>1675</v>
      </c>
      <c r="G286" s="21" t="s">
        <v>46</v>
      </c>
      <c r="H286" s="21" t="s">
        <v>30</v>
      </c>
      <c r="I286" s="21" t="s">
        <v>28</v>
      </c>
      <c r="J286" s="21" t="s">
        <v>15</v>
      </c>
      <c r="K286" s="21"/>
      <c r="L286" s="18"/>
      <c r="M286" s="18" t="s">
        <v>1273</v>
      </c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spans="1:27">
      <c r="A287" s="21" t="s">
        <v>1676</v>
      </c>
      <c r="B287" s="21" t="s">
        <v>1677</v>
      </c>
      <c r="C287" s="26" t="s">
        <v>734</v>
      </c>
      <c r="D287" s="23">
        <v>45847</v>
      </c>
      <c r="E287" s="21" t="s">
        <v>1678</v>
      </c>
      <c r="F287" s="26" t="s">
        <v>44</v>
      </c>
      <c r="G287" s="21" t="s">
        <v>46</v>
      </c>
      <c r="H287" s="21" t="s">
        <v>28</v>
      </c>
      <c r="I287" s="21" t="s">
        <v>28</v>
      </c>
      <c r="J287" s="21" t="s">
        <v>15</v>
      </c>
      <c r="K287" s="21"/>
      <c r="L287" s="18"/>
      <c r="M287" s="18" t="s">
        <v>1485</v>
      </c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spans="1:27">
      <c r="A288" s="21" t="s">
        <v>1680</v>
      </c>
      <c r="B288" s="21" t="s">
        <v>1682</v>
      </c>
      <c r="C288" s="26" t="s">
        <v>1683</v>
      </c>
      <c r="D288" s="23">
        <v>45847</v>
      </c>
      <c r="E288" s="21" t="s">
        <v>1684</v>
      </c>
      <c r="F288" s="26" t="s">
        <v>180</v>
      </c>
      <c r="G288" s="21" t="s">
        <v>595</v>
      </c>
      <c r="H288" s="21" t="s">
        <v>30</v>
      </c>
      <c r="I288" s="21" t="s">
        <v>30</v>
      </c>
      <c r="J288" s="21" t="s">
        <v>12</v>
      </c>
      <c r="K288" s="21"/>
      <c r="L288" s="18"/>
      <c r="M288" s="18" t="s">
        <v>1650</v>
      </c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spans="1:27">
      <c r="A289" s="21" t="s">
        <v>1685</v>
      </c>
      <c r="B289" s="21" t="s">
        <v>1686</v>
      </c>
      <c r="C289" s="26" t="s">
        <v>1455</v>
      </c>
      <c r="D289" s="23">
        <v>45859</v>
      </c>
      <c r="E289" s="21" t="s">
        <v>1687</v>
      </c>
      <c r="F289" s="26" t="s">
        <v>54</v>
      </c>
      <c r="G289" s="21" t="s">
        <v>67</v>
      </c>
      <c r="H289" s="21" t="s">
        <v>28</v>
      </c>
      <c r="I289" s="21" t="s">
        <v>28</v>
      </c>
      <c r="J289" s="21" t="s">
        <v>15</v>
      </c>
      <c r="K289" s="21"/>
      <c r="L289" s="18"/>
      <c r="M289" s="18" t="s">
        <v>407</v>
      </c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spans="1:27">
      <c r="A290" s="21" t="s">
        <v>1689</v>
      </c>
      <c r="B290" s="21" t="s">
        <v>1691</v>
      </c>
      <c r="C290" s="26" t="s">
        <v>558</v>
      </c>
      <c r="D290" s="23">
        <v>45859</v>
      </c>
      <c r="E290" s="21" t="s">
        <v>1692</v>
      </c>
      <c r="F290" s="26" t="s">
        <v>79</v>
      </c>
      <c r="G290" s="21" t="s">
        <v>90</v>
      </c>
      <c r="H290" s="21" t="s">
        <v>28</v>
      </c>
      <c r="I290" s="21" t="s">
        <v>30</v>
      </c>
      <c r="J290" s="21" t="s">
        <v>31</v>
      </c>
      <c r="K290" s="21"/>
      <c r="L290" s="18"/>
      <c r="M290" s="18" t="s">
        <v>1693</v>
      </c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spans="1:27">
      <c r="A291" s="21" t="s">
        <v>1694</v>
      </c>
      <c r="B291" s="21" t="s">
        <v>1695</v>
      </c>
      <c r="C291" s="26" t="s">
        <v>870</v>
      </c>
      <c r="D291" s="23">
        <v>45859</v>
      </c>
      <c r="E291" s="21" t="s">
        <v>1696</v>
      </c>
      <c r="F291" s="26" t="s">
        <v>766</v>
      </c>
      <c r="G291" s="21" t="s">
        <v>38</v>
      </c>
      <c r="H291" s="21" t="s">
        <v>28</v>
      </c>
      <c r="I291" s="21" t="s">
        <v>28</v>
      </c>
      <c r="J291" s="21" t="s">
        <v>15</v>
      </c>
      <c r="K291" s="21"/>
      <c r="L291" s="18"/>
      <c r="M291" s="18" t="s">
        <v>931</v>
      </c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spans="1:27">
      <c r="A292" s="21" t="s">
        <v>1697</v>
      </c>
      <c r="B292" s="21" t="s">
        <v>1698</v>
      </c>
      <c r="C292" s="26" t="s">
        <v>1146</v>
      </c>
      <c r="D292" s="23">
        <v>45889</v>
      </c>
      <c r="E292" s="21" t="s">
        <v>1699</v>
      </c>
      <c r="F292" s="26" t="s">
        <v>26</v>
      </c>
      <c r="G292" s="21" t="s">
        <v>46</v>
      </c>
      <c r="H292" s="21" t="s">
        <v>97</v>
      </c>
      <c r="I292" s="21" t="s">
        <v>1148</v>
      </c>
      <c r="J292" s="21" t="s">
        <v>31</v>
      </c>
      <c r="K292" s="21"/>
      <c r="L292" s="18"/>
      <c r="M292" s="18" t="s">
        <v>1700</v>
      </c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spans="1:27">
      <c r="A293" s="21" t="s">
        <v>1701</v>
      </c>
      <c r="B293" s="21" t="s">
        <v>1702</v>
      </c>
      <c r="C293" s="26" t="s">
        <v>128</v>
      </c>
      <c r="D293" s="23">
        <v>45896</v>
      </c>
      <c r="E293" s="21" t="s">
        <v>1703</v>
      </c>
      <c r="F293" s="26" t="s">
        <v>26</v>
      </c>
      <c r="G293" s="21" t="s">
        <v>46</v>
      </c>
      <c r="H293" s="21" t="s">
        <v>28</v>
      </c>
      <c r="I293" s="21" t="s">
        <v>30</v>
      </c>
      <c r="J293" s="21" t="s">
        <v>15</v>
      </c>
      <c r="K293" s="21"/>
      <c r="L293" s="18"/>
      <c r="M293" s="18" t="s">
        <v>1354</v>
      </c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spans="1:27">
      <c r="A294" s="21" t="s">
        <v>1707</v>
      </c>
      <c r="B294" s="21" t="s">
        <v>1708</v>
      </c>
      <c r="C294" s="26" t="s">
        <v>183</v>
      </c>
      <c r="D294" s="23">
        <v>45896</v>
      </c>
      <c r="E294" s="21" t="s">
        <v>1709</v>
      </c>
      <c r="F294" s="26" t="s">
        <v>164</v>
      </c>
      <c r="G294" s="21" t="s">
        <v>38</v>
      </c>
      <c r="H294" s="21" t="s">
        <v>28</v>
      </c>
      <c r="I294" s="21" t="s">
        <v>28</v>
      </c>
      <c r="J294" s="21" t="s">
        <v>15</v>
      </c>
      <c r="K294" s="21"/>
      <c r="L294" s="18"/>
      <c r="M294" s="18" t="s">
        <v>1196</v>
      </c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spans="1:27">
      <c r="A295" s="21" t="s">
        <v>1710</v>
      </c>
      <c r="B295" s="21" t="s">
        <v>1711</v>
      </c>
      <c r="C295" s="26" t="s">
        <v>257</v>
      </c>
      <c r="D295" s="23">
        <v>45896</v>
      </c>
      <c r="E295" s="21" t="s">
        <v>1712</v>
      </c>
      <c r="F295" s="26" t="s">
        <v>120</v>
      </c>
      <c r="G295" s="21" t="s">
        <v>27</v>
      </c>
      <c r="H295" s="21" t="s">
        <v>28</v>
      </c>
      <c r="I295" s="21" t="s">
        <v>28</v>
      </c>
      <c r="J295" s="21" t="s">
        <v>31</v>
      </c>
      <c r="K295" s="21"/>
      <c r="L295" s="18"/>
      <c r="M295" s="18" t="s">
        <v>1095</v>
      </c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spans="1:27">
      <c r="A296" s="21" t="s">
        <v>1713</v>
      </c>
      <c r="B296" s="21" t="s">
        <v>1714</v>
      </c>
      <c r="C296" s="26" t="s">
        <v>398</v>
      </c>
      <c r="D296" s="23">
        <v>45896</v>
      </c>
      <c r="E296" s="21" t="s">
        <v>1715</v>
      </c>
      <c r="F296" s="26" t="s">
        <v>109</v>
      </c>
      <c r="G296" s="21" t="s">
        <v>27</v>
      </c>
      <c r="H296" s="21" t="s">
        <v>28</v>
      </c>
      <c r="I296" s="21" t="s">
        <v>28</v>
      </c>
      <c r="J296" s="21" t="s">
        <v>15</v>
      </c>
      <c r="K296" s="21"/>
      <c r="L296" s="18"/>
      <c r="M296" s="18" t="s">
        <v>1409</v>
      </c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spans="1:27">
      <c r="A297" s="21" t="s">
        <v>1716</v>
      </c>
      <c r="B297" s="21" t="s">
        <v>1717</v>
      </c>
      <c r="C297" s="26" t="s">
        <v>1718</v>
      </c>
      <c r="D297" s="23">
        <v>45896</v>
      </c>
      <c r="E297" s="21" t="s">
        <v>1720</v>
      </c>
      <c r="F297" s="26" t="s">
        <v>66</v>
      </c>
      <c r="G297" s="21" t="s">
        <v>46</v>
      </c>
      <c r="H297" s="21" t="s">
        <v>716</v>
      </c>
      <c r="I297" s="21" t="s">
        <v>716</v>
      </c>
      <c r="J297" s="21" t="s">
        <v>15</v>
      </c>
      <c r="K297" s="21"/>
      <c r="L297" s="18"/>
      <c r="M297" s="18" t="s">
        <v>1493</v>
      </c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spans="1:27">
      <c r="A298" s="21" t="s">
        <v>1723</v>
      </c>
      <c r="B298" s="21" t="s">
        <v>1724</v>
      </c>
      <c r="C298" s="26" t="s">
        <v>93</v>
      </c>
      <c r="D298" s="23">
        <v>45898</v>
      </c>
      <c r="E298" s="21" t="s">
        <v>1725</v>
      </c>
      <c r="F298" s="26" t="s">
        <v>136</v>
      </c>
      <c r="G298" s="21" t="s">
        <v>90</v>
      </c>
      <c r="H298" s="21" t="s">
        <v>97</v>
      </c>
      <c r="I298" s="21" t="s">
        <v>97</v>
      </c>
      <c r="J298" s="21" t="s">
        <v>31</v>
      </c>
      <c r="K298" s="21"/>
      <c r="L298" s="18"/>
      <c r="M298" s="18" t="s">
        <v>1726</v>
      </c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spans="1:27">
      <c r="A299" s="21" t="s">
        <v>1727</v>
      </c>
      <c r="B299" s="21" t="s">
        <v>1728</v>
      </c>
      <c r="C299" s="26" t="s">
        <v>464</v>
      </c>
      <c r="D299" s="23">
        <v>45905</v>
      </c>
      <c r="E299" s="21" t="s">
        <v>1729</v>
      </c>
      <c r="F299" s="26" t="s">
        <v>1100</v>
      </c>
      <c r="G299" s="21" t="s">
        <v>67</v>
      </c>
      <c r="H299" s="21" t="s">
        <v>28</v>
      </c>
      <c r="I299" s="21" t="s">
        <v>30</v>
      </c>
      <c r="J299" s="21" t="s">
        <v>15</v>
      </c>
      <c r="K299" s="21" t="s">
        <v>1730</v>
      </c>
      <c r="L299" s="18"/>
      <c r="M299" s="18" t="s">
        <v>622</v>
      </c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spans="1:27">
      <c r="A300" s="21" t="s">
        <v>1731</v>
      </c>
      <c r="B300" s="21" t="s">
        <v>1732</v>
      </c>
      <c r="C300" s="26" t="s">
        <v>739</v>
      </c>
      <c r="D300" s="23">
        <v>45916</v>
      </c>
      <c r="E300" s="21" t="s">
        <v>1733</v>
      </c>
      <c r="F300" s="26" t="s">
        <v>408</v>
      </c>
      <c r="G300" s="21" t="s">
        <v>67</v>
      </c>
      <c r="H300" s="21" t="s">
        <v>28</v>
      </c>
      <c r="I300" s="21" t="s">
        <v>28</v>
      </c>
      <c r="J300" s="21" t="s">
        <v>15</v>
      </c>
      <c r="K300" s="21" t="s">
        <v>1734</v>
      </c>
      <c r="L300" s="18"/>
      <c r="M300" s="18" t="s">
        <v>560</v>
      </c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spans="1:27">
      <c r="A301" s="21" t="s">
        <v>1737</v>
      </c>
      <c r="B301" s="21" t="s">
        <v>1738</v>
      </c>
      <c r="C301" s="26" t="s">
        <v>1527</v>
      </c>
      <c r="D301" s="23">
        <v>45923</v>
      </c>
      <c r="E301" s="21" t="s">
        <v>1739</v>
      </c>
      <c r="F301" s="26" t="s">
        <v>202</v>
      </c>
      <c r="G301" s="21" t="s">
        <v>67</v>
      </c>
      <c r="H301" s="21" t="s">
        <v>30</v>
      </c>
      <c r="I301" s="21" t="s">
        <v>28</v>
      </c>
      <c r="J301" s="21" t="s">
        <v>31</v>
      </c>
      <c r="K301" s="21"/>
      <c r="L301" s="18"/>
      <c r="M301" s="18" t="s">
        <v>1531</v>
      </c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spans="1:27">
      <c r="A302" s="21" t="s">
        <v>1740</v>
      </c>
      <c r="B302" s="21" t="s">
        <v>1741</v>
      </c>
      <c r="C302" s="26" t="s">
        <v>295</v>
      </c>
      <c r="D302" s="23">
        <v>45923</v>
      </c>
      <c r="E302" s="21" t="s">
        <v>1742</v>
      </c>
      <c r="F302" s="26" t="s">
        <v>766</v>
      </c>
      <c r="G302" s="21" t="s">
        <v>38</v>
      </c>
      <c r="H302" s="21" t="s">
        <v>30</v>
      </c>
      <c r="I302" s="21" t="s">
        <v>30</v>
      </c>
      <c r="J302" s="21" t="s">
        <v>15</v>
      </c>
      <c r="K302" s="21"/>
      <c r="L302" s="18"/>
      <c r="M302" s="18" t="s">
        <v>1196</v>
      </c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spans="1:27">
      <c r="A303" s="21" t="s">
        <v>1743</v>
      </c>
      <c r="B303" s="21" t="s">
        <v>1744</v>
      </c>
      <c r="C303" s="26" t="s">
        <v>1361</v>
      </c>
      <c r="D303" s="23">
        <v>45937</v>
      </c>
      <c r="E303" s="21" t="s">
        <v>1745</v>
      </c>
      <c r="F303" s="26" t="s">
        <v>297</v>
      </c>
      <c r="G303" s="21" t="s">
        <v>38</v>
      </c>
      <c r="H303" s="21" t="s">
        <v>48</v>
      </c>
      <c r="I303" s="21" t="s">
        <v>30</v>
      </c>
      <c r="J303" s="21" t="s">
        <v>15</v>
      </c>
      <c r="K303" s="21"/>
      <c r="L303" s="18"/>
      <c r="M303" s="18" t="s">
        <v>1215</v>
      </c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spans="1:27">
      <c r="A304" s="21" t="s">
        <v>1746</v>
      </c>
      <c r="B304" s="21" t="s">
        <v>1747</v>
      </c>
      <c r="C304" s="26" t="s">
        <v>1748</v>
      </c>
      <c r="D304" s="23">
        <v>45937</v>
      </c>
      <c r="E304" s="21" t="s">
        <v>1750</v>
      </c>
      <c r="F304" s="26" t="s">
        <v>1137</v>
      </c>
      <c r="G304" s="21" t="s">
        <v>149</v>
      </c>
      <c r="H304" s="21" t="s">
        <v>30</v>
      </c>
      <c r="I304" s="21" t="s">
        <v>30</v>
      </c>
      <c r="J304" s="21" t="s">
        <v>15</v>
      </c>
      <c r="K304" s="21"/>
      <c r="L304" s="18"/>
      <c r="M304" s="18" t="s">
        <v>1519</v>
      </c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spans="1:27">
      <c r="A305" s="21" t="s">
        <v>1752</v>
      </c>
      <c r="B305" s="21" t="s">
        <v>1753</v>
      </c>
      <c r="C305" s="26" t="s">
        <v>565</v>
      </c>
      <c r="D305" s="23">
        <v>45938</v>
      </c>
      <c r="E305" s="21" t="s">
        <v>1754</v>
      </c>
      <c r="F305" s="26" t="s">
        <v>350</v>
      </c>
      <c r="G305" s="21" t="s">
        <v>38</v>
      </c>
      <c r="H305" s="21" t="s">
        <v>28</v>
      </c>
      <c r="I305" s="21" t="s">
        <v>28</v>
      </c>
      <c r="J305" s="21" t="s">
        <v>15</v>
      </c>
      <c r="K305" s="21"/>
      <c r="L305" s="18"/>
      <c r="M305" s="18" t="s">
        <v>1008</v>
      </c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spans="1:27">
      <c r="A306" s="21" t="s">
        <v>1755</v>
      </c>
      <c r="B306" s="21" t="s">
        <v>1756</v>
      </c>
      <c r="C306" s="26" t="s">
        <v>1327</v>
      </c>
      <c r="D306" s="23">
        <v>45938</v>
      </c>
      <c r="E306" s="21" t="s">
        <v>1757</v>
      </c>
      <c r="F306" s="26" t="s">
        <v>143</v>
      </c>
      <c r="G306" s="21" t="s">
        <v>46</v>
      </c>
      <c r="H306" s="21" t="s">
        <v>30</v>
      </c>
      <c r="I306" s="21" t="s">
        <v>30</v>
      </c>
      <c r="J306" s="21" t="s">
        <v>15</v>
      </c>
      <c r="K306" s="21"/>
      <c r="L306" s="18"/>
      <c r="M306" s="18" t="s">
        <v>1559</v>
      </c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spans="1:27">
      <c r="A307" s="21" t="s">
        <v>1758</v>
      </c>
      <c r="B307" s="21" t="s">
        <v>1759</v>
      </c>
      <c r="C307" s="26" t="s">
        <v>526</v>
      </c>
      <c r="D307" s="23">
        <v>45950</v>
      </c>
      <c r="E307" s="21" t="s">
        <v>1760</v>
      </c>
      <c r="F307" s="26" t="s">
        <v>84</v>
      </c>
      <c r="G307" s="21" t="s">
        <v>38</v>
      </c>
      <c r="H307" s="21" t="s">
        <v>48</v>
      </c>
      <c r="I307" s="21" t="s">
        <v>30</v>
      </c>
      <c r="J307" s="21" t="s">
        <v>15</v>
      </c>
      <c r="K307" s="21" t="s">
        <v>1761</v>
      </c>
      <c r="L307" s="18"/>
      <c r="M307" s="18" t="s">
        <v>1204</v>
      </c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spans="1:27">
      <c r="A308" s="21" t="s">
        <v>1763</v>
      </c>
      <c r="B308" s="21" t="s">
        <v>1764</v>
      </c>
      <c r="C308" s="26" t="s">
        <v>739</v>
      </c>
      <c r="D308" s="23">
        <v>45961</v>
      </c>
      <c r="E308" s="21" t="s">
        <v>1766</v>
      </c>
      <c r="F308" s="26" t="s">
        <v>1125</v>
      </c>
      <c r="G308" s="21" t="s">
        <v>67</v>
      </c>
      <c r="H308" s="21" t="s">
        <v>28</v>
      </c>
      <c r="I308" s="21" t="s">
        <v>28</v>
      </c>
      <c r="J308" s="21" t="s">
        <v>15</v>
      </c>
      <c r="K308" s="21"/>
      <c r="L308" s="18"/>
      <c r="M308" s="18" t="s">
        <v>376</v>
      </c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spans="1:27">
      <c r="A309" s="21" t="s">
        <v>1768</v>
      </c>
      <c r="B309" s="21" t="s">
        <v>1769</v>
      </c>
      <c r="C309" s="26" t="s">
        <v>1123</v>
      </c>
      <c r="D309" s="23">
        <v>45961</v>
      </c>
      <c r="E309" s="21" t="s">
        <v>1770</v>
      </c>
      <c r="F309" s="26" t="s">
        <v>1333</v>
      </c>
      <c r="G309" s="21" t="s">
        <v>38</v>
      </c>
      <c r="H309" s="21" t="s">
        <v>30</v>
      </c>
      <c r="I309" s="21" t="s">
        <v>30</v>
      </c>
      <c r="J309" s="21" t="s">
        <v>15</v>
      </c>
      <c r="K309" s="21"/>
      <c r="L309" s="18"/>
      <c r="M309" s="18" t="s">
        <v>1087</v>
      </c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spans="1:27">
      <c r="A310" s="21" t="s">
        <v>1771</v>
      </c>
      <c r="B310" s="21" t="s">
        <v>1772</v>
      </c>
      <c r="C310" s="26" t="s">
        <v>558</v>
      </c>
      <c r="D310" s="23">
        <v>45987</v>
      </c>
      <c r="E310" s="21" t="s">
        <v>1773</v>
      </c>
      <c r="F310" s="26" t="s">
        <v>1100</v>
      </c>
      <c r="G310" s="21" t="s">
        <v>67</v>
      </c>
      <c r="H310" s="21" t="s">
        <v>28</v>
      </c>
      <c r="I310" s="21" t="s">
        <v>30</v>
      </c>
      <c r="J310" s="21" t="s">
        <v>15</v>
      </c>
      <c r="K310" s="21"/>
      <c r="L310" s="18"/>
      <c r="M310" s="18" t="s">
        <v>622</v>
      </c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spans="1:27">
      <c r="A311" s="21" t="s">
        <v>1774</v>
      </c>
      <c r="B311" s="21" t="s">
        <v>1775</v>
      </c>
      <c r="C311" s="26" t="s">
        <v>1718</v>
      </c>
      <c r="D311" s="23">
        <v>45987</v>
      </c>
      <c r="E311" s="21" t="s">
        <v>1776</v>
      </c>
      <c r="F311" s="26" t="s">
        <v>109</v>
      </c>
      <c r="G311" s="21" t="s">
        <v>67</v>
      </c>
      <c r="H311" s="21" t="s">
        <v>30</v>
      </c>
      <c r="I311" s="21" t="s">
        <v>716</v>
      </c>
      <c r="J311" s="21" t="s">
        <v>15</v>
      </c>
      <c r="K311" s="21"/>
      <c r="L311" s="18"/>
      <c r="M311" s="18" t="s">
        <v>116</v>
      </c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spans="1:27">
      <c r="A312" s="21" t="s">
        <v>1778</v>
      </c>
      <c r="B312" s="21" t="s">
        <v>1780</v>
      </c>
      <c r="C312" s="26" t="s">
        <v>1705</v>
      </c>
      <c r="D312" s="23">
        <v>45993</v>
      </c>
      <c r="E312" s="21" t="s">
        <v>1781</v>
      </c>
      <c r="F312" s="26" t="s">
        <v>1048</v>
      </c>
      <c r="G312" s="21" t="s">
        <v>38</v>
      </c>
      <c r="H312" s="21" t="s">
        <v>28</v>
      </c>
      <c r="I312" s="21" t="s">
        <v>30</v>
      </c>
      <c r="J312" s="21" t="s">
        <v>15</v>
      </c>
      <c r="K312" s="21"/>
      <c r="L312" s="18"/>
      <c r="M312" s="18" t="s">
        <v>972</v>
      </c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spans="1:27">
      <c r="A313" s="21" t="s">
        <v>1782</v>
      </c>
      <c r="B313" s="21" t="s">
        <v>1783</v>
      </c>
      <c r="C313" s="26" t="s">
        <v>638</v>
      </c>
      <c r="D313" s="23">
        <v>45996</v>
      </c>
      <c r="E313" s="21" t="s">
        <v>1784</v>
      </c>
      <c r="F313" s="26" t="s">
        <v>73</v>
      </c>
      <c r="G313" s="21" t="s">
        <v>38</v>
      </c>
      <c r="H313" s="21" t="s">
        <v>28</v>
      </c>
      <c r="I313" s="21" t="s">
        <v>30</v>
      </c>
      <c r="J313" s="21" t="s">
        <v>15</v>
      </c>
      <c r="K313" s="21"/>
      <c r="L313" s="18"/>
      <c r="M313" s="18" t="s">
        <v>1101</v>
      </c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spans="1:27">
      <c r="A314" s="59" t="s">
        <v>1786</v>
      </c>
      <c r="B314" s="59" t="s">
        <v>1787</v>
      </c>
      <c r="C314" s="60" t="s">
        <v>1788</v>
      </c>
      <c r="D314" s="62">
        <v>46038</v>
      </c>
      <c r="E314" s="59" t="s">
        <v>1789</v>
      </c>
      <c r="F314" s="60" t="s">
        <v>180</v>
      </c>
      <c r="G314" s="59" t="s">
        <v>595</v>
      </c>
      <c r="H314" s="59" t="s">
        <v>28</v>
      </c>
      <c r="I314" s="59" t="s">
        <v>28</v>
      </c>
      <c r="J314" s="59" t="s">
        <v>12</v>
      </c>
      <c r="K314" s="48"/>
      <c r="L314" s="18"/>
      <c r="M314" s="18" t="s">
        <v>1791</v>
      </c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spans="1:27">
      <c r="A315" s="59" t="s">
        <v>1792</v>
      </c>
      <c r="B315" s="59" t="s">
        <v>1793</v>
      </c>
      <c r="C315" s="60" t="s">
        <v>1794</v>
      </c>
      <c r="D315" s="62">
        <v>46038</v>
      </c>
      <c r="E315" s="59" t="s">
        <v>1795</v>
      </c>
      <c r="F315" s="60" t="s">
        <v>873</v>
      </c>
      <c r="G315" s="59" t="s">
        <v>90</v>
      </c>
      <c r="H315" s="59" t="s">
        <v>97</v>
      </c>
      <c r="I315" s="59" t="s">
        <v>1148</v>
      </c>
      <c r="J315" s="59" t="s">
        <v>31</v>
      </c>
      <c r="K315" s="48"/>
      <c r="L315" s="18"/>
      <c r="M315" s="18" t="s">
        <v>1796</v>
      </c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spans="1:27">
      <c r="A316" s="59" t="s">
        <v>1797</v>
      </c>
      <c r="B316" s="59" t="s">
        <v>1798</v>
      </c>
      <c r="C316" s="60" t="s">
        <v>1670</v>
      </c>
      <c r="D316" s="62">
        <v>46038</v>
      </c>
      <c r="E316" s="59" t="s">
        <v>1799</v>
      </c>
      <c r="F316" s="60" t="s">
        <v>180</v>
      </c>
      <c r="G316" s="59" t="s">
        <v>595</v>
      </c>
      <c r="H316" s="59" t="s">
        <v>28</v>
      </c>
      <c r="I316" s="59" t="s">
        <v>28</v>
      </c>
      <c r="J316" s="59" t="s">
        <v>12</v>
      </c>
      <c r="K316" s="48"/>
      <c r="L316" s="18"/>
      <c r="M316" s="18" t="s">
        <v>1800</v>
      </c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spans="1:27">
      <c r="A317" s="21" t="s">
        <v>1801</v>
      </c>
      <c r="B317" s="21" t="s">
        <v>1802</v>
      </c>
      <c r="C317" s="26" t="s">
        <v>1093</v>
      </c>
      <c r="D317" s="23">
        <v>46038</v>
      </c>
      <c r="E317" s="21" t="s">
        <v>1803</v>
      </c>
      <c r="F317" s="26" t="s">
        <v>44</v>
      </c>
      <c r="G317" s="21" t="s">
        <v>149</v>
      </c>
      <c r="H317" s="21" t="s">
        <v>28</v>
      </c>
      <c r="I317" s="21" t="s">
        <v>28</v>
      </c>
      <c r="J317" s="21" t="s">
        <v>15</v>
      </c>
      <c r="K317" s="21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spans="1:27">
      <c r="A318" s="21" t="s">
        <v>1804</v>
      </c>
      <c r="B318" s="21" t="s">
        <v>1805</v>
      </c>
      <c r="C318" s="26" t="s">
        <v>405</v>
      </c>
      <c r="D318" s="23">
        <v>46038</v>
      </c>
      <c r="E318" s="21" t="s">
        <v>1806</v>
      </c>
      <c r="F318" s="26" t="s">
        <v>143</v>
      </c>
      <c r="G318" s="21" t="s">
        <v>46</v>
      </c>
      <c r="H318" s="21" t="s">
        <v>28</v>
      </c>
      <c r="I318" s="21" t="s">
        <v>28</v>
      </c>
      <c r="J318" s="21" t="s">
        <v>15</v>
      </c>
      <c r="K318" s="21"/>
      <c r="L318" s="18"/>
      <c r="M318" s="18" t="s">
        <v>1191</v>
      </c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spans="1:27">
      <c r="A319" s="21" t="s">
        <v>1807</v>
      </c>
      <c r="B319" s="21" t="s">
        <v>1808</v>
      </c>
      <c r="C319" s="26" t="s">
        <v>891</v>
      </c>
      <c r="D319" s="23">
        <v>46038</v>
      </c>
      <c r="E319" s="21" t="s">
        <v>1809</v>
      </c>
      <c r="F319" s="26" t="s">
        <v>26</v>
      </c>
      <c r="G319" s="21" t="s">
        <v>90</v>
      </c>
      <c r="H319" s="21" t="s">
        <v>28</v>
      </c>
      <c r="I319" s="21" t="s">
        <v>28</v>
      </c>
      <c r="J319" s="21" t="s">
        <v>12</v>
      </c>
      <c r="K319" s="21"/>
      <c r="L319" s="18"/>
      <c r="M319" s="18" t="s">
        <v>1162</v>
      </c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spans="1:27">
      <c r="A320" s="21"/>
      <c r="B320" s="21"/>
      <c r="C320" s="21"/>
      <c r="D320" s="23"/>
      <c r="E320" s="21"/>
      <c r="F320" s="21"/>
      <c r="G320" s="21"/>
      <c r="H320" s="21"/>
      <c r="I320" s="21"/>
      <c r="J320" s="21"/>
      <c r="K320" s="21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spans="1:27">
      <c r="A321" s="21" t="s">
        <v>1810</v>
      </c>
      <c r="B321" s="21" t="s">
        <v>1811</v>
      </c>
      <c r="C321" s="26" t="s">
        <v>1076</v>
      </c>
      <c r="D321" s="23">
        <v>46038</v>
      </c>
      <c r="E321" s="21" t="s">
        <v>1813</v>
      </c>
      <c r="F321" s="26" t="s">
        <v>95</v>
      </c>
      <c r="G321" s="21" t="s">
        <v>90</v>
      </c>
      <c r="H321" s="21" t="s">
        <v>48</v>
      </c>
      <c r="I321" s="21" t="s">
        <v>30</v>
      </c>
      <c r="J321" s="21" t="s">
        <v>12</v>
      </c>
      <c r="K321" s="21"/>
      <c r="L321" s="18"/>
      <c r="M321" s="18" t="s">
        <v>1079</v>
      </c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spans="1:27">
      <c r="A322" s="59" t="s">
        <v>1815</v>
      </c>
      <c r="B322" s="59" t="s">
        <v>1816</v>
      </c>
      <c r="C322" s="59" t="s">
        <v>1098</v>
      </c>
      <c r="D322" s="62">
        <v>46038</v>
      </c>
      <c r="E322" s="59" t="s">
        <v>1817</v>
      </c>
      <c r="F322" s="60" t="s">
        <v>620</v>
      </c>
      <c r="G322" s="59" t="s">
        <v>67</v>
      </c>
      <c r="H322" s="59" t="s">
        <v>48</v>
      </c>
      <c r="I322" s="59" t="s">
        <v>28</v>
      </c>
      <c r="J322" s="59" t="s">
        <v>15</v>
      </c>
      <c r="K322" s="48"/>
      <c r="L322" s="18"/>
      <c r="M322" s="18" t="s">
        <v>608</v>
      </c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spans="1:27">
      <c r="A323" s="21" t="s">
        <v>1818</v>
      </c>
      <c r="B323" s="21" t="s">
        <v>1819</v>
      </c>
      <c r="C323" s="26" t="s">
        <v>1820</v>
      </c>
      <c r="D323" s="23">
        <v>46038</v>
      </c>
      <c r="E323" s="21" t="s">
        <v>1821</v>
      </c>
      <c r="F323" s="26" t="s">
        <v>143</v>
      </c>
      <c r="G323" s="21" t="s">
        <v>149</v>
      </c>
      <c r="H323" s="21" t="s">
        <v>28</v>
      </c>
      <c r="I323" s="21" t="s">
        <v>97</v>
      </c>
      <c r="J323" s="21" t="s">
        <v>15</v>
      </c>
      <c r="K323" s="21"/>
      <c r="L323" s="18"/>
      <c r="M323" s="18" t="s">
        <v>1391</v>
      </c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spans="1:27">
      <c r="A324" s="21" t="s">
        <v>1825</v>
      </c>
      <c r="B324" s="21" t="s">
        <v>1826</v>
      </c>
      <c r="C324" s="26" t="s">
        <v>1788</v>
      </c>
      <c r="D324" s="23">
        <v>46038</v>
      </c>
      <c r="E324" s="21" t="s">
        <v>1827</v>
      </c>
      <c r="F324" s="26" t="s">
        <v>530</v>
      </c>
      <c r="G324" s="21" t="s">
        <v>38</v>
      </c>
      <c r="H324" s="21" t="s">
        <v>28</v>
      </c>
      <c r="I324" s="21" t="s">
        <v>28</v>
      </c>
      <c r="J324" s="21" t="s">
        <v>15</v>
      </c>
      <c r="K324" s="21"/>
      <c r="L324" s="18"/>
      <c r="M324" s="18" t="s">
        <v>836</v>
      </c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spans="1:27">
      <c r="A325" s="21" t="s">
        <v>1828</v>
      </c>
      <c r="B325" s="21" t="s">
        <v>1829</v>
      </c>
      <c r="C325" s="26" t="s">
        <v>162</v>
      </c>
      <c r="D325" s="23">
        <v>46038</v>
      </c>
      <c r="E325" s="21" t="s">
        <v>1830</v>
      </c>
      <c r="F325" s="26" t="s">
        <v>1048</v>
      </c>
      <c r="G325" s="21" t="s">
        <v>67</v>
      </c>
      <c r="H325" s="21" t="s">
        <v>28</v>
      </c>
      <c r="I325" s="21" t="s">
        <v>28</v>
      </c>
      <c r="J325" s="21" t="s">
        <v>15</v>
      </c>
      <c r="K325" s="21"/>
      <c r="L325" s="18"/>
      <c r="M325" s="18" t="s">
        <v>317</v>
      </c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spans="1:27">
      <c r="A326" s="63" t="s">
        <v>1833</v>
      </c>
      <c r="B326" s="63" t="s">
        <v>1834</v>
      </c>
      <c r="C326" s="64" t="s">
        <v>42</v>
      </c>
      <c r="D326" s="65">
        <v>46042</v>
      </c>
      <c r="E326" s="63" t="s">
        <v>1835</v>
      </c>
      <c r="F326" s="64" t="s">
        <v>325</v>
      </c>
      <c r="G326" s="63" t="s">
        <v>149</v>
      </c>
      <c r="H326" s="63" t="s">
        <v>30</v>
      </c>
      <c r="I326" s="63" t="s">
        <v>48</v>
      </c>
      <c r="J326" s="63" t="s">
        <v>15</v>
      </c>
      <c r="K326" s="18"/>
      <c r="L326" s="18"/>
      <c r="M326" s="18" t="s">
        <v>1838</v>
      </c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spans="1:27">
      <c r="A327" s="63" t="s">
        <v>1841</v>
      </c>
      <c r="B327" s="63" t="s">
        <v>1842</v>
      </c>
      <c r="C327" s="64" t="s">
        <v>1788</v>
      </c>
      <c r="D327" s="65">
        <v>46049</v>
      </c>
      <c r="E327" s="63" t="s">
        <v>1843</v>
      </c>
      <c r="F327" s="64" t="s">
        <v>109</v>
      </c>
      <c r="G327" s="63" t="s">
        <v>67</v>
      </c>
      <c r="H327" s="63" t="s">
        <v>30</v>
      </c>
      <c r="I327" s="63" t="s">
        <v>28</v>
      </c>
      <c r="J327" s="63" t="s">
        <v>15</v>
      </c>
      <c r="K327" s="18"/>
      <c r="L327" s="18"/>
      <c r="M327" s="18" t="s">
        <v>116</v>
      </c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spans="1:27">
      <c r="A328" s="63" t="s">
        <v>1844</v>
      </c>
      <c r="B328" s="63" t="s">
        <v>1845</v>
      </c>
      <c r="C328" s="64" t="s">
        <v>998</v>
      </c>
      <c r="D328" s="65">
        <v>46055</v>
      </c>
      <c r="E328" s="63" t="s">
        <v>1846</v>
      </c>
      <c r="F328" s="64" t="s">
        <v>202</v>
      </c>
      <c r="G328" s="63" t="s">
        <v>46</v>
      </c>
      <c r="H328" s="63" t="s">
        <v>48</v>
      </c>
      <c r="I328" s="63" t="s">
        <v>716</v>
      </c>
      <c r="J328" s="63" t="s">
        <v>15</v>
      </c>
      <c r="K328" s="18"/>
      <c r="L328" s="18"/>
      <c r="M328" s="18" t="s">
        <v>1220</v>
      </c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spans="1:27">
      <c r="A329" s="64" t="s">
        <v>1850</v>
      </c>
      <c r="B329" s="63" t="s">
        <v>1851</v>
      </c>
      <c r="C329" s="64" t="s">
        <v>141</v>
      </c>
      <c r="D329" s="65">
        <v>46055</v>
      </c>
      <c r="E329" s="63" t="s">
        <v>1852</v>
      </c>
      <c r="F329" s="64" t="s">
        <v>114</v>
      </c>
      <c r="G329" s="63" t="s">
        <v>149</v>
      </c>
      <c r="H329" s="63" t="s">
        <v>28</v>
      </c>
      <c r="I329" s="63" t="s">
        <v>28</v>
      </c>
      <c r="J329" s="63" t="s">
        <v>15</v>
      </c>
      <c r="K329" s="18"/>
      <c r="L329" s="18"/>
      <c r="M329" s="18" t="s">
        <v>1365</v>
      </c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spans="1:27">
      <c r="A330" s="63" t="s">
        <v>1853</v>
      </c>
      <c r="B330" s="63" t="s">
        <v>1854</v>
      </c>
      <c r="C330" s="64" t="s">
        <v>921</v>
      </c>
      <c r="D330" s="65">
        <v>46055</v>
      </c>
      <c r="E330" s="63" t="s">
        <v>1855</v>
      </c>
      <c r="F330" s="64" t="s">
        <v>109</v>
      </c>
      <c r="G330" s="63" t="s">
        <v>46</v>
      </c>
      <c r="H330" s="63" t="s">
        <v>28</v>
      </c>
      <c r="I330" s="63" t="s">
        <v>30</v>
      </c>
      <c r="J330" s="63" t="s">
        <v>15</v>
      </c>
      <c r="K330" s="18"/>
      <c r="L330" s="18"/>
      <c r="M330" s="18" t="s">
        <v>1654</v>
      </c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spans="1:27">
      <c r="A331" s="63" t="s">
        <v>1856</v>
      </c>
      <c r="B331" s="63" t="s">
        <v>1857</v>
      </c>
      <c r="C331" s="64" t="s">
        <v>1705</v>
      </c>
      <c r="D331" s="65">
        <v>46079</v>
      </c>
      <c r="E331" s="63" t="s">
        <v>1858</v>
      </c>
      <c r="F331" s="64" t="s">
        <v>180</v>
      </c>
      <c r="G331" s="63" t="s">
        <v>149</v>
      </c>
      <c r="H331" s="63" t="s">
        <v>48</v>
      </c>
      <c r="I331" s="63" t="s">
        <v>30</v>
      </c>
      <c r="J331" s="63" t="s">
        <v>31</v>
      </c>
      <c r="K331" s="18"/>
      <c r="L331" s="18"/>
      <c r="M331" s="18" t="s">
        <v>1693</v>
      </c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spans="1:27">
      <c r="A332" s="63" t="s">
        <v>1859</v>
      </c>
      <c r="B332" s="63" t="s">
        <v>1860</v>
      </c>
      <c r="C332" s="64" t="s">
        <v>1861</v>
      </c>
      <c r="D332" s="65">
        <v>46079</v>
      </c>
      <c r="E332" s="63" t="s">
        <v>1862</v>
      </c>
      <c r="F332" s="64" t="s">
        <v>350</v>
      </c>
      <c r="G332" s="63" t="s">
        <v>149</v>
      </c>
      <c r="H332" s="63" t="s">
        <v>97</v>
      </c>
      <c r="I332" s="63" t="s">
        <v>97</v>
      </c>
      <c r="J332" s="63" t="s">
        <v>31</v>
      </c>
      <c r="K332" s="18"/>
      <c r="L332" s="18"/>
      <c r="M332" s="18" t="s">
        <v>1863</v>
      </c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spans="1:27">
      <c r="A333" s="63" t="s">
        <v>1864</v>
      </c>
      <c r="B333" s="63" t="s">
        <v>1865</v>
      </c>
      <c r="C333" s="64" t="s">
        <v>398</v>
      </c>
      <c r="D333" s="65">
        <v>46086</v>
      </c>
      <c r="E333" s="63" t="s">
        <v>1866</v>
      </c>
      <c r="F333" s="64" t="s">
        <v>109</v>
      </c>
      <c r="G333" s="63" t="s">
        <v>27</v>
      </c>
      <c r="H333" s="63" t="s">
        <v>97</v>
      </c>
      <c r="I333" s="63" t="s">
        <v>28</v>
      </c>
      <c r="J333" s="63" t="s">
        <v>31</v>
      </c>
      <c r="K333" s="18"/>
      <c r="L333" s="18"/>
      <c r="M333" s="18" t="s">
        <v>1095</v>
      </c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spans="1:27">
      <c r="A334" s="63" t="s">
        <v>1867</v>
      </c>
      <c r="B334" s="63" t="s">
        <v>1868</v>
      </c>
      <c r="C334" s="64" t="s">
        <v>748</v>
      </c>
      <c r="D334" s="65">
        <v>46086</v>
      </c>
      <c r="E334" s="63" t="s">
        <v>1869</v>
      </c>
      <c r="F334" s="64" t="s">
        <v>1167</v>
      </c>
      <c r="G334" s="63" t="s">
        <v>67</v>
      </c>
      <c r="H334" s="63" t="s">
        <v>28</v>
      </c>
      <c r="I334" s="63" t="s">
        <v>28</v>
      </c>
      <c r="J334" s="63" t="s">
        <v>15</v>
      </c>
      <c r="K334" s="18"/>
      <c r="L334" s="18"/>
      <c r="M334" s="18" t="s">
        <v>138</v>
      </c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spans="1:27">
      <c r="A335" s="63" t="s">
        <v>1871</v>
      </c>
      <c r="B335" s="63" t="s">
        <v>1872</v>
      </c>
      <c r="C335" s="64" t="s">
        <v>1765</v>
      </c>
      <c r="D335" s="65">
        <v>46086</v>
      </c>
      <c r="E335" s="63" t="s">
        <v>1874</v>
      </c>
      <c r="F335" s="64" t="s">
        <v>885</v>
      </c>
      <c r="G335" s="63" t="s">
        <v>67</v>
      </c>
      <c r="H335" s="63" t="s">
        <v>28</v>
      </c>
      <c r="I335" s="63" t="s">
        <v>30</v>
      </c>
      <c r="J335" s="63" t="s">
        <v>15</v>
      </c>
      <c r="K335" s="18"/>
      <c r="L335" s="18"/>
      <c r="M335" s="18" t="s">
        <v>573</v>
      </c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spans="1:27">
      <c r="A336" s="63" t="s">
        <v>1875</v>
      </c>
      <c r="B336" s="63" t="s">
        <v>1876</v>
      </c>
      <c r="C336" s="64" t="s">
        <v>257</v>
      </c>
      <c r="D336" s="65">
        <v>46086</v>
      </c>
      <c r="E336" s="63" t="s">
        <v>1877</v>
      </c>
      <c r="F336" s="64" t="s">
        <v>385</v>
      </c>
      <c r="G336" s="63" t="s">
        <v>27</v>
      </c>
      <c r="H336" s="63" t="s">
        <v>97</v>
      </c>
      <c r="I336" s="63" t="s">
        <v>28</v>
      </c>
      <c r="J336" s="63" t="s">
        <v>31</v>
      </c>
      <c r="K336" s="18"/>
      <c r="L336" s="18"/>
      <c r="M336" s="18" t="s">
        <v>1531</v>
      </c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spans="1:27">
      <c r="A337" s="63" t="s">
        <v>1879</v>
      </c>
      <c r="B337" s="63" t="s">
        <v>1880</v>
      </c>
      <c r="C337" s="64" t="s">
        <v>734</v>
      </c>
      <c r="D337" s="65">
        <v>46099</v>
      </c>
      <c r="E337" s="63" t="s">
        <v>1882</v>
      </c>
      <c r="F337" s="64" t="s">
        <v>240</v>
      </c>
      <c r="G337" s="63" t="s">
        <v>38</v>
      </c>
      <c r="H337" s="63" t="s">
        <v>28</v>
      </c>
      <c r="I337" s="63" t="s">
        <v>28</v>
      </c>
      <c r="J337" s="63" t="s">
        <v>15</v>
      </c>
      <c r="K337" s="18"/>
      <c r="L337" s="18"/>
      <c r="M337" s="18" t="s">
        <v>1038</v>
      </c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spans="1:27">
      <c r="A338" s="64" t="s">
        <v>1883</v>
      </c>
      <c r="B338" s="63" t="s">
        <v>1884</v>
      </c>
      <c r="C338" s="64" t="s">
        <v>58</v>
      </c>
      <c r="D338" s="65">
        <v>46099</v>
      </c>
      <c r="E338" s="63" t="s">
        <v>1885</v>
      </c>
      <c r="F338" s="64" t="s">
        <v>66</v>
      </c>
      <c r="G338" s="63" t="s">
        <v>149</v>
      </c>
      <c r="H338" s="63" t="s">
        <v>30</v>
      </c>
      <c r="I338" s="63" t="s">
        <v>30</v>
      </c>
      <c r="J338" s="63" t="s">
        <v>15</v>
      </c>
      <c r="K338" s="18"/>
      <c r="L338" s="18"/>
      <c r="M338" s="18" t="s">
        <v>1886</v>
      </c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spans="1:27">
      <c r="A339" s="63" t="s">
        <v>1888</v>
      </c>
      <c r="B339" s="63" t="s">
        <v>1889</v>
      </c>
      <c r="C339" s="64" t="s">
        <v>1891</v>
      </c>
      <c r="D339" s="65">
        <v>46106</v>
      </c>
      <c r="E339" s="63" t="s">
        <v>1892</v>
      </c>
      <c r="F339" s="64" t="s">
        <v>325</v>
      </c>
      <c r="G339" s="63" t="s">
        <v>46</v>
      </c>
      <c r="H339" s="63" t="s">
        <v>28</v>
      </c>
      <c r="I339" s="63" t="s">
        <v>28</v>
      </c>
      <c r="J339" s="63" t="s">
        <v>15</v>
      </c>
      <c r="K339" s="18"/>
      <c r="L339" s="18"/>
      <c r="M339" s="18" t="s">
        <v>1596</v>
      </c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spans="1:27">
      <c r="A340" s="63" t="s">
        <v>1893</v>
      </c>
      <c r="B340" s="63" t="s">
        <v>1894</v>
      </c>
      <c r="C340" s="64" t="s">
        <v>225</v>
      </c>
      <c r="D340" s="65">
        <v>46106</v>
      </c>
      <c r="E340" s="63" t="s">
        <v>1895</v>
      </c>
      <c r="F340" s="64" t="s">
        <v>202</v>
      </c>
      <c r="G340" s="63" t="s">
        <v>149</v>
      </c>
      <c r="H340" s="63" t="s">
        <v>48</v>
      </c>
      <c r="I340" s="63" t="s">
        <v>48</v>
      </c>
      <c r="J340" s="63" t="s">
        <v>15</v>
      </c>
      <c r="K340" s="18"/>
      <c r="L340" s="18"/>
      <c r="M340" s="18" t="s">
        <v>1402</v>
      </c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spans="1:27">
      <c r="A341" s="63" t="s">
        <v>1899</v>
      </c>
      <c r="B341" s="63" t="s">
        <v>1900</v>
      </c>
      <c r="C341" s="64" t="s">
        <v>183</v>
      </c>
      <c r="D341" s="65">
        <v>46106</v>
      </c>
      <c r="E341" s="63" t="s">
        <v>1901</v>
      </c>
      <c r="F341" s="64" t="s">
        <v>962</v>
      </c>
      <c r="G341" s="63" t="s">
        <v>67</v>
      </c>
      <c r="H341" s="63" t="s">
        <v>28</v>
      </c>
      <c r="I341" s="63" t="s">
        <v>28</v>
      </c>
      <c r="J341" s="63" t="s">
        <v>15</v>
      </c>
      <c r="K341" s="18"/>
      <c r="L341" s="18"/>
      <c r="M341" s="18" t="s">
        <v>560</v>
      </c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spans="1:27">
      <c r="A342" s="25" t="s">
        <v>1902</v>
      </c>
      <c r="B342" s="25" t="s">
        <v>1903</v>
      </c>
      <c r="C342" s="69" t="s">
        <v>215</v>
      </c>
      <c r="D342" s="70">
        <v>46134</v>
      </c>
      <c r="E342" s="25" t="s">
        <v>1904</v>
      </c>
      <c r="F342" s="69" t="s">
        <v>254</v>
      </c>
      <c r="G342" s="25" t="s">
        <v>38</v>
      </c>
      <c r="H342" s="25" t="s">
        <v>28</v>
      </c>
      <c r="I342" s="25" t="s">
        <v>28</v>
      </c>
      <c r="J342" s="25" t="s">
        <v>15</v>
      </c>
      <c r="K342" s="25"/>
      <c r="L342" s="18"/>
      <c r="M342" s="18" t="s">
        <v>1049</v>
      </c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spans="1:27">
      <c r="A343" s="25" t="s">
        <v>1905</v>
      </c>
      <c r="B343" s="25" t="s">
        <v>1906</v>
      </c>
      <c r="C343" s="69" t="s">
        <v>1721</v>
      </c>
      <c r="D343" s="70">
        <v>46139</v>
      </c>
      <c r="E343" s="25" t="s">
        <v>1907</v>
      </c>
      <c r="F343" s="69" t="s">
        <v>114</v>
      </c>
      <c r="G343" s="25" t="s">
        <v>38</v>
      </c>
      <c r="H343" s="25" t="s">
        <v>28</v>
      </c>
      <c r="I343" s="25" t="s">
        <v>28</v>
      </c>
      <c r="J343" s="25" t="s">
        <v>15</v>
      </c>
      <c r="K343" s="25"/>
      <c r="L343" s="18"/>
      <c r="M343" s="18" t="s">
        <v>807</v>
      </c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spans="1:27">
      <c r="A344" s="25" t="s">
        <v>1908</v>
      </c>
      <c r="B344" s="25" t="s">
        <v>1909</v>
      </c>
      <c r="C344" s="69" t="s">
        <v>354</v>
      </c>
      <c r="D344" s="70">
        <v>46139</v>
      </c>
      <c r="E344" s="25" t="s">
        <v>1910</v>
      </c>
      <c r="F344" s="69" t="s">
        <v>302</v>
      </c>
      <c r="G344" s="25" t="s">
        <v>38</v>
      </c>
      <c r="H344" s="25" t="s">
        <v>28</v>
      </c>
      <c r="I344" s="25" t="s">
        <v>28</v>
      </c>
      <c r="J344" s="25" t="s">
        <v>15</v>
      </c>
      <c r="K344" s="25"/>
      <c r="L344" s="18"/>
      <c r="M344" s="18" t="s">
        <v>1002</v>
      </c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spans="1:27">
      <c r="A345" s="25" t="s">
        <v>1912</v>
      </c>
      <c r="B345" s="25" t="s">
        <v>1913</v>
      </c>
      <c r="C345" s="69" t="s">
        <v>1507</v>
      </c>
      <c r="D345" s="70">
        <v>46139</v>
      </c>
      <c r="E345" s="25" t="s">
        <v>1914</v>
      </c>
      <c r="F345" s="69" t="s">
        <v>1916</v>
      </c>
      <c r="G345" s="25" t="s">
        <v>38</v>
      </c>
      <c r="H345" s="25" t="s">
        <v>28</v>
      </c>
      <c r="I345" s="25" t="s">
        <v>30</v>
      </c>
      <c r="J345" s="25" t="s">
        <v>15</v>
      </c>
      <c r="K345" s="25"/>
      <c r="L345" s="18"/>
      <c r="M345" s="18" t="s">
        <v>764</v>
      </c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spans="1:27">
      <c r="A346" s="63" t="s">
        <v>1917</v>
      </c>
      <c r="B346" s="63" t="s">
        <v>1918</v>
      </c>
      <c r="C346" s="64" t="s">
        <v>167</v>
      </c>
      <c r="D346" s="65">
        <v>46139</v>
      </c>
      <c r="E346" s="63" t="s">
        <v>1919</v>
      </c>
      <c r="F346" s="64" t="s">
        <v>1167</v>
      </c>
      <c r="G346" s="63" t="s">
        <v>38</v>
      </c>
      <c r="H346" s="63" t="s">
        <v>28</v>
      </c>
      <c r="I346" s="63" t="s">
        <v>28</v>
      </c>
      <c r="J346" s="63" t="s">
        <v>15</v>
      </c>
      <c r="K346" s="18"/>
      <c r="L346" s="18"/>
      <c r="M346" s="18" t="s">
        <v>1077</v>
      </c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spans="1:27">
      <c r="A347" s="63" t="s">
        <v>1920</v>
      </c>
      <c r="B347" s="63" t="s">
        <v>1921</v>
      </c>
      <c r="C347" s="64" t="s">
        <v>658</v>
      </c>
      <c r="D347" s="65">
        <v>46139</v>
      </c>
      <c r="E347" s="63" t="s">
        <v>1922</v>
      </c>
      <c r="F347" s="64" t="s">
        <v>1125</v>
      </c>
      <c r="G347" s="63" t="s">
        <v>38</v>
      </c>
      <c r="H347" s="63" t="s">
        <v>28</v>
      </c>
      <c r="I347" s="63" t="s">
        <v>28</v>
      </c>
      <c r="J347" s="63" t="s">
        <v>15</v>
      </c>
      <c r="K347" s="18"/>
      <c r="L347" s="18"/>
      <c r="M347" s="18" t="s">
        <v>1240</v>
      </c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spans="1:27">
      <c r="A348" s="63" t="s">
        <v>1923</v>
      </c>
      <c r="B348" s="63" t="s">
        <v>1924</v>
      </c>
      <c r="C348" s="64" t="s">
        <v>156</v>
      </c>
      <c r="D348" s="65">
        <v>46139</v>
      </c>
      <c r="E348" s="63" t="s">
        <v>1925</v>
      </c>
      <c r="F348" s="64" t="s">
        <v>669</v>
      </c>
      <c r="G348" s="63" t="s">
        <v>67</v>
      </c>
      <c r="H348" s="63" t="s">
        <v>28</v>
      </c>
      <c r="I348" s="63" t="s">
        <v>28</v>
      </c>
      <c r="J348" s="63" t="s">
        <v>15</v>
      </c>
      <c r="K348" s="18"/>
      <c r="L348" s="18"/>
      <c r="M348" s="18" t="s">
        <v>632</v>
      </c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spans="1:27">
      <c r="A349" s="63" t="s">
        <v>1929</v>
      </c>
      <c r="B349" s="63" t="s">
        <v>1930</v>
      </c>
      <c r="C349" s="64" t="s">
        <v>1788</v>
      </c>
      <c r="D349" s="65">
        <v>46139</v>
      </c>
      <c r="E349" s="63" t="s">
        <v>1931</v>
      </c>
      <c r="F349" s="64" t="s">
        <v>1333</v>
      </c>
      <c r="G349" s="63" t="s">
        <v>67</v>
      </c>
      <c r="H349" s="63" t="s">
        <v>30</v>
      </c>
      <c r="I349" s="63" t="s">
        <v>28</v>
      </c>
      <c r="J349" s="63" t="s">
        <v>15</v>
      </c>
      <c r="K349" s="18"/>
      <c r="L349" s="18"/>
      <c r="M349" s="18" t="s">
        <v>407</v>
      </c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spans="1:27">
      <c r="A350" s="63" t="s">
        <v>1933</v>
      </c>
      <c r="B350" s="63" t="s">
        <v>1934</v>
      </c>
      <c r="C350" s="64" t="s">
        <v>431</v>
      </c>
      <c r="D350" s="65">
        <v>46139</v>
      </c>
      <c r="E350" s="63" t="s">
        <v>1935</v>
      </c>
      <c r="F350" s="64" t="s">
        <v>297</v>
      </c>
      <c r="G350" s="63" t="s">
        <v>38</v>
      </c>
      <c r="H350" s="63" t="s">
        <v>30</v>
      </c>
      <c r="I350" s="63" t="s">
        <v>30</v>
      </c>
      <c r="J350" s="63" t="s">
        <v>15</v>
      </c>
      <c r="K350" s="18"/>
      <c r="L350" s="18"/>
      <c r="M350" s="18" t="s">
        <v>1008</v>
      </c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spans="1:27">
      <c r="A351" s="63"/>
      <c r="B351" s="63"/>
      <c r="C351" s="63"/>
      <c r="D351" s="65"/>
      <c r="E351" s="63"/>
      <c r="F351" s="63"/>
      <c r="G351" s="63"/>
      <c r="H351" s="63"/>
      <c r="I351" s="63"/>
      <c r="J351" s="63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spans="1:27">
      <c r="A352" s="63" t="s">
        <v>1938</v>
      </c>
      <c r="B352" s="63" t="s">
        <v>1939</v>
      </c>
      <c r="C352" s="63"/>
      <c r="D352" s="65">
        <v>46140</v>
      </c>
      <c r="E352" s="63" t="s">
        <v>1940</v>
      </c>
      <c r="F352" s="64" t="s">
        <v>84</v>
      </c>
      <c r="G352" s="63" t="s">
        <v>46</v>
      </c>
      <c r="H352" s="63" t="s">
        <v>1148</v>
      </c>
      <c r="I352" s="63"/>
      <c r="J352" s="63" t="s">
        <v>31</v>
      </c>
      <c r="K352" s="18"/>
      <c r="L352" s="18"/>
      <c r="M352" s="18" t="s">
        <v>1226</v>
      </c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spans="1:27">
      <c r="A353" s="63" t="s">
        <v>1943</v>
      </c>
      <c r="B353" s="63" t="s">
        <v>642</v>
      </c>
      <c r="C353" s="63"/>
      <c r="D353" s="65">
        <v>46140</v>
      </c>
      <c r="E353" s="63" t="s">
        <v>1944</v>
      </c>
      <c r="F353" s="64" t="s">
        <v>385</v>
      </c>
      <c r="G353" s="63" t="s">
        <v>137</v>
      </c>
      <c r="H353" s="63" t="s">
        <v>716</v>
      </c>
      <c r="I353" s="63"/>
      <c r="J353" s="63" t="s">
        <v>12</v>
      </c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spans="1:27">
      <c r="A354" s="63" t="s">
        <v>1945</v>
      </c>
      <c r="B354" s="63" t="s">
        <v>1946</v>
      </c>
      <c r="C354" s="64" t="s">
        <v>1820</v>
      </c>
      <c r="D354" s="65">
        <v>46149</v>
      </c>
      <c r="E354" s="63" t="s">
        <v>1947</v>
      </c>
      <c r="F354" s="64" t="s">
        <v>84</v>
      </c>
      <c r="G354" s="63" t="s">
        <v>67</v>
      </c>
      <c r="H354" s="63" t="s">
        <v>28</v>
      </c>
      <c r="I354" s="63" t="s">
        <v>97</v>
      </c>
      <c r="J354" s="63" t="s">
        <v>15</v>
      </c>
      <c r="K354" s="18"/>
      <c r="L354" s="18"/>
      <c r="M354" s="18" t="s">
        <v>317</v>
      </c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spans="1:27">
      <c r="A355" s="63" t="s">
        <v>1948</v>
      </c>
      <c r="B355" s="63" t="s">
        <v>1949</v>
      </c>
      <c r="C355" s="64" t="s">
        <v>748</v>
      </c>
      <c r="D355" s="65">
        <v>46162</v>
      </c>
      <c r="E355" s="63" t="s">
        <v>1950</v>
      </c>
      <c r="F355" s="64" t="s">
        <v>1916</v>
      </c>
      <c r="G355" s="63" t="s">
        <v>38</v>
      </c>
      <c r="H355" s="63" t="s">
        <v>28</v>
      </c>
      <c r="I355" s="63" t="s">
        <v>28</v>
      </c>
      <c r="J355" s="63" t="s">
        <v>15</v>
      </c>
      <c r="K355" s="18"/>
      <c r="L355" s="18"/>
      <c r="M355" s="18" t="s">
        <v>1077</v>
      </c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spans="1:27">
      <c r="A356" s="63" t="s">
        <v>1951</v>
      </c>
      <c r="B356" s="63" t="s">
        <v>1952</v>
      </c>
      <c r="C356" s="64" t="s">
        <v>167</v>
      </c>
      <c r="D356" s="65">
        <v>46162</v>
      </c>
      <c r="E356" s="63" t="s">
        <v>1953</v>
      </c>
      <c r="F356" s="64" t="s">
        <v>254</v>
      </c>
      <c r="G356" s="63" t="s">
        <v>38</v>
      </c>
      <c r="H356" s="63" t="s">
        <v>28</v>
      </c>
      <c r="I356" s="63" t="s">
        <v>28</v>
      </c>
      <c r="J356" s="63" t="s">
        <v>15</v>
      </c>
      <c r="K356" s="18"/>
      <c r="L356" s="18"/>
      <c r="M356" s="18" t="s">
        <v>1049</v>
      </c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spans="1:27">
      <c r="A357" s="63" t="s">
        <v>1956</v>
      </c>
      <c r="B357" s="63" t="s">
        <v>1957</v>
      </c>
      <c r="C357" s="64" t="s">
        <v>1958</v>
      </c>
      <c r="D357" s="65">
        <v>46192</v>
      </c>
      <c r="E357" s="63" t="s">
        <v>1959</v>
      </c>
      <c r="F357" s="64" t="s">
        <v>148</v>
      </c>
      <c r="G357" s="63" t="s">
        <v>149</v>
      </c>
      <c r="H357" s="63" t="s">
        <v>30</v>
      </c>
      <c r="I357" s="63" t="s">
        <v>30</v>
      </c>
      <c r="J357" s="63" t="s">
        <v>15</v>
      </c>
      <c r="K357" s="18"/>
      <c r="L357" s="18"/>
      <c r="M357" s="18" t="s">
        <v>1533</v>
      </c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spans="1:27">
      <c r="A358" s="63" t="s">
        <v>1961</v>
      </c>
      <c r="B358" s="63" t="s">
        <v>1962</v>
      </c>
      <c r="C358" s="64" t="s">
        <v>52</v>
      </c>
      <c r="D358" s="65">
        <v>46192</v>
      </c>
      <c r="E358" s="63" t="s">
        <v>1964</v>
      </c>
      <c r="F358" s="64" t="s">
        <v>417</v>
      </c>
      <c r="G358" s="63" t="s">
        <v>149</v>
      </c>
      <c r="H358" s="63" t="s">
        <v>97</v>
      </c>
      <c r="I358" s="63" t="s">
        <v>28</v>
      </c>
      <c r="J358" s="63" t="s">
        <v>15</v>
      </c>
      <c r="K358" s="18"/>
      <c r="L358" s="18"/>
      <c r="M358" s="18" t="s">
        <v>1965</v>
      </c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spans="1:27">
      <c r="A359" s="63" t="s">
        <v>1966</v>
      </c>
      <c r="B359" s="63" t="s">
        <v>1967</v>
      </c>
      <c r="C359" s="64" t="s">
        <v>1968</v>
      </c>
      <c r="D359" s="65">
        <v>46192</v>
      </c>
      <c r="E359" s="63" t="s">
        <v>1969</v>
      </c>
      <c r="F359" s="64" t="s">
        <v>143</v>
      </c>
      <c r="G359" s="63" t="s">
        <v>90</v>
      </c>
      <c r="H359" s="63" t="s">
        <v>30</v>
      </c>
      <c r="I359" s="63" t="s">
        <v>30</v>
      </c>
      <c r="J359" s="63" t="s">
        <v>12</v>
      </c>
      <c r="K359" s="18"/>
      <c r="L359" s="18"/>
      <c r="M359" s="18" t="s">
        <v>1079</v>
      </c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spans="1:27">
      <c r="A360" s="63" t="s">
        <v>1971</v>
      </c>
      <c r="B360" s="63" t="s">
        <v>1972</v>
      </c>
      <c r="C360" s="64" t="s">
        <v>810</v>
      </c>
      <c r="D360" s="65">
        <v>46192</v>
      </c>
      <c r="E360" s="63" t="s">
        <v>1974</v>
      </c>
      <c r="F360" s="64" t="s">
        <v>109</v>
      </c>
      <c r="G360" s="63" t="s">
        <v>90</v>
      </c>
      <c r="H360" s="63" t="s">
        <v>28</v>
      </c>
      <c r="I360" s="63" t="s">
        <v>28</v>
      </c>
      <c r="J360" s="63" t="s">
        <v>12</v>
      </c>
      <c r="K360" s="18"/>
      <c r="L360" s="18"/>
      <c r="M360" s="18" t="s">
        <v>1181</v>
      </c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spans="1:27">
      <c r="A361" s="63" t="s">
        <v>1975</v>
      </c>
      <c r="B361" s="63" t="s">
        <v>1976</v>
      </c>
      <c r="C361" s="64" t="s">
        <v>1718</v>
      </c>
      <c r="D361" s="65">
        <v>46192</v>
      </c>
      <c r="E361" s="63" t="s">
        <v>1977</v>
      </c>
      <c r="F361" s="64" t="s">
        <v>1125</v>
      </c>
      <c r="G361" s="63" t="s">
        <v>38</v>
      </c>
      <c r="H361" s="63" t="s">
        <v>28</v>
      </c>
      <c r="I361" s="63" t="s">
        <v>716</v>
      </c>
      <c r="J361" s="63" t="s">
        <v>15</v>
      </c>
      <c r="K361" s="18"/>
      <c r="L361" s="18"/>
      <c r="M361" s="18" t="s">
        <v>1008</v>
      </c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spans="1:27">
      <c r="A362" s="63" t="s">
        <v>1980</v>
      </c>
      <c r="B362" s="63" t="s">
        <v>1981</v>
      </c>
      <c r="C362" s="64" t="s">
        <v>1543</v>
      </c>
      <c r="D362" s="65">
        <v>46192</v>
      </c>
      <c r="E362" s="63" t="s">
        <v>1982</v>
      </c>
      <c r="F362" s="64" t="s">
        <v>169</v>
      </c>
      <c r="G362" s="63" t="s">
        <v>38</v>
      </c>
      <c r="H362" s="63" t="s">
        <v>28</v>
      </c>
      <c r="I362" s="63" t="s">
        <v>28</v>
      </c>
      <c r="J362" s="63" t="s">
        <v>15</v>
      </c>
      <c r="K362" s="18"/>
      <c r="L362" s="18"/>
      <c r="M362" s="18" t="s">
        <v>1182</v>
      </c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spans="1:27">
      <c r="A363" s="63" t="s">
        <v>1983</v>
      </c>
      <c r="B363" s="63" t="s">
        <v>1984</v>
      </c>
      <c r="C363" s="64" t="s">
        <v>940</v>
      </c>
      <c r="D363" s="65">
        <v>46192</v>
      </c>
      <c r="E363" s="63" t="s">
        <v>1985</v>
      </c>
      <c r="F363" s="64" t="s">
        <v>136</v>
      </c>
      <c r="G363" s="63" t="s">
        <v>38</v>
      </c>
      <c r="H363" s="63" t="s">
        <v>28</v>
      </c>
      <c r="I363" s="63" t="s">
        <v>28</v>
      </c>
      <c r="J363" s="63" t="s">
        <v>15</v>
      </c>
      <c r="K363" s="18"/>
      <c r="L363" s="18"/>
      <c r="M363" s="18" t="s">
        <v>728</v>
      </c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spans="1:27">
      <c r="A364" s="63" t="s">
        <v>1986</v>
      </c>
      <c r="B364" s="63" t="s">
        <v>1987</v>
      </c>
      <c r="C364" s="64" t="s">
        <v>638</v>
      </c>
      <c r="D364" s="65">
        <v>46192</v>
      </c>
      <c r="E364" s="63" t="s">
        <v>1988</v>
      </c>
      <c r="F364" s="64" t="s">
        <v>350</v>
      </c>
      <c r="G364" s="63" t="s">
        <v>38</v>
      </c>
      <c r="H364" s="63" t="s">
        <v>30</v>
      </c>
      <c r="I364" s="63" t="s">
        <v>30</v>
      </c>
      <c r="J364" s="63" t="s">
        <v>15</v>
      </c>
      <c r="K364" s="18"/>
      <c r="L364" s="18"/>
      <c r="M364" s="18" t="s">
        <v>836</v>
      </c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spans="1:27">
      <c r="A365" s="63" t="s">
        <v>1989</v>
      </c>
      <c r="B365" s="63" t="s">
        <v>1990</v>
      </c>
      <c r="C365" s="64" t="s">
        <v>1848</v>
      </c>
      <c r="D365" s="65">
        <v>46192</v>
      </c>
      <c r="E365" s="63" t="s">
        <v>1991</v>
      </c>
      <c r="F365" s="64" t="s">
        <v>136</v>
      </c>
      <c r="G365" s="63" t="s">
        <v>67</v>
      </c>
      <c r="H365" s="63" t="s">
        <v>30</v>
      </c>
      <c r="I365" s="63" t="s">
        <v>30</v>
      </c>
      <c r="J365" s="63" t="s">
        <v>15</v>
      </c>
      <c r="K365" s="18"/>
      <c r="L365" s="18"/>
      <c r="M365" s="18" t="s">
        <v>125</v>
      </c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spans="1:27">
      <c r="A366" s="63" t="s">
        <v>1992</v>
      </c>
      <c r="B366" s="63" t="s">
        <v>1993</v>
      </c>
      <c r="C366" s="64" t="s">
        <v>82</v>
      </c>
      <c r="D366" s="65">
        <v>46192</v>
      </c>
      <c r="E366" s="63" t="s">
        <v>1994</v>
      </c>
      <c r="F366" s="64" t="s">
        <v>669</v>
      </c>
      <c r="G366" s="63" t="s">
        <v>67</v>
      </c>
      <c r="H366" s="63" t="s">
        <v>716</v>
      </c>
      <c r="I366" s="63" t="s">
        <v>716</v>
      </c>
      <c r="J366" s="63" t="s">
        <v>15</v>
      </c>
      <c r="K366" s="18"/>
      <c r="L366" s="18"/>
      <c r="M366" s="18" t="s">
        <v>138</v>
      </c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spans="1:27">
      <c r="A367" s="63" t="s">
        <v>1997</v>
      </c>
      <c r="B367" s="63" t="s">
        <v>1998</v>
      </c>
      <c r="C367" s="64" t="s">
        <v>146</v>
      </c>
      <c r="D367" s="65">
        <v>46192</v>
      </c>
      <c r="E367" s="63" t="s">
        <v>1999</v>
      </c>
      <c r="F367" s="64" t="s">
        <v>114</v>
      </c>
      <c r="G367" s="63" t="s">
        <v>67</v>
      </c>
      <c r="H367" s="63" t="s">
        <v>28</v>
      </c>
      <c r="I367" s="63" t="s">
        <v>28</v>
      </c>
      <c r="J367" s="63" t="s">
        <v>15</v>
      </c>
      <c r="K367" s="18"/>
      <c r="L367" s="18"/>
      <c r="M367" s="18" t="s">
        <v>286</v>
      </c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spans="1:27">
      <c r="A368" s="63" t="s">
        <v>2000</v>
      </c>
      <c r="B368" s="63" t="s">
        <v>2001</v>
      </c>
      <c r="C368" s="64" t="s">
        <v>1861</v>
      </c>
      <c r="D368" s="65">
        <v>46192</v>
      </c>
      <c r="E368" s="63" t="s">
        <v>2003</v>
      </c>
      <c r="F368" s="64" t="s">
        <v>84</v>
      </c>
      <c r="G368" s="63" t="s">
        <v>67</v>
      </c>
      <c r="H368" s="63" t="s">
        <v>28</v>
      </c>
      <c r="I368" s="63" t="s">
        <v>97</v>
      </c>
      <c r="J368" s="63" t="s">
        <v>15</v>
      </c>
      <c r="K368" s="18"/>
      <c r="L368" s="18"/>
      <c r="M368" s="18" t="s">
        <v>317</v>
      </c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spans="1:27">
      <c r="A369" s="63" t="s">
        <v>2005</v>
      </c>
      <c r="B369" s="63" t="s">
        <v>2006</v>
      </c>
      <c r="C369" s="64" t="s">
        <v>93</v>
      </c>
      <c r="D369" s="65">
        <v>46196</v>
      </c>
      <c r="E369" s="63" t="s">
        <v>2007</v>
      </c>
      <c r="F369" s="64" t="s">
        <v>60</v>
      </c>
      <c r="G369" s="63" t="s">
        <v>2008</v>
      </c>
      <c r="H369" s="63" t="s">
        <v>28</v>
      </c>
      <c r="I369" s="63" t="s">
        <v>97</v>
      </c>
      <c r="J369" s="63" t="s">
        <v>12</v>
      </c>
      <c r="K369" s="18"/>
      <c r="L369" s="18"/>
      <c r="M369" s="18" t="s">
        <v>1932</v>
      </c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spans="1:27">
      <c r="A370" s="63" t="s">
        <v>2011</v>
      </c>
      <c r="B370" s="63" t="s">
        <v>2012</v>
      </c>
      <c r="C370" s="64" t="s">
        <v>1748</v>
      </c>
      <c r="D370" s="65">
        <v>46205</v>
      </c>
      <c r="E370" s="63" t="s">
        <v>2013</v>
      </c>
      <c r="F370" s="64" t="s">
        <v>211</v>
      </c>
      <c r="G370" s="63" t="s">
        <v>38</v>
      </c>
      <c r="H370" s="63" t="s">
        <v>48</v>
      </c>
      <c r="I370" s="63" t="s">
        <v>30</v>
      </c>
      <c r="J370" s="63" t="s">
        <v>15</v>
      </c>
      <c r="K370" s="18"/>
      <c r="L370" s="18"/>
      <c r="M370" s="18" t="s">
        <v>972</v>
      </c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spans="1:27">
      <c r="A371" s="63" t="s">
        <v>2014</v>
      </c>
      <c r="B371" s="63" t="s">
        <v>2015</v>
      </c>
      <c r="C371" s="64" t="s">
        <v>215</v>
      </c>
      <c r="D371" s="65">
        <v>46206</v>
      </c>
      <c r="E371" s="63" t="s">
        <v>2016</v>
      </c>
      <c r="F371" s="64" t="s">
        <v>297</v>
      </c>
      <c r="G371" s="63" t="s">
        <v>38</v>
      </c>
      <c r="H371" s="63" t="s">
        <v>28</v>
      </c>
      <c r="I371" s="63" t="s">
        <v>28</v>
      </c>
      <c r="J371" s="63" t="s">
        <v>15</v>
      </c>
      <c r="K371" s="18"/>
      <c r="L371" s="18"/>
      <c r="M371" s="18" t="s">
        <v>1038</v>
      </c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spans="1:27">
      <c r="A372" s="63" t="s">
        <v>2017</v>
      </c>
      <c r="B372" s="63" t="s">
        <v>2018</v>
      </c>
      <c r="C372" s="64" t="s">
        <v>107</v>
      </c>
      <c r="D372" s="65">
        <v>46206</v>
      </c>
      <c r="E372" s="63" t="s">
        <v>2019</v>
      </c>
      <c r="F372" s="64" t="s">
        <v>873</v>
      </c>
      <c r="G372" s="63" t="s">
        <v>46</v>
      </c>
      <c r="H372" s="63" t="s">
        <v>30</v>
      </c>
      <c r="I372" s="63" t="s">
        <v>28</v>
      </c>
      <c r="J372" s="63" t="s">
        <v>15</v>
      </c>
      <c r="K372" s="18"/>
      <c r="L372" s="18"/>
      <c r="M372" s="18" t="s">
        <v>1273</v>
      </c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spans="1:27">
      <c r="A373" s="63"/>
      <c r="B373" s="63"/>
      <c r="C373" s="63"/>
      <c r="D373" s="65"/>
      <c r="E373" s="63"/>
      <c r="F373" s="63"/>
      <c r="G373" s="63"/>
      <c r="H373" s="63"/>
      <c r="I373" s="63"/>
      <c r="J373" s="63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spans="1:27">
      <c r="A374" s="63" t="s">
        <v>2022</v>
      </c>
      <c r="B374" s="63" t="s">
        <v>2023</v>
      </c>
      <c r="C374" s="64" t="s">
        <v>52</v>
      </c>
      <c r="D374" s="65">
        <v>46213</v>
      </c>
      <c r="E374" s="63" t="s">
        <v>2024</v>
      </c>
      <c r="F374" s="64" t="s">
        <v>885</v>
      </c>
      <c r="G374" s="63" t="s">
        <v>67</v>
      </c>
      <c r="H374" s="63" t="s">
        <v>28</v>
      </c>
      <c r="I374" s="63" t="s">
        <v>28</v>
      </c>
      <c r="J374" s="63" t="s">
        <v>15</v>
      </c>
      <c r="K374" s="18"/>
      <c r="L374" s="18"/>
      <c r="M374" s="18" t="s">
        <v>138</v>
      </c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spans="1:27">
      <c r="A375" s="63" t="s">
        <v>2027</v>
      </c>
      <c r="B375" s="63" t="s">
        <v>2028</v>
      </c>
      <c r="C375" s="64" t="s">
        <v>1327</v>
      </c>
      <c r="D375" s="65">
        <v>46213</v>
      </c>
      <c r="E375" s="63" t="s">
        <v>2029</v>
      </c>
      <c r="F375" s="64" t="s">
        <v>530</v>
      </c>
      <c r="G375" s="63" t="s">
        <v>38</v>
      </c>
      <c r="H375" s="63" t="s">
        <v>30</v>
      </c>
      <c r="I375" s="63" t="s">
        <v>30</v>
      </c>
      <c r="J375" s="63" t="s">
        <v>15</v>
      </c>
      <c r="K375" s="18"/>
      <c r="L375" s="18"/>
      <c r="M375" s="18" t="s">
        <v>125</v>
      </c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spans="1:27">
      <c r="A376" s="63" t="s">
        <v>2030</v>
      </c>
      <c r="B376" s="63" t="s">
        <v>2031</v>
      </c>
      <c r="C376" s="64" t="s">
        <v>2032</v>
      </c>
      <c r="D376" s="65">
        <v>46220</v>
      </c>
      <c r="E376" s="63" t="s">
        <v>2033</v>
      </c>
      <c r="F376" s="64" t="s">
        <v>1552</v>
      </c>
      <c r="G376" s="63" t="s">
        <v>38</v>
      </c>
      <c r="H376" s="63" t="s">
        <v>28</v>
      </c>
      <c r="I376" s="63" t="s">
        <v>28</v>
      </c>
      <c r="J376" s="63" t="s">
        <v>15</v>
      </c>
      <c r="K376" s="18"/>
      <c r="L376" s="18"/>
      <c r="M376" s="18" t="s">
        <v>821</v>
      </c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spans="1:27">
      <c r="A377" s="63" t="s">
        <v>2034</v>
      </c>
      <c r="B377" s="63" t="s">
        <v>2035</v>
      </c>
      <c r="C377" s="64" t="s">
        <v>173</v>
      </c>
      <c r="D377" s="65">
        <v>46220</v>
      </c>
      <c r="E377" s="63" t="s">
        <v>2036</v>
      </c>
      <c r="F377" s="64" t="s">
        <v>120</v>
      </c>
      <c r="G377" s="63" t="s">
        <v>67</v>
      </c>
      <c r="H377" s="63" t="s">
        <v>97</v>
      </c>
      <c r="I377" s="63" t="s">
        <v>97</v>
      </c>
      <c r="J377" s="63" t="s">
        <v>15</v>
      </c>
      <c r="K377" s="18"/>
      <c r="L377" s="18"/>
      <c r="M377" s="18" t="s">
        <v>433</v>
      </c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spans="1:27">
      <c r="A378" s="63" t="s">
        <v>2038</v>
      </c>
      <c r="B378" s="63" t="s">
        <v>2040</v>
      </c>
      <c r="C378" s="64" t="s">
        <v>167</v>
      </c>
      <c r="D378" s="65">
        <v>46224</v>
      </c>
      <c r="E378" s="63" t="s">
        <v>2041</v>
      </c>
      <c r="F378" s="64" t="s">
        <v>1333</v>
      </c>
      <c r="G378" s="63" t="s">
        <v>67</v>
      </c>
      <c r="H378" s="63" t="s">
        <v>28</v>
      </c>
      <c r="I378" s="63" t="s">
        <v>28</v>
      </c>
      <c r="J378" s="63" t="s">
        <v>15</v>
      </c>
      <c r="K378" s="18"/>
      <c r="L378" s="18"/>
      <c r="M378" s="18" t="s">
        <v>317</v>
      </c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spans="1:27">
      <c r="A379" s="63" t="s">
        <v>2042</v>
      </c>
      <c r="B379" s="63" t="s">
        <v>2043</v>
      </c>
      <c r="C379" s="64" t="s">
        <v>354</v>
      </c>
      <c r="D379" s="65">
        <v>46224</v>
      </c>
      <c r="E379" s="63" t="s">
        <v>2044</v>
      </c>
      <c r="F379" s="64" t="s">
        <v>240</v>
      </c>
      <c r="G379" s="63" t="s">
        <v>67</v>
      </c>
      <c r="H379" s="63" t="s">
        <v>30</v>
      </c>
      <c r="I379" s="63" t="s">
        <v>28</v>
      </c>
      <c r="J379" s="63" t="s">
        <v>15</v>
      </c>
      <c r="K379" s="18"/>
      <c r="L379" s="18"/>
      <c r="M379" s="18" t="s">
        <v>836</v>
      </c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spans="1:27">
      <c r="A380" s="63" t="s">
        <v>2047</v>
      </c>
      <c r="B380" s="63" t="s">
        <v>2048</v>
      </c>
      <c r="C380" s="64" t="s">
        <v>2049</v>
      </c>
      <c r="D380" s="65">
        <v>46230</v>
      </c>
      <c r="E380" s="63" t="s">
        <v>2050</v>
      </c>
      <c r="F380" s="64" t="s">
        <v>350</v>
      </c>
      <c r="G380" s="63" t="s">
        <v>67</v>
      </c>
      <c r="H380" s="63" t="s">
        <v>97</v>
      </c>
      <c r="I380" s="63" t="s">
        <v>97</v>
      </c>
      <c r="J380" s="63" t="s">
        <v>15</v>
      </c>
      <c r="K380" s="18"/>
      <c r="L380" s="18"/>
      <c r="M380" s="18" t="s">
        <v>96</v>
      </c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spans="1:27">
      <c r="A381" s="63" t="s">
        <v>2051</v>
      </c>
      <c r="B381" s="63" t="s">
        <v>2052</v>
      </c>
      <c r="C381" s="64" t="s">
        <v>1058</v>
      </c>
      <c r="D381" s="65">
        <v>46230</v>
      </c>
      <c r="E381" s="63" t="s">
        <v>2053</v>
      </c>
      <c r="F381" s="64" t="s">
        <v>1552</v>
      </c>
      <c r="G381" s="63" t="s">
        <v>67</v>
      </c>
      <c r="H381" s="63" t="s">
        <v>28</v>
      </c>
      <c r="I381" s="63" t="s">
        <v>28</v>
      </c>
      <c r="J381" s="63" t="s">
        <v>15</v>
      </c>
      <c r="K381" s="18"/>
      <c r="L381" s="18"/>
      <c r="M381" s="18" t="s">
        <v>472</v>
      </c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spans="1:27">
      <c r="A382" s="63" t="s">
        <v>2054</v>
      </c>
      <c r="B382" s="63" t="s">
        <v>2055</v>
      </c>
      <c r="C382" s="64" t="s">
        <v>1463</v>
      </c>
      <c r="D382" s="65">
        <v>46230</v>
      </c>
      <c r="E382" s="63" t="s">
        <v>2056</v>
      </c>
      <c r="F382" s="64" t="s">
        <v>95</v>
      </c>
      <c r="G382" s="63" t="s">
        <v>38</v>
      </c>
      <c r="H382" s="63" t="s">
        <v>28</v>
      </c>
      <c r="I382" s="63" t="s">
        <v>28</v>
      </c>
      <c r="J382" s="63" t="s">
        <v>15</v>
      </c>
      <c r="K382" s="18"/>
      <c r="L382" s="18"/>
      <c r="M382" s="18" t="s">
        <v>1269</v>
      </c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spans="1:27">
      <c r="A383" s="63" t="s">
        <v>2057</v>
      </c>
      <c r="B383" s="63" t="s">
        <v>2058</v>
      </c>
      <c r="C383" s="64" t="s">
        <v>1968</v>
      </c>
      <c r="D383" s="65">
        <v>46240</v>
      </c>
      <c r="E383" s="63" t="s">
        <v>2059</v>
      </c>
      <c r="F383" s="64" t="s">
        <v>297</v>
      </c>
      <c r="G383" s="63" t="s">
        <v>38</v>
      </c>
      <c r="H383" s="63" t="s">
        <v>28</v>
      </c>
      <c r="I383" s="63" t="s">
        <v>30</v>
      </c>
      <c r="J383" s="63" t="s">
        <v>15</v>
      </c>
      <c r="K383" s="18"/>
      <c r="L383" s="18"/>
      <c r="M383" s="18" t="s">
        <v>1038</v>
      </c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spans="1:27">
      <c r="A384" s="63" t="s">
        <v>2060</v>
      </c>
      <c r="B384" s="63" t="s">
        <v>2061</v>
      </c>
      <c r="C384" s="64" t="s">
        <v>1439</v>
      </c>
      <c r="D384" s="65">
        <v>46240</v>
      </c>
      <c r="E384" s="63" t="s">
        <v>2062</v>
      </c>
      <c r="F384" s="64" t="s">
        <v>669</v>
      </c>
      <c r="G384" s="63" t="s">
        <v>67</v>
      </c>
      <c r="H384" s="63" t="s">
        <v>28</v>
      </c>
      <c r="I384" s="63" t="s">
        <v>48</v>
      </c>
      <c r="J384" s="63" t="s">
        <v>15</v>
      </c>
      <c r="K384" s="18"/>
      <c r="L384" s="18"/>
      <c r="M384" s="18" t="s">
        <v>632</v>
      </c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spans="1:27">
      <c r="A385" s="63" t="s">
        <v>2063</v>
      </c>
      <c r="B385" s="63" t="s">
        <v>2064</v>
      </c>
      <c r="C385" s="64" t="s">
        <v>107</v>
      </c>
      <c r="D385" s="65">
        <v>46240</v>
      </c>
      <c r="E385" s="63" t="s">
        <v>2065</v>
      </c>
      <c r="F385" s="64" t="s">
        <v>143</v>
      </c>
      <c r="G385" s="63" t="s">
        <v>46</v>
      </c>
      <c r="H385" s="63" t="s">
        <v>28</v>
      </c>
      <c r="I385" s="63" t="s">
        <v>28</v>
      </c>
      <c r="J385" s="63" t="s">
        <v>15</v>
      </c>
      <c r="K385" s="18"/>
      <c r="L385" s="18"/>
      <c r="M385" s="18" t="s">
        <v>1273</v>
      </c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spans="1:27">
      <c r="A386" s="63" t="s">
        <v>2066</v>
      </c>
      <c r="B386" s="63" t="s">
        <v>2067</v>
      </c>
      <c r="C386" s="64" t="s">
        <v>2068</v>
      </c>
      <c r="D386" s="65">
        <v>46266</v>
      </c>
      <c r="E386" s="63" t="s">
        <v>2069</v>
      </c>
      <c r="F386" s="64" t="s">
        <v>26</v>
      </c>
      <c r="G386" s="63" t="s">
        <v>149</v>
      </c>
      <c r="H386" s="63" t="s">
        <v>30</v>
      </c>
      <c r="I386" s="63" t="s">
        <v>30</v>
      </c>
      <c r="J386" s="63" t="s">
        <v>15</v>
      </c>
      <c r="K386" s="18"/>
      <c r="L386" s="18"/>
      <c r="M386" s="18" t="s">
        <v>1432</v>
      </c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spans="1:27">
      <c r="A387" s="63" t="s">
        <v>2070</v>
      </c>
      <c r="B387" s="63" t="s">
        <v>2071</v>
      </c>
      <c r="C387" s="64" t="s">
        <v>183</v>
      </c>
      <c r="D387" s="65">
        <v>46266</v>
      </c>
      <c r="E387" s="63" t="s">
        <v>2074</v>
      </c>
      <c r="F387" s="64" t="s">
        <v>202</v>
      </c>
      <c r="G387" s="63" t="s">
        <v>149</v>
      </c>
      <c r="H387" s="63" t="s">
        <v>28</v>
      </c>
      <c r="I387" s="63" t="s">
        <v>28</v>
      </c>
      <c r="J387" s="63" t="s">
        <v>15</v>
      </c>
      <c r="K387" s="18"/>
      <c r="L387" s="18"/>
      <c r="M387" s="18" t="s">
        <v>1559</v>
      </c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spans="1:27">
      <c r="A388" s="63" t="s">
        <v>2076</v>
      </c>
      <c r="B388" s="63" t="s">
        <v>2077</v>
      </c>
      <c r="C388" s="64" t="s">
        <v>1213</v>
      </c>
      <c r="D388" s="65">
        <v>46266</v>
      </c>
      <c r="E388" s="63" t="s">
        <v>2078</v>
      </c>
      <c r="F388" s="64" t="s">
        <v>136</v>
      </c>
      <c r="G388" s="63" t="s">
        <v>67</v>
      </c>
      <c r="H388" s="63" t="s">
        <v>28</v>
      </c>
      <c r="I388" s="63" t="s">
        <v>28</v>
      </c>
      <c r="J388" s="63" t="s">
        <v>15</v>
      </c>
      <c r="K388" s="18"/>
      <c r="L388" s="18"/>
      <c r="M388" s="18" t="s">
        <v>608</v>
      </c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spans="1:27">
      <c r="A389" s="63" t="s">
        <v>2081</v>
      </c>
      <c r="B389" s="63" t="s">
        <v>2083</v>
      </c>
      <c r="C389" s="64" t="s">
        <v>1338</v>
      </c>
      <c r="D389" s="65">
        <v>46266</v>
      </c>
      <c r="E389" s="63" t="s">
        <v>2084</v>
      </c>
      <c r="F389" s="64" t="s">
        <v>684</v>
      </c>
      <c r="G389" s="63" t="s">
        <v>38</v>
      </c>
      <c r="H389" s="63" t="s">
        <v>28</v>
      </c>
      <c r="I389" s="63" t="s">
        <v>28</v>
      </c>
      <c r="J389" s="63" t="s">
        <v>15</v>
      </c>
      <c r="K389" s="18"/>
      <c r="L389" s="18"/>
      <c r="M389" s="18" t="s">
        <v>1113</v>
      </c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spans="1:27">
      <c r="A390" s="63" t="s">
        <v>2085</v>
      </c>
      <c r="B390" s="63" t="s">
        <v>2086</v>
      </c>
      <c r="C390" s="64" t="s">
        <v>1968</v>
      </c>
      <c r="D390" s="65">
        <v>46266</v>
      </c>
      <c r="E390" s="63" t="s">
        <v>2087</v>
      </c>
      <c r="F390" s="64" t="s">
        <v>297</v>
      </c>
      <c r="G390" s="63" t="s">
        <v>38</v>
      </c>
      <c r="H390" s="63" t="s">
        <v>28</v>
      </c>
      <c r="I390" s="63" t="s">
        <v>30</v>
      </c>
      <c r="J390" s="63" t="s">
        <v>15</v>
      </c>
      <c r="K390" s="18"/>
      <c r="L390" s="18"/>
      <c r="M390" s="18" t="s">
        <v>821</v>
      </c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spans="1:27">
      <c r="A391" s="63" t="s">
        <v>2090</v>
      </c>
      <c r="B391" s="63" t="s">
        <v>2092</v>
      </c>
      <c r="C391" s="64" t="s">
        <v>2089</v>
      </c>
      <c r="D391" s="65">
        <v>46266</v>
      </c>
      <c r="E391" s="63" t="s">
        <v>2093</v>
      </c>
      <c r="F391" s="64" t="s">
        <v>417</v>
      </c>
      <c r="G391" s="63" t="s">
        <v>149</v>
      </c>
      <c r="H391" s="63" t="s">
        <v>97</v>
      </c>
      <c r="I391" s="63" t="s">
        <v>97</v>
      </c>
      <c r="J391" s="63" t="s">
        <v>31</v>
      </c>
      <c r="K391" s="18"/>
      <c r="L391" s="18"/>
      <c r="M391" s="18" t="s">
        <v>662</v>
      </c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spans="1:27">
      <c r="A392" s="63" t="s">
        <v>2094</v>
      </c>
      <c r="B392" s="63" t="s">
        <v>665</v>
      </c>
      <c r="C392" s="64" t="s">
        <v>2080</v>
      </c>
      <c r="D392" s="65">
        <v>46266</v>
      </c>
      <c r="E392" s="63" t="s">
        <v>2095</v>
      </c>
      <c r="F392" s="64" t="s">
        <v>408</v>
      </c>
      <c r="G392" s="63" t="s">
        <v>67</v>
      </c>
      <c r="H392" s="63" t="s">
        <v>28</v>
      </c>
      <c r="I392" s="63" t="s">
        <v>28</v>
      </c>
      <c r="J392" s="63" t="s">
        <v>12</v>
      </c>
      <c r="K392" s="18"/>
      <c r="L392" s="18" t="s">
        <v>2096</v>
      </c>
      <c r="M392" s="18" t="s">
        <v>1840</v>
      </c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spans="1:27">
      <c r="A393" s="63" t="s">
        <v>2099</v>
      </c>
      <c r="B393" s="63" t="s">
        <v>2100</v>
      </c>
      <c r="C393" s="64" t="s">
        <v>2073</v>
      </c>
      <c r="D393" s="65">
        <v>46266</v>
      </c>
      <c r="E393" s="63" t="s">
        <v>2101</v>
      </c>
      <c r="F393" s="64" t="s">
        <v>1137</v>
      </c>
      <c r="G393" s="63" t="s">
        <v>46</v>
      </c>
      <c r="H393" s="63" t="s">
        <v>28</v>
      </c>
      <c r="I393" s="63" t="s">
        <v>28</v>
      </c>
      <c r="J393" s="63" t="s">
        <v>15</v>
      </c>
      <c r="K393" s="18"/>
      <c r="L393" s="18"/>
      <c r="M393" s="18" t="s">
        <v>1614</v>
      </c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spans="1:27">
      <c r="A394" s="63" t="s">
        <v>2102</v>
      </c>
      <c r="B394" s="63" t="s">
        <v>2103</v>
      </c>
      <c r="C394" s="64" t="s">
        <v>2104</v>
      </c>
      <c r="D394" s="65">
        <v>46266</v>
      </c>
      <c r="E394" s="63" t="s">
        <v>2105</v>
      </c>
      <c r="F394" s="64" t="s">
        <v>1675</v>
      </c>
      <c r="G394" s="63" t="s">
        <v>46</v>
      </c>
      <c r="H394" s="63" t="s">
        <v>97</v>
      </c>
      <c r="I394" s="63" t="s">
        <v>97</v>
      </c>
      <c r="J394" s="63" t="s">
        <v>15</v>
      </c>
      <c r="K394" s="18"/>
      <c r="L394" s="18"/>
      <c r="M394" s="18" t="s">
        <v>1655</v>
      </c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spans="1:27">
      <c r="A395" s="63" t="s">
        <v>2108</v>
      </c>
      <c r="B395" s="63" t="s">
        <v>2109</v>
      </c>
      <c r="C395" s="64" t="s">
        <v>954</v>
      </c>
      <c r="D395" s="65">
        <v>46266</v>
      </c>
      <c r="E395" s="63" t="s">
        <v>2110</v>
      </c>
      <c r="F395" s="64" t="s">
        <v>79</v>
      </c>
      <c r="G395" s="63" t="s">
        <v>149</v>
      </c>
      <c r="H395" s="63" t="s">
        <v>28</v>
      </c>
      <c r="I395" s="63" t="s">
        <v>28</v>
      </c>
      <c r="J395" s="63" t="s">
        <v>15</v>
      </c>
      <c r="K395" s="18"/>
      <c r="L395" s="18"/>
      <c r="M395" s="18" t="s">
        <v>1355</v>
      </c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spans="1:27">
      <c r="A396" s="63" t="s">
        <v>2111</v>
      </c>
      <c r="B396" s="63" t="s">
        <v>2112</v>
      </c>
      <c r="C396" s="64" t="s">
        <v>1820</v>
      </c>
      <c r="D396" s="65">
        <v>46266</v>
      </c>
      <c r="E396" s="63" t="s">
        <v>2114</v>
      </c>
      <c r="F396" s="64" t="s">
        <v>44</v>
      </c>
      <c r="G396" s="63" t="s">
        <v>90</v>
      </c>
      <c r="H396" s="63" t="s">
        <v>28</v>
      </c>
      <c r="I396" s="63" t="s">
        <v>97</v>
      </c>
      <c r="J396" s="63" t="s">
        <v>31</v>
      </c>
      <c r="K396" s="18"/>
      <c r="L396" s="18"/>
      <c r="M396" s="18" t="s">
        <v>1531</v>
      </c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spans="1:27">
      <c r="A397" s="63" t="s">
        <v>2116</v>
      </c>
      <c r="B397" s="63" t="s">
        <v>2117</v>
      </c>
      <c r="C397" s="64" t="s">
        <v>1157</v>
      </c>
      <c r="D397" s="65">
        <v>46266</v>
      </c>
      <c r="E397" s="63" t="s">
        <v>2118</v>
      </c>
      <c r="F397" s="64" t="s">
        <v>109</v>
      </c>
      <c r="G397" s="63" t="s">
        <v>90</v>
      </c>
      <c r="H397" s="63" t="s">
        <v>28</v>
      </c>
      <c r="I397" s="63" t="s">
        <v>30</v>
      </c>
      <c r="J397" s="63" t="s">
        <v>31</v>
      </c>
      <c r="K397" s="18"/>
      <c r="L397" s="18"/>
      <c r="M397" s="18" t="s">
        <v>1700</v>
      </c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spans="1:27">
      <c r="A398" s="63" t="s">
        <v>2119</v>
      </c>
      <c r="B398" s="63" t="s">
        <v>2120</v>
      </c>
      <c r="C398" s="64" t="s">
        <v>1361</v>
      </c>
      <c r="D398" s="65">
        <v>46290</v>
      </c>
      <c r="E398" s="63" t="s">
        <v>2122</v>
      </c>
      <c r="F398" s="64" t="s">
        <v>95</v>
      </c>
      <c r="G398" s="63" t="s">
        <v>38</v>
      </c>
      <c r="H398" s="63" t="s">
        <v>30</v>
      </c>
      <c r="I398" s="63" t="s">
        <v>30</v>
      </c>
      <c r="J398" s="63" t="s">
        <v>15</v>
      </c>
      <c r="K398" s="18"/>
      <c r="L398" s="18"/>
      <c r="M398" s="18" t="s">
        <v>728</v>
      </c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spans="1:27">
      <c r="A399" s="63" t="s">
        <v>2124</v>
      </c>
      <c r="B399" s="63" t="s">
        <v>2125</v>
      </c>
      <c r="C399" s="64" t="s">
        <v>644</v>
      </c>
      <c r="D399" s="65">
        <v>46309</v>
      </c>
      <c r="E399" s="63" t="s">
        <v>2126</v>
      </c>
      <c r="F399" s="64" t="s">
        <v>766</v>
      </c>
      <c r="G399" s="63" t="s">
        <v>67</v>
      </c>
      <c r="H399" s="63" t="s">
        <v>48</v>
      </c>
      <c r="I399" s="63" t="s">
        <v>502</v>
      </c>
      <c r="J399" s="63" t="s">
        <v>15</v>
      </c>
      <c r="K399" s="18"/>
      <c r="L399" s="18"/>
      <c r="M399" s="18" t="s">
        <v>433</v>
      </c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spans="1:27">
      <c r="A400" s="63" t="s">
        <v>2127</v>
      </c>
      <c r="B400" s="63" t="s">
        <v>2128</v>
      </c>
      <c r="C400" s="64" t="s">
        <v>739</v>
      </c>
      <c r="D400" s="65">
        <v>46309</v>
      </c>
      <c r="E400" s="63" t="s">
        <v>2129</v>
      </c>
      <c r="F400" s="64" t="s">
        <v>943</v>
      </c>
      <c r="G400" s="63" t="s">
        <v>38</v>
      </c>
      <c r="H400" s="63" t="s">
        <v>28</v>
      </c>
      <c r="I400" s="63" t="s">
        <v>28</v>
      </c>
      <c r="J400" s="63" t="s">
        <v>15</v>
      </c>
      <c r="K400" s="18"/>
      <c r="L400" s="18"/>
      <c r="M400" s="18" t="s">
        <v>1087</v>
      </c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spans="1:27">
      <c r="A401" s="63" t="s">
        <v>2132</v>
      </c>
      <c r="B401" s="63" t="s">
        <v>2133</v>
      </c>
      <c r="C401" s="64" t="s">
        <v>2134</v>
      </c>
      <c r="D401" s="65">
        <v>46309</v>
      </c>
      <c r="E401" s="63" t="s">
        <v>2135</v>
      </c>
      <c r="F401" s="64" t="s">
        <v>400</v>
      </c>
      <c r="G401" s="63" t="s">
        <v>149</v>
      </c>
      <c r="H401" s="63" t="s">
        <v>716</v>
      </c>
      <c r="I401" s="63" t="s">
        <v>716</v>
      </c>
      <c r="J401" s="63" t="s">
        <v>15</v>
      </c>
      <c r="K401" s="18"/>
      <c r="L401" s="18"/>
      <c r="M401" s="18" t="s">
        <v>1380</v>
      </c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spans="1:27">
      <c r="A402" s="63" t="s">
        <v>2136</v>
      </c>
      <c r="B402" s="63" t="s">
        <v>2137</v>
      </c>
      <c r="C402" s="64" t="s">
        <v>107</v>
      </c>
      <c r="D402" s="65">
        <v>46309</v>
      </c>
      <c r="E402" s="63" t="s">
        <v>2138</v>
      </c>
      <c r="F402" s="64" t="s">
        <v>169</v>
      </c>
      <c r="G402" s="63" t="s">
        <v>67</v>
      </c>
      <c r="H402" s="63" t="s">
        <v>97</v>
      </c>
      <c r="I402" s="63" t="s">
        <v>28</v>
      </c>
      <c r="J402" s="63" t="s">
        <v>15</v>
      </c>
      <c r="K402" s="18"/>
      <c r="L402" s="18"/>
      <c r="M402" s="18" t="s">
        <v>472</v>
      </c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spans="1:27">
      <c r="A403" s="63" t="s">
        <v>2141</v>
      </c>
      <c r="B403" s="63" t="s">
        <v>2142</v>
      </c>
      <c r="C403" s="64" t="s">
        <v>196</v>
      </c>
      <c r="D403" s="65">
        <v>46309</v>
      </c>
      <c r="E403" s="63" t="s">
        <v>2143</v>
      </c>
      <c r="F403" s="64" t="s">
        <v>84</v>
      </c>
      <c r="G403" s="63" t="s">
        <v>46</v>
      </c>
      <c r="H403" s="63" t="s">
        <v>28</v>
      </c>
      <c r="I403" s="63" t="s">
        <v>28</v>
      </c>
      <c r="J403" s="63" t="s">
        <v>15</v>
      </c>
      <c r="K403" s="18"/>
      <c r="L403" s="18"/>
      <c r="M403" s="18" t="s">
        <v>1459</v>
      </c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spans="1:27">
      <c r="A404" s="63" t="s">
        <v>2144</v>
      </c>
      <c r="B404" s="63" t="s">
        <v>2145</v>
      </c>
      <c r="C404" s="64" t="s">
        <v>558</v>
      </c>
      <c r="D404" s="65">
        <v>46309</v>
      </c>
      <c r="E404" s="63" t="s">
        <v>2146</v>
      </c>
      <c r="F404" s="64" t="s">
        <v>302</v>
      </c>
      <c r="G404" s="63" t="s">
        <v>38</v>
      </c>
      <c r="H404" s="63" t="s">
        <v>28</v>
      </c>
      <c r="I404" s="63" t="s">
        <v>30</v>
      </c>
      <c r="J404" s="63" t="s">
        <v>15</v>
      </c>
      <c r="K404" s="18"/>
      <c r="L404" s="18"/>
      <c r="M404" s="18" t="s">
        <v>1038</v>
      </c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spans="1:27">
      <c r="A405" s="63" t="s">
        <v>2149</v>
      </c>
      <c r="B405" s="63" t="s">
        <v>1913</v>
      </c>
      <c r="C405" s="64" t="s">
        <v>189</v>
      </c>
      <c r="D405" s="65">
        <v>46309</v>
      </c>
      <c r="E405" s="63" t="s">
        <v>2150</v>
      </c>
      <c r="F405" s="64" t="s">
        <v>1137</v>
      </c>
      <c r="G405" s="63" t="s">
        <v>46</v>
      </c>
      <c r="H405" s="63" t="s">
        <v>28</v>
      </c>
      <c r="I405" s="63" t="s">
        <v>30</v>
      </c>
      <c r="J405" s="63" t="s">
        <v>12</v>
      </c>
      <c r="K405" s="18"/>
      <c r="L405" s="18"/>
      <c r="M405" s="18" t="s">
        <v>1409</v>
      </c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spans="1:27">
      <c r="A406" s="63" t="s">
        <v>2151</v>
      </c>
      <c r="B406" s="63" t="s">
        <v>2152</v>
      </c>
      <c r="C406" s="64" t="s">
        <v>954</v>
      </c>
      <c r="D406" s="65">
        <v>46309</v>
      </c>
      <c r="E406" s="63" t="s">
        <v>2153</v>
      </c>
      <c r="F406" s="64" t="s">
        <v>60</v>
      </c>
      <c r="G406" s="63" t="s">
        <v>38</v>
      </c>
      <c r="H406" s="63" t="s">
        <v>28</v>
      </c>
      <c r="I406" s="63" t="s">
        <v>28</v>
      </c>
      <c r="J406" s="63" t="s">
        <v>15</v>
      </c>
      <c r="K406" s="18"/>
      <c r="L406" s="18"/>
      <c r="M406" s="18" t="s">
        <v>1077</v>
      </c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spans="1:27">
      <c r="A407" s="63" t="s">
        <v>2156</v>
      </c>
      <c r="B407" s="63" t="s">
        <v>2157</v>
      </c>
      <c r="C407" s="64" t="s">
        <v>313</v>
      </c>
      <c r="D407" s="65">
        <v>46309</v>
      </c>
      <c r="E407" s="63" t="s">
        <v>2158</v>
      </c>
      <c r="F407" s="64" t="s">
        <v>211</v>
      </c>
      <c r="G407" s="63" t="s">
        <v>67</v>
      </c>
      <c r="H407" s="63" t="s">
        <v>30</v>
      </c>
      <c r="I407" s="63" t="s">
        <v>30</v>
      </c>
      <c r="J407" s="63" t="s">
        <v>15</v>
      </c>
      <c r="K407" s="18"/>
      <c r="L407" s="18"/>
      <c r="M407" s="18" t="s">
        <v>536</v>
      </c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spans="1:27">
      <c r="A408" s="63" t="s">
        <v>2159</v>
      </c>
      <c r="B408" s="63" t="s">
        <v>2160</v>
      </c>
      <c r="C408" s="64" t="s">
        <v>2161</v>
      </c>
      <c r="D408" s="65">
        <v>46309</v>
      </c>
      <c r="E408" s="63" t="s">
        <v>2162</v>
      </c>
      <c r="F408" s="64" t="s">
        <v>26</v>
      </c>
      <c r="G408" s="63" t="s">
        <v>67</v>
      </c>
      <c r="H408" s="63" t="s">
        <v>48</v>
      </c>
      <c r="I408" s="63" t="s">
        <v>48</v>
      </c>
      <c r="J408" s="63" t="s">
        <v>15</v>
      </c>
      <c r="K408" s="18"/>
      <c r="L408" s="18"/>
      <c r="M408" s="18" t="s">
        <v>37</v>
      </c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spans="1:27">
      <c r="A409" s="63"/>
      <c r="B409" s="63"/>
      <c r="C409" s="63"/>
      <c r="D409" s="65"/>
      <c r="E409" s="63"/>
      <c r="F409" s="63"/>
      <c r="G409" s="63"/>
      <c r="H409" s="63"/>
      <c r="I409" s="63"/>
      <c r="J409" s="63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spans="1:27">
      <c r="A410" s="63"/>
      <c r="B410" s="63"/>
      <c r="C410" s="63"/>
      <c r="D410" s="65"/>
      <c r="E410" s="63"/>
      <c r="F410" s="63"/>
      <c r="G410" s="63"/>
      <c r="H410" s="63"/>
      <c r="I410" s="63"/>
      <c r="J410" s="63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spans="1:27">
      <c r="A411" s="63"/>
      <c r="B411" s="63"/>
      <c r="C411" s="63"/>
      <c r="D411" s="65"/>
      <c r="E411" s="63"/>
      <c r="F411" s="63"/>
      <c r="G411" s="63"/>
      <c r="H411" s="63"/>
      <c r="I411" s="63"/>
      <c r="J411" s="63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spans="1:27">
      <c r="A412" s="63"/>
      <c r="B412" s="63"/>
      <c r="C412" s="63"/>
      <c r="D412" s="65"/>
      <c r="E412" s="63"/>
      <c r="F412" s="63"/>
      <c r="G412" s="63"/>
      <c r="H412" s="63"/>
      <c r="I412" s="63"/>
      <c r="J412" s="63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spans="1:27">
      <c r="A413" s="63"/>
      <c r="B413" s="63"/>
      <c r="C413" s="63"/>
      <c r="D413" s="65"/>
      <c r="E413" s="63"/>
      <c r="F413" s="63"/>
      <c r="G413" s="63"/>
      <c r="H413" s="63"/>
      <c r="I413" s="63"/>
      <c r="J413" s="63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spans="1:27">
      <c r="A414" s="63"/>
      <c r="B414" s="63"/>
      <c r="C414" s="63"/>
      <c r="D414" s="65"/>
      <c r="E414" s="63"/>
      <c r="F414" s="63"/>
      <c r="G414" s="63"/>
      <c r="H414" s="63"/>
      <c r="I414" s="63"/>
      <c r="J414" s="63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spans="1:27">
      <c r="A415" s="63"/>
      <c r="B415" s="63"/>
      <c r="C415" s="63"/>
      <c r="D415" s="65"/>
      <c r="E415" s="63"/>
      <c r="F415" s="63"/>
      <c r="G415" s="63"/>
      <c r="H415" s="63"/>
      <c r="I415" s="63"/>
      <c r="J415" s="63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spans="1:27">
      <c r="A416" s="63"/>
      <c r="B416" s="63"/>
      <c r="C416" s="63"/>
      <c r="D416" s="65"/>
      <c r="E416" s="63"/>
      <c r="F416" s="63"/>
      <c r="G416" s="63"/>
      <c r="H416" s="63"/>
      <c r="I416" s="63"/>
      <c r="J416" s="63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spans="1:27">
      <c r="A417" s="63"/>
      <c r="B417" s="63"/>
      <c r="C417" s="63"/>
      <c r="D417" s="65"/>
      <c r="E417" s="63"/>
      <c r="F417" s="63"/>
      <c r="G417" s="63"/>
      <c r="H417" s="63"/>
      <c r="I417" s="63"/>
      <c r="J417" s="63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spans="1:27">
      <c r="A418" s="63"/>
      <c r="B418" s="63"/>
      <c r="C418" s="63"/>
      <c r="D418" s="65"/>
      <c r="E418" s="63"/>
      <c r="F418" s="63"/>
      <c r="G418" s="63"/>
      <c r="H418" s="63"/>
      <c r="I418" s="63"/>
      <c r="J418" s="63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spans="1:27">
      <c r="A419" s="63"/>
      <c r="B419" s="63"/>
      <c r="C419" s="63"/>
      <c r="D419" s="65"/>
      <c r="E419" s="63"/>
      <c r="F419" s="63"/>
      <c r="G419" s="63"/>
      <c r="H419" s="63"/>
      <c r="I419" s="63"/>
      <c r="J419" s="63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spans="1:27">
      <c r="A420" s="63"/>
      <c r="B420" s="63"/>
      <c r="C420" s="63"/>
      <c r="D420" s="65"/>
      <c r="E420" s="63"/>
      <c r="F420" s="63"/>
      <c r="G420" s="63"/>
      <c r="H420" s="63"/>
      <c r="I420" s="63"/>
      <c r="J420" s="63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spans="1:27">
      <c r="A421" s="63"/>
      <c r="B421" s="63"/>
      <c r="C421" s="63"/>
      <c r="D421" s="65"/>
      <c r="E421" s="63"/>
      <c r="F421" s="63"/>
      <c r="G421" s="63"/>
      <c r="H421" s="63"/>
      <c r="I421" s="63"/>
      <c r="J421" s="63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spans="1:27">
      <c r="A422" s="63"/>
      <c r="B422" s="63"/>
      <c r="C422" s="63"/>
      <c r="D422" s="65"/>
      <c r="E422" s="63"/>
      <c r="F422" s="63"/>
      <c r="G422" s="63"/>
      <c r="H422" s="63"/>
      <c r="I422" s="63"/>
      <c r="J422" s="63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spans="1:27">
      <c r="A423" s="63"/>
      <c r="B423" s="63"/>
      <c r="C423" s="63"/>
      <c r="D423" s="65"/>
      <c r="E423" s="63"/>
      <c r="F423" s="63"/>
      <c r="G423" s="63"/>
      <c r="H423" s="63"/>
      <c r="I423" s="63"/>
      <c r="J423" s="63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spans="1:27">
      <c r="A424" s="63"/>
      <c r="B424" s="63"/>
      <c r="C424" s="63"/>
      <c r="D424" s="65"/>
      <c r="E424" s="63"/>
      <c r="F424" s="63"/>
      <c r="G424" s="63"/>
      <c r="H424" s="63"/>
      <c r="I424" s="63"/>
      <c r="J424" s="63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spans="1:27">
      <c r="A425" s="63"/>
      <c r="B425" s="63"/>
      <c r="C425" s="63"/>
      <c r="D425" s="65"/>
      <c r="E425" s="63"/>
      <c r="F425" s="63"/>
      <c r="G425" s="63"/>
      <c r="H425" s="63"/>
      <c r="I425" s="63"/>
      <c r="J425" s="63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spans="1:27">
      <c r="A426" s="63"/>
      <c r="B426" s="63"/>
      <c r="C426" s="63"/>
      <c r="D426" s="65"/>
      <c r="E426" s="63"/>
      <c r="F426" s="63"/>
      <c r="G426" s="63"/>
      <c r="H426" s="63"/>
      <c r="I426" s="63"/>
      <c r="J426" s="63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spans="1:27">
      <c r="A427" s="63"/>
      <c r="B427" s="63"/>
      <c r="C427" s="63"/>
      <c r="D427" s="65"/>
      <c r="E427" s="63"/>
      <c r="F427" s="63"/>
      <c r="G427" s="63"/>
      <c r="H427" s="63"/>
      <c r="I427" s="63"/>
      <c r="J427" s="63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spans="1:27">
      <c r="A428" s="63"/>
      <c r="B428" s="63"/>
      <c r="C428" s="63"/>
      <c r="D428" s="65"/>
      <c r="E428" s="63"/>
      <c r="F428" s="63"/>
      <c r="G428" s="63"/>
      <c r="H428" s="63"/>
      <c r="I428" s="63"/>
      <c r="J428" s="63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spans="1:27">
      <c r="A429" s="63"/>
      <c r="B429" s="63"/>
      <c r="C429" s="63"/>
      <c r="D429" s="65"/>
      <c r="E429" s="63"/>
      <c r="F429" s="63"/>
      <c r="G429" s="63"/>
      <c r="H429" s="63"/>
      <c r="I429" s="63"/>
      <c r="J429" s="63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spans="1:27">
      <c r="A430" s="63"/>
      <c r="B430" s="63"/>
      <c r="C430" s="63"/>
      <c r="D430" s="65"/>
      <c r="E430" s="63"/>
      <c r="F430" s="63"/>
      <c r="G430" s="63"/>
      <c r="H430" s="63"/>
      <c r="I430" s="63"/>
      <c r="J430" s="63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spans="1:27">
      <c r="A431" s="63"/>
      <c r="B431" s="63"/>
      <c r="C431" s="63"/>
      <c r="D431" s="65"/>
      <c r="E431" s="63"/>
      <c r="F431" s="63"/>
      <c r="G431" s="63"/>
      <c r="H431" s="63"/>
      <c r="I431" s="63"/>
      <c r="J431" s="63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spans="1:27">
      <c r="A432" s="63"/>
      <c r="B432" s="63"/>
      <c r="C432" s="63"/>
      <c r="D432" s="65"/>
      <c r="E432" s="63"/>
      <c r="F432" s="63"/>
      <c r="G432" s="63"/>
      <c r="H432" s="63"/>
      <c r="I432" s="63"/>
      <c r="J432" s="63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spans="1:27">
      <c r="A433" s="63"/>
      <c r="B433" s="63"/>
      <c r="C433" s="63"/>
      <c r="D433" s="65"/>
      <c r="E433" s="63"/>
      <c r="F433" s="63"/>
      <c r="G433" s="63"/>
      <c r="H433" s="63"/>
      <c r="I433" s="63"/>
      <c r="J433" s="63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spans="1:27">
      <c r="A434" s="63"/>
      <c r="B434" s="63"/>
      <c r="C434" s="63"/>
      <c r="D434" s="65"/>
      <c r="E434" s="63"/>
      <c r="F434" s="63"/>
      <c r="G434" s="63"/>
      <c r="H434" s="63"/>
      <c r="I434" s="63"/>
      <c r="J434" s="63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spans="1:27">
      <c r="A435" s="63"/>
      <c r="B435" s="63"/>
      <c r="C435" s="63"/>
      <c r="D435" s="65"/>
      <c r="E435" s="63"/>
      <c r="F435" s="63"/>
      <c r="G435" s="63"/>
      <c r="H435" s="63"/>
      <c r="I435" s="63"/>
      <c r="J435" s="63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spans="1:27">
      <c r="A436" s="63"/>
      <c r="B436" s="63"/>
      <c r="C436" s="63"/>
      <c r="D436" s="65"/>
      <c r="E436" s="63"/>
      <c r="F436" s="63"/>
      <c r="G436" s="63"/>
      <c r="H436" s="63"/>
      <c r="I436" s="63"/>
      <c r="J436" s="63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spans="1:27">
      <c r="A437" s="63"/>
      <c r="B437" s="63"/>
      <c r="C437" s="63"/>
      <c r="D437" s="65"/>
      <c r="E437" s="63"/>
      <c r="F437" s="63"/>
      <c r="G437" s="63"/>
      <c r="H437" s="63"/>
      <c r="I437" s="63"/>
      <c r="J437" s="63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spans="1:27">
      <c r="A438" s="63"/>
      <c r="B438" s="63"/>
      <c r="C438" s="63"/>
      <c r="D438" s="65"/>
      <c r="E438" s="63"/>
      <c r="F438" s="63"/>
      <c r="G438" s="63"/>
      <c r="H438" s="63"/>
      <c r="I438" s="63"/>
      <c r="J438" s="63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spans="1:27">
      <c r="A439" s="63"/>
      <c r="B439" s="63"/>
      <c r="C439" s="63"/>
      <c r="D439" s="65"/>
      <c r="E439" s="63"/>
      <c r="F439" s="63"/>
      <c r="G439" s="63"/>
      <c r="H439" s="63"/>
      <c r="I439" s="63"/>
      <c r="J439" s="63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spans="1:27">
      <c r="A440" s="63"/>
      <c r="B440" s="63"/>
      <c r="C440" s="63"/>
      <c r="D440" s="65"/>
      <c r="E440" s="63"/>
      <c r="F440" s="63"/>
      <c r="G440" s="63"/>
      <c r="H440" s="63"/>
      <c r="I440" s="63"/>
      <c r="J440" s="63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spans="1:27">
      <c r="A441" s="63"/>
      <c r="B441" s="63"/>
      <c r="C441" s="63"/>
      <c r="D441" s="65"/>
      <c r="E441" s="63"/>
      <c r="F441" s="63"/>
      <c r="G441" s="63"/>
      <c r="H441" s="63"/>
      <c r="I441" s="63"/>
      <c r="J441" s="63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spans="1:27">
      <c r="A442" s="63"/>
      <c r="B442" s="63"/>
      <c r="C442" s="63"/>
      <c r="D442" s="65"/>
      <c r="E442" s="63"/>
      <c r="F442" s="63"/>
      <c r="G442" s="63"/>
      <c r="H442" s="63"/>
      <c r="I442" s="63"/>
      <c r="J442" s="63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spans="1:27">
      <c r="A443" s="63"/>
      <c r="B443" s="63"/>
      <c r="C443" s="63"/>
      <c r="D443" s="65"/>
      <c r="E443" s="63"/>
      <c r="F443" s="63"/>
      <c r="G443" s="63"/>
      <c r="H443" s="63"/>
      <c r="I443" s="63"/>
      <c r="J443" s="63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spans="1:27">
      <c r="A444" s="63"/>
      <c r="B444" s="63"/>
      <c r="C444" s="63"/>
      <c r="D444" s="65"/>
      <c r="E444" s="63"/>
      <c r="F444" s="63"/>
      <c r="G444" s="63"/>
      <c r="H444" s="63"/>
      <c r="I444" s="63"/>
      <c r="J444" s="63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spans="1:27">
      <c r="A445" s="63"/>
      <c r="B445" s="63"/>
      <c r="C445" s="63"/>
      <c r="D445" s="65"/>
      <c r="E445" s="63"/>
      <c r="F445" s="63"/>
      <c r="G445" s="63"/>
      <c r="H445" s="63"/>
      <c r="I445" s="63"/>
      <c r="J445" s="63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spans="1:27">
      <c r="A446" s="63"/>
      <c r="B446" s="63"/>
      <c r="C446" s="63"/>
      <c r="D446" s="65"/>
      <c r="E446" s="63"/>
      <c r="F446" s="63"/>
      <c r="G446" s="63"/>
      <c r="H446" s="63"/>
      <c r="I446" s="63"/>
      <c r="J446" s="63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spans="1:27">
      <c r="A447" s="63"/>
      <c r="B447" s="63"/>
      <c r="C447" s="63"/>
      <c r="D447" s="65"/>
      <c r="E447" s="63"/>
      <c r="F447" s="63"/>
      <c r="G447" s="63"/>
      <c r="H447" s="63"/>
      <c r="I447" s="63"/>
      <c r="J447" s="63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spans="1:27">
      <c r="A448" s="63"/>
      <c r="B448" s="63"/>
      <c r="C448" s="63"/>
      <c r="D448" s="65"/>
      <c r="E448" s="63"/>
      <c r="F448" s="63"/>
      <c r="G448" s="63"/>
      <c r="H448" s="63"/>
      <c r="I448" s="63"/>
      <c r="J448" s="63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spans="1:27">
      <c r="A449" s="63"/>
      <c r="B449" s="63"/>
      <c r="C449" s="63"/>
      <c r="D449" s="65"/>
      <c r="E449" s="63"/>
      <c r="F449" s="63"/>
      <c r="G449" s="63"/>
      <c r="H449" s="63"/>
      <c r="I449" s="63"/>
      <c r="J449" s="63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spans="1:27">
      <c r="A450" s="63"/>
      <c r="B450" s="63"/>
      <c r="C450" s="63"/>
      <c r="D450" s="65"/>
      <c r="E450" s="63"/>
      <c r="F450" s="63"/>
      <c r="G450" s="63"/>
      <c r="H450" s="63"/>
      <c r="I450" s="63"/>
      <c r="J450" s="63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spans="1:27">
      <c r="A451" s="63"/>
      <c r="B451" s="63"/>
      <c r="C451" s="63"/>
      <c r="D451" s="65"/>
      <c r="E451" s="63"/>
      <c r="F451" s="63"/>
      <c r="G451" s="63"/>
      <c r="H451" s="63"/>
      <c r="I451" s="63"/>
      <c r="J451" s="63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spans="1:27">
      <c r="A452" s="63"/>
      <c r="B452" s="63"/>
      <c r="C452" s="63"/>
      <c r="D452" s="65"/>
      <c r="E452" s="63"/>
      <c r="F452" s="63"/>
      <c r="G452" s="63"/>
      <c r="H452" s="63"/>
      <c r="I452" s="63"/>
      <c r="J452" s="63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spans="1:27">
      <c r="A453" s="63"/>
      <c r="B453" s="63"/>
      <c r="C453" s="63"/>
      <c r="D453" s="65"/>
      <c r="E453" s="63"/>
      <c r="F453" s="63"/>
      <c r="G453" s="63"/>
      <c r="H453" s="63"/>
      <c r="I453" s="63"/>
      <c r="J453" s="63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spans="1:27">
      <c r="A454" s="63"/>
      <c r="B454" s="63"/>
      <c r="C454" s="63"/>
      <c r="D454" s="65"/>
      <c r="E454" s="63"/>
      <c r="F454" s="63"/>
      <c r="G454" s="63"/>
      <c r="H454" s="63"/>
      <c r="I454" s="63"/>
      <c r="J454" s="63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spans="1:27">
      <c r="A455" s="63"/>
      <c r="B455" s="63"/>
      <c r="C455" s="63"/>
      <c r="D455" s="65"/>
      <c r="E455" s="63"/>
      <c r="F455" s="63"/>
      <c r="G455" s="63"/>
      <c r="H455" s="63"/>
      <c r="I455" s="63"/>
      <c r="J455" s="63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spans="1:27">
      <c r="A456" s="63"/>
      <c r="B456" s="63"/>
      <c r="C456" s="63"/>
      <c r="D456" s="65"/>
      <c r="E456" s="63"/>
      <c r="F456" s="63"/>
      <c r="G456" s="63"/>
      <c r="H456" s="63"/>
      <c r="I456" s="63"/>
      <c r="J456" s="63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spans="1:27">
      <c r="A457" s="63"/>
      <c r="B457" s="63"/>
      <c r="C457" s="63"/>
      <c r="D457" s="65"/>
      <c r="E457" s="63"/>
      <c r="F457" s="63"/>
      <c r="G457" s="63"/>
      <c r="H457" s="63"/>
      <c r="I457" s="63"/>
      <c r="J457" s="63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spans="1:27">
      <c r="A458" s="63"/>
      <c r="B458" s="63"/>
      <c r="C458" s="63"/>
      <c r="D458" s="65"/>
      <c r="E458" s="63"/>
      <c r="F458" s="63"/>
      <c r="G458" s="63"/>
      <c r="H458" s="63"/>
      <c r="I458" s="63"/>
      <c r="J458" s="63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spans="1:27">
      <c r="A459" s="63"/>
      <c r="B459" s="63"/>
      <c r="C459" s="63"/>
      <c r="D459" s="65"/>
      <c r="E459" s="63"/>
      <c r="F459" s="63"/>
      <c r="G459" s="63"/>
      <c r="H459" s="63"/>
      <c r="I459" s="63"/>
      <c r="J459" s="63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spans="1:27">
      <c r="A460" s="63"/>
      <c r="B460" s="63"/>
      <c r="C460" s="63"/>
      <c r="D460" s="65"/>
      <c r="E460" s="63"/>
      <c r="F460" s="63"/>
      <c r="G460" s="63"/>
      <c r="H460" s="63"/>
      <c r="I460" s="63"/>
      <c r="J460" s="63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spans="1:27">
      <c r="A461" s="63"/>
      <c r="B461" s="63"/>
      <c r="C461" s="63"/>
      <c r="D461" s="65"/>
      <c r="E461" s="63"/>
      <c r="F461" s="63"/>
      <c r="G461" s="63"/>
      <c r="H461" s="63"/>
      <c r="I461" s="63"/>
      <c r="J461" s="63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spans="1:27">
      <c r="A462" s="63"/>
      <c r="B462" s="63"/>
      <c r="C462" s="63"/>
      <c r="D462" s="65"/>
      <c r="E462" s="63"/>
      <c r="F462" s="63"/>
      <c r="G462" s="63"/>
      <c r="H462" s="63"/>
      <c r="I462" s="63"/>
      <c r="J462" s="63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spans="1:27">
      <c r="A463" s="63"/>
      <c r="B463" s="63"/>
      <c r="C463" s="63"/>
      <c r="D463" s="65"/>
      <c r="E463" s="63"/>
      <c r="F463" s="63"/>
      <c r="G463" s="63"/>
      <c r="H463" s="63"/>
      <c r="I463" s="63"/>
      <c r="J463" s="63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spans="1:27">
      <c r="A464" s="63"/>
      <c r="B464" s="63"/>
      <c r="C464" s="63"/>
      <c r="D464" s="65"/>
      <c r="E464" s="63"/>
      <c r="F464" s="63"/>
      <c r="G464" s="63"/>
      <c r="H464" s="63"/>
      <c r="I464" s="63"/>
      <c r="J464" s="63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spans="1:27">
      <c r="A465" s="63"/>
      <c r="B465" s="63"/>
      <c r="C465" s="63"/>
      <c r="D465" s="65"/>
      <c r="E465" s="63"/>
      <c r="F465" s="63"/>
      <c r="G465" s="63"/>
      <c r="H465" s="63"/>
      <c r="I465" s="63"/>
      <c r="J465" s="63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spans="1:27">
      <c r="A466" s="63"/>
      <c r="B466" s="63"/>
      <c r="C466" s="63"/>
      <c r="D466" s="65"/>
      <c r="E466" s="63"/>
      <c r="F466" s="63"/>
      <c r="G466" s="63"/>
      <c r="H466" s="63"/>
      <c r="I466" s="63"/>
      <c r="J466" s="63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spans="1:27">
      <c r="A467" s="63"/>
      <c r="B467" s="63"/>
      <c r="C467" s="63"/>
      <c r="D467" s="65"/>
      <c r="E467" s="63"/>
      <c r="F467" s="63"/>
      <c r="G467" s="63"/>
      <c r="H467" s="63"/>
      <c r="I467" s="63"/>
      <c r="J467" s="63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spans="1:27">
      <c r="A468" s="63"/>
      <c r="B468" s="63"/>
      <c r="C468" s="63"/>
      <c r="D468" s="65"/>
      <c r="E468" s="63"/>
      <c r="F468" s="63"/>
      <c r="G468" s="63"/>
      <c r="H468" s="63"/>
      <c r="I468" s="63"/>
      <c r="J468" s="63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spans="1:27">
      <c r="A469" s="63"/>
      <c r="B469" s="63"/>
      <c r="C469" s="63"/>
      <c r="D469" s="65"/>
      <c r="E469" s="63"/>
      <c r="F469" s="63"/>
      <c r="G469" s="63"/>
      <c r="H469" s="63"/>
      <c r="I469" s="63"/>
      <c r="J469" s="63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spans="1:27">
      <c r="A470" s="63"/>
      <c r="B470" s="63"/>
      <c r="C470" s="63"/>
      <c r="D470" s="65"/>
      <c r="E470" s="63"/>
      <c r="F470" s="63"/>
      <c r="G470" s="63"/>
      <c r="H470" s="63"/>
      <c r="I470" s="63"/>
      <c r="J470" s="63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spans="1:27">
      <c r="A471" s="63"/>
      <c r="B471" s="63"/>
      <c r="C471" s="63"/>
      <c r="D471" s="65"/>
      <c r="E471" s="63"/>
      <c r="F471" s="63"/>
      <c r="G471" s="63"/>
      <c r="H471" s="63"/>
      <c r="I471" s="63"/>
      <c r="J471" s="63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spans="1:27">
      <c r="A472" s="63"/>
      <c r="B472" s="63"/>
      <c r="C472" s="63"/>
      <c r="D472" s="65"/>
      <c r="E472" s="63"/>
      <c r="F472" s="63"/>
      <c r="G472" s="63"/>
      <c r="H472" s="63"/>
      <c r="I472" s="63"/>
      <c r="J472" s="63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spans="1:27">
      <c r="A473" s="63"/>
      <c r="B473" s="63"/>
      <c r="C473" s="63"/>
      <c r="D473" s="65"/>
      <c r="E473" s="63"/>
      <c r="F473" s="63"/>
      <c r="G473" s="63"/>
      <c r="H473" s="63"/>
      <c r="I473" s="63"/>
      <c r="J473" s="63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spans="1:27">
      <c r="A474" s="63"/>
      <c r="B474" s="63"/>
      <c r="C474" s="63"/>
      <c r="D474" s="65"/>
      <c r="E474" s="63"/>
      <c r="F474" s="63"/>
      <c r="G474" s="63"/>
      <c r="H474" s="63"/>
      <c r="I474" s="63"/>
      <c r="J474" s="63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spans="1:27">
      <c r="A475" s="63"/>
      <c r="B475" s="63"/>
      <c r="C475" s="63"/>
      <c r="D475" s="65"/>
      <c r="E475" s="63"/>
      <c r="F475" s="63"/>
      <c r="G475" s="63"/>
      <c r="H475" s="63"/>
      <c r="I475" s="63"/>
      <c r="J475" s="63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spans="1:27">
      <c r="A476" s="63"/>
      <c r="B476" s="63"/>
      <c r="C476" s="63"/>
      <c r="D476" s="65"/>
      <c r="E476" s="63"/>
      <c r="F476" s="63"/>
      <c r="G476" s="63"/>
      <c r="H476" s="63"/>
      <c r="I476" s="63"/>
      <c r="J476" s="63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spans="1:27">
      <c r="A477" s="63"/>
      <c r="B477" s="63"/>
      <c r="C477" s="63"/>
      <c r="D477" s="65"/>
      <c r="E477" s="63"/>
      <c r="F477" s="63"/>
      <c r="G477" s="63"/>
      <c r="H477" s="63"/>
      <c r="I477" s="63"/>
      <c r="J477" s="63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spans="1:27">
      <c r="A478" s="63"/>
      <c r="B478" s="63"/>
      <c r="C478" s="63"/>
      <c r="D478" s="65"/>
      <c r="E478" s="63"/>
      <c r="F478" s="63"/>
      <c r="G478" s="63"/>
      <c r="H478" s="63"/>
      <c r="I478" s="63"/>
      <c r="J478" s="63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spans="1:27">
      <c r="A479" s="63"/>
      <c r="B479" s="63"/>
      <c r="C479" s="63"/>
      <c r="D479" s="65"/>
      <c r="E479" s="63"/>
      <c r="F479" s="63"/>
      <c r="G479" s="63"/>
      <c r="H479" s="63"/>
      <c r="I479" s="63"/>
      <c r="J479" s="63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spans="1:27">
      <c r="A480" s="63"/>
      <c r="B480" s="63"/>
      <c r="C480" s="63"/>
      <c r="D480" s="65"/>
      <c r="E480" s="63"/>
      <c r="F480" s="63"/>
      <c r="G480" s="63"/>
      <c r="H480" s="63"/>
      <c r="I480" s="63"/>
      <c r="J480" s="63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spans="1:27">
      <c r="A481" s="63"/>
      <c r="B481" s="63"/>
      <c r="C481" s="63"/>
      <c r="D481" s="65"/>
      <c r="E481" s="63"/>
      <c r="F481" s="63"/>
      <c r="G481" s="63"/>
      <c r="H481" s="63"/>
      <c r="I481" s="63"/>
      <c r="J481" s="63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spans="1:27">
      <c r="A482" s="63"/>
      <c r="B482" s="63"/>
      <c r="C482" s="63"/>
      <c r="D482" s="65"/>
      <c r="E482" s="63"/>
      <c r="F482" s="63"/>
      <c r="G482" s="63"/>
      <c r="H482" s="63"/>
      <c r="I482" s="63"/>
      <c r="J482" s="63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spans="1:27">
      <c r="A483" s="63"/>
      <c r="B483" s="63"/>
      <c r="C483" s="63"/>
      <c r="D483" s="65"/>
      <c r="E483" s="63"/>
      <c r="F483" s="63"/>
      <c r="G483" s="63"/>
      <c r="H483" s="63"/>
      <c r="I483" s="63"/>
      <c r="J483" s="63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spans="1:27">
      <c r="A484" s="63"/>
      <c r="B484" s="63"/>
      <c r="C484" s="63"/>
      <c r="D484" s="65"/>
      <c r="E484" s="63"/>
      <c r="F484" s="63"/>
      <c r="G484" s="63"/>
      <c r="H484" s="63"/>
      <c r="I484" s="63"/>
      <c r="J484" s="63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spans="1:27">
      <c r="A485" s="63"/>
      <c r="B485" s="63"/>
      <c r="C485" s="63"/>
      <c r="D485" s="65"/>
      <c r="E485" s="63"/>
      <c r="F485" s="63"/>
      <c r="G485" s="63"/>
      <c r="H485" s="63"/>
      <c r="I485" s="63"/>
      <c r="J485" s="63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spans="1:27">
      <c r="A486" s="63"/>
      <c r="B486" s="63"/>
      <c r="C486" s="63"/>
      <c r="D486" s="65"/>
      <c r="E486" s="63"/>
      <c r="F486" s="63"/>
      <c r="G486" s="63"/>
      <c r="H486" s="63"/>
      <c r="I486" s="63"/>
      <c r="J486" s="63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spans="1:27">
      <c r="A487" s="63"/>
      <c r="B487" s="63"/>
      <c r="C487" s="63"/>
      <c r="D487" s="65"/>
      <c r="E487" s="63"/>
      <c r="F487" s="63"/>
      <c r="G487" s="63"/>
      <c r="H487" s="63"/>
      <c r="I487" s="63"/>
      <c r="J487" s="63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spans="1:27">
      <c r="A488" s="63"/>
      <c r="B488" s="63"/>
      <c r="C488" s="63"/>
      <c r="D488" s="65"/>
      <c r="E488" s="63"/>
      <c r="F488" s="63"/>
      <c r="G488" s="63"/>
      <c r="H488" s="63"/>
      <c r="I488" s="63"/>
      <c r="J488" s="63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spans="1:27">
      <c r="A489" s="63"/>
      <c r="B489" s="63"/>
      <c r="C489" s="63"/>
      <c r="D489" s="65"/>
      <c r="E489" s="63"/>
      <c r="F489" s="63"/>
      <c r="G489" s="63"/>
      <c r="H489" s="63"/>
      <c r="I489" s="63"/>
      <c r="J489" s="63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spans="1:27">
      <c r="A490" s="63"/>
      <c r="B490" s="63"/>
      <c r="C490" s="63"/>
      <c r="D490" s="65"/>
      <c r="E490" s="63"/>
      <c r="F490" s="63"/>
      <c r="G490" s="63"/>
      <c r="H490" s="63"/>
      <c r="I490" s="63"/>
      <c r="J490" s="63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spans="1:27">
      <c r="A491" s="63"/>
      <c r="B491" s="63"/>
      <c r="C491" s="63"/>
      <c r="D491" s="65"/>
      <c r="E491" s="63"/>
      <c r="F491" s="63"/>
      <c r="G491" s="63"/>
      <c r="H491" s="63"/>
      <c r="I491" s="63"/>
      <c r="J491" s="63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spans="1:27">
      <c r="A492" s="63"/>
      <c r="B492" s="63"/>
      <c r="C492" s="63"/>
      <c r="D492" s="65"/>
      <c r="E492" s="63"/>
      <c r="F492" s="63"/>
      <c r="G492" s="63"/>
      <c r="H492" s="63"/>
      <c r="I492" s="63"/>
      <c r="J492" s="63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spans="1:27">
      <c r="A493" s="63"/>
      <c r="B493" s="63"/>
      <c r="C493" s="63"/>
      <c r="D493" s="65"/>
      <c r="E493" s="63"/>
      <c r="F493" s="63"/>
      <c r="G493" s="63"/>
      <c r="H493" s="63"/>
      <c r="I493" s="63"/>
      <c r="J493" s="63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spans="1:27">
      <c r="A494" s="63"/>
      <c r="B494" s="63"/>
      <c r="C494" s="63"/>
      <c r="D494" s="65"/>
      <c r="E494" s="63"/>
      <c r="F494" s="63"/>
      <c r="G494" s="63"/>
      <c r="H494" s="63"/>
      <c r="I494" s="63"/>
      <c r="J494" s="63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spans="1:27">
      <c r="A495" s="63"/>
      <c r="B495" s="63"/>
      <c r="C495" s="63"/>
      <c r="D495" s="65"/>
      <c r="E495" s="63"/>
      <c r="F495" s="63"/>
      <c r="G495" s="63"/>
      <c r="H495" s="63"/>
      <c r="I495" s="63"/>
      <c r="J495" s="63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spans="1:27">
      <c r="A496" s="63"/>
      <c r="B496" s="63"/>
      <c r="C496" s="63"/>
      <c r="D496" s="65"/>
      <c r="E496" s="63"/>
      <c r="F496" s="63"/>
      <c r="G496" s="63"/>
      <c r="H496" s="63"/>
      <c r="I496" s="63"/>
      <c r="J496" s="63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spans="1:27">
      <c r="A497" s="63"/>
      <c r="B497" s="63"/>
      <c r="C497" s="63"/>
      <c r="D497" s="65"/>
      <c r="E497" s="63"/>
      <c r="F497" s="63"/>
      <c r="G497" s="63"/>
      <c r="H497" s="63"/>
      <c r="I497" s="63"/>
      <c r="J497" s="63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spans="1:27">
      <c r="A498" s="63"/>
      <c r="B498" s="63"/>
      <c r="C498" s="63"/>
      <c r="D498" s="65"/>
      <c r="E498" s="63"/>
      <c r="F498" s="63"/>
      <c r="G498" s="63"/>
      <c r="H498" s="63"/>
      <c r="I498" s="63"/>
      <c r="J498" s="63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spans="1:27">
      <c r="A499" s="63"/>
      <c r="B499" s="63"/>
      <c r="C499" s="63"/>
      <c r="D499" s="65"/>
      <c r="E499" s="63"/>
      <c r="F499" s="63"/>
      <c r="G499" s="63"/>
      <c r="H499" s="63"/>
      <c r="I499" s="63"/>
      <c r="J499" s="63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spans="1:27">
      <c r="A500" s="63"/>
      <c r="B500" s="63"/>
      <c r="C500" s="63"/>
      <c r="D500" s="65"/>
      <c r="E500" s="63"/>
      <c r="F500" s="63"/>
      <c r="G500" s="63"/>
      <c r="H500" s="63"/>
      <c r="I500" s="63"/>
      <c r="J500" s="63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spans="1:27">
      <c r="A501" s="63"/>
      <c r="B501" s="63"/>
      <c r="C501" s="63"/>
      <c r="D501" s="65"/>
      <c r="E501" s="63"/>
      <c r="F501" s="63"/>
      <c r="G501" s="63"/>
      <c r="H501" s="63"/>
      <c r="I501" s="63"/>
      <c r="J501" s="63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spans="1:27">
      <c r="A502" s="63"/>
      <c r="B502" s="63"/>
      <c r="C502" s="63"/>
      <c r="D502" s="65"/>
      <c r="E502" s="63"/>
      <c r="F502" s="63"/>
      <c r="G502" s="63"/>
      <c r="H502" s="63"/>
      <c r="I502" s="63"/>
      <c r="J502" s="63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spans="1:27">
      <c r="A503" s="63"/>
      <c r="B503" s="63"/>
      <c r="C503" s="63"/>
      <c r="D503" s="65"/>
      <c r="E503" s="63"/>
      <c r="F503" s="63"/>
      <c r="G503" s="63"/>
      <c r="H503" s="63"/>
      <c r="I503" s="63"/>
      <c r="J503" s="63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spans="1:27">
      <c r="A504" s="63"/>
      <c r="B504" s="63"/>
      <c r="C504" s="63"/>
      <c r="D504" s="65"/>
      <c r="E504" s="63"/>
      <c r="F504" s="63"/>
      <c r="G504" s="63"/>
      <c r="H504" s="63"/>
      <c r="I504" s="63"/>
      <c r="J504" s="63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spans="1:27">
      <c r="A505" s="63"/>
      <c r="B505" s="63"/>
      <c r="C505" s="63"/>
      <c r="D505" s="65"/>
      <c r="E505" s="63"/>
      <c r="F505" s="63"/>
      <c r="G505" s="63"/>
      <c r="H505" s="63"/>
      <c r="I505" s="63"/>
      <c r="J505" s="63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spans="1:27">
      <c r="A506" s="63"/>
      <c r="B506" s="63"/>
      <c r="C506" s="63"/>
      <c r="D506" s="65"/>
      <c r="E506" s="63"/>
      <c r="F506" s="63"/>
      <c r="G506" s="63"/>
      <c r="H506" s="63"/>
      <c r="I506" s="63"/>
      <c r="J506" s="63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spans="1:27">
      <c r="A507" s="63"/>
      <c r="B507" s="63"/>
      <c r="C507" s="63"/>
      <c r="D507" s="65"/>
      <c r="E507" s="63"/>
      <c r="F507" s="63"/>
      <c r="G507" s="63"/>
      <c r="H507" s="63"/>
      <c r="I507" s="63"/>
      <c r="J507" s="63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spans="1:27">
      <c r="A508" s="63"/>
      <c r="B508" s="63"/>
      <c r="C508" s="63"/>
      <c r="D508" s="65"/>
      <c r="E508" s="63"/>
      <c r="F508" s="63"/>
      <c r="G508" s="63"/>
      <c r="H508" s="63"/>
      <c r="I508" s="63"/>
      <c r="J508" s="63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spans="1:27">
      <c r="A509" s="63"/>
      <c r="B509" s="63"/>
      <c r="C509" s="63"/>
      <c r="D509" s="65"/>
      <c r="E509" s="63"/>
      <c r="F509" s="63"/>
      <c r="G509" s="63"/>
      <c r="H509" s="63"/>
      <c r="I509" s="63"/>
      <c r="J509" s="63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spans="1:27">
      <c r="A510" s="63"/>
      <c r="B510" s="63"/>
      <c r="C510" s="63"/>
      <c r="D510" s="65"/>
      <c r="E510" s="63"/>
      <c r="F510" s="63"/>
      <c r="G510" s="63"/>
      <c r="H510" s="63"/>
      <c r="I510" s="63"/>
      <c r="J510" s="63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spans="1:27">
      <c r="A511" s="63"/>
      <c r="B511" s="63"/>
      <c r="C511" s="63"/>
      <c r="D511" s="65"/>
      <c r="E511" s="63"/>
      <c r="F511" s="63"/>
      <c r="G511" s="63"/>
      <c r="H511" s="63"/>
      <c r="I511" s="63"/>
      <c r="J511" s="63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spans="1:27">
      <c r="A512" s="63"/>
      <c r="B512" s="63"/>
      <c r="C512" s="63"/>
      <c r="D512" s="65"/>
      <c r="E512" s="63"/>
      <c r="F512" s="63"/>
      <c r="G512" s="63"/>
      <c r="H512" s="63"/>
      <c r="I512" s="63"/>
      <c r="J512" s="63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spans="1:27">
      <c r="A513" s="63"/>
      <c r="B513" s="63"/>
      <c r="C513" s="63"/>
      <c r="D513" s="65"/>
      <c r="E513" s="63"/>
      <c r="F513" s="63"/>
      <c r="G513" s="63"/>
      <c r="H513" s="63"/>
      <c r="I513" s="63"/>
      <c r="J513" s="63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spans="1:27">
      <c r="A514" s="63"/>
      <c r="B514" s="63"/>
      <c r="C514" s="63"/>
      <c r="D514" s="65"/>
      <c r="E514" s="63"/>
      <c r="F514" s="63"/>
      <c r="G514" s="63"/>
      <c r="H514" s="63"/>
      <c r="I514" s="63"/>
      <c r="J514" s="63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spans="1:27">
      <c r="A515" s="63"/>
      <c r="B515" s="63"/>
      <c r="C515" s="63"/>
      <c r="D515" s="65"/>
      <c r="E515" s="63"/>
      <c r="F515" s="63"/>
      <c r="G515" s="63"/>
      <c r="H515" s="63"/>
      <c r="I515" s="63"/>
      <c r="J515" s="63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spans="1:27">
      <c r="A516" s="63"/>
      <c r="B516" s="63"/>
      <c r="C516" s="63"/>
      <c r="D516" s="65"/>
      <c r="E516" s="63"/>
      <c r="F516" s="63"/>
      <c r="G516" s="63"/>
      <c r="H516" s="63"/>
      <c r="I516" s="63"/>
      <c r="J516" s="63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spans="1:27">
      <c r="A517" s="63"/>
      <c r="B517" s="63"/>
      <c r="C517" s="63"/>
      <c r="D517" s="65"/>
      <c r="E517" s="63"/>
      <c r="F517" s="63"/>
      <c r="G517" s="63"/>
      <c r="H517" s="63"/>
      <c r="I517" s="63"/>
      <c r="J517" s="63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spans="1:27">
      <c r="A518" s="63"/>
      <c r="B518" s="63"/>
      <c r="C518" s="63"/>
      <c r="D518" s="65"/>
      <c r="E518" s="63"/>
      <c r="F518" s="63"/>
      <c r="G518" s="63"/>
      <c r="H518" s="63"/>
      <c r="I518" s="63"/>
      <c r="J518" s="63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spans="1:27">
      <c r="A519" s="63"/>
      <c r="B519" s="63"/>
      <c r="C519" s="63"/>
      <c r="D519" s="65"/>
      <c r="E519" s="63"/>
      <c r="F519" s="63"/>
      <c r="G519" s="63"/>
      <c r="H519" s="63"/>
      <c r="I519" s="63"/>
      <c r="J519" s="63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spans="1:27">
      <c r="A520" s="63"/>
      <c r="B520" s="63"/>
      <c r="C520" s="63"/>
      <c r="D520" s="65"/>
      <c r="E520" s="63"/>
      <c r="F520" s="63"/>
      <c r="G520" s="63"/>
      <c r="H520" s="63"/>
      <c r="I520" s="63"/>
      <c r="J520" s="63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spans="1:27">
      <c r="A521" s="63"/>
      <c r="B521" s="63"/>
      <c r="C521" s="63"/>
      <c r="D521" s="65"/>
      <c r="E521" s="63"/>
      <c r="F521" s="63"/>
      <c r="G521" s="63"/>
      <c r="H521" s="63"/>
      <c r="I521" s="63"/>
      <c r="J521" s="63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spans="1:27">
      <c r="A522" s="63"/>
      <c r="B522" s="63"/>
      <c r="C522" s="63"/>
      <c r="D522" s="65"/>
      <c r="E522" s="63"/>
      <c r="F522" s="63"/>
      <c r="G522" s="63"/>
      <c r="H522" s="63"/>
      <c r="I522" s="63"/>
      <c r="J522" s="63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spans="1:27">
      <c r="A523" s="63"/>
      <c r="B523" s="63"/>
      <c r="C523" s="63"/>
      <c r="D523" s="65"/>
      <c r="E523" s="63"/>
      <c r="F523" s="63"/>
      <c r="G523" s="63"/>
      <c r="H523" s="63"/>
      <c r="I523" s="63"/>
      <c r="J523" s="63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spans="1:27">
      <c r="A524" s="63"/>
      <c r="B524" s="63"/>
      <c r="C524" s="63"/>
      <c r="D524" s="65"/>
      <c r="E524" s="63"/>
      <c r="F524" s="63"/>
      <c r="G524" s="63"/>
      <c r="H524" s="63"/>
      <c r="I524" s="63"/>
      <c r="J524" s="63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spans="1:27">
      <c r="A525" s="63"/>
      <c r="B525" s="63"/>
      <c r="C525" s="63"/>
      <c r="D525" s="65"/>
      <c r="E525" s="63"/>
      <c r="F525" s="63"/>
      <c r="G525" s="63"/>
      <c r="H525" s="63"/>
      <c r="I525" s="63"/>
      <c r="J525" s="63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spans="1:27">
      <c r="A526" s="63"/>
      <c r="B526" s="63"/>
      <c r="C526" s="63"/>
      <c r="D526" s="65"/>
      <c r="E526" s="63"/>
      <c r="F526" s="63"/>
      <c r="G526" s="63"/>
      <c r="H526" s="63"/>
      <c r="I526" s="63"/>
      <c r="J526" s="63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spans="1:27">
      <c r="A527" s="63"/>
      <c r="B527" s="63"/>
      <c r="C527" s="63"/>
      <c r="D527" s="65"/>
      <c r="E527" s="63"/>
      <c r="F527" s="63"/>
      <c r="G527" s="63"/>
      <c r="H527" s="63"/>
      <c r="I527" s="63"/>
      <c r="J527" s="63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spans="1:27">
      <c r="A528" s="63"/>
      <c r="B528" s="63"/>
      <c r="C528" s="63"/>
      <c r="D528" s="65"/>
      <c r="E528" s="63"/>
      <c r="F528" s="63"/>
      <c r="G528" s="63"/>
      <c r="H528" s="63"/>
      <c r="I528" s="63"/>
      <c r="J528" s="63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spans="1:27">
      <c r="A529" s="63"/>
      <c r="B529" s="63"/>
      <c r="C529" s="63"/>
      <c r="D529" s="65"/>
      <c r="E529" s="63"/>
      <c r="F529" s="63"/>
      <c r="G529" s="63"/>
      <c r="H529" s="63"/>
      <c r="I529" s="63"/>
      <c r="J529" s="63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spans="1:27">
      <c r="A530" s="63"/>
      <c r="B530" s="63"/>
      <c r="C530" s="63"/>
      <c r="D530" s="65"/>
      <c r="E530" s="63"/>
      <c r="F530" s="63"/>
      <c r="G530" s="63"/>
      <c r="H530" s="63"/>
      <c r="I530" s="63"/>
      <c r="J530" s="63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spans="1:27">
      <c r="A531" s="63"/>
      <c r="B531" s="63"/>
      <c r="C531" s="63"/>
      <c r="D531" s="65"/>
      <c r="E531" s="63"/>
      <c r="F531" s="63"/>
      <c r="G531" s="63"/>
      <c r="H531" s="63"/>
      <c r="I531" s="63"/>
      <c r="J531" s="63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spans="1:27">
      <c r="A532" s="63"/>
      <c r="B532" s="63"/>
      <c r="C532" s="63"/>
      <c r="D532" s="65"/>
      <c r="E532" s="63"/>
      <c r="F532" s="63"/>
      <c r="G532" s="63"/>
      <c r="H532" s="63"/>
      <c r="I532" s="63"/>
      <c r="J532" s="63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spans="1:27">
      <c r="A533" s="63"/>
      <c r="B533" s="63"/>
      <c r="C533" s="63"/>
      <c r="D533" s="65"/>
      <c r="E533" s="63"/>
      <c r="F533" s="63"/>
      <c r="G533" s="63"/>
      <c r="H533" s="63"/>
      <c r="I533" s="63"/>
      <c r="J533" s="63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spans="1:27">
      <c r="A534" s="63"/>
      <c r="B534" s="63"/>
      <c r="C534" s="63"/>
      <c r="D534" s="65"/>
      <c r="E534" s="63"/>
      <c r="F534" s="63"/>
      <c r="G534" s="63"/>
      <c r="H534" s="63"/>
      <c r="I534" s="63"/>
      <c r="J534" s="63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spans="1:27">
      <c r="A535" s="63"/>
      <c r="B535" s="63"/>
      <c r="C535" s="63"/>
      <c r="D535" s="65"/>
      <c r="E535" s="63"/>
      <c r="F535" s="63"/>
      <c r="G535" s="63"/>
      <c r="H535" s="63"/>
      <c r="I535" s="63"/>
      <c r="J535" s="63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spans="1:27">
      <c r="A536" s="63"/>
      <c r="B536" s="63"/>
      <c r="C536" s="63"/>
      <c r="D536" s="65"/>
      <c r="E536" s="63"/>
      <c r="F536" s="63"/>
      <c r="G536" s="63"/>
      <c r="H536" s="63"/>
      <c r="I536" s="63"/>
      <c r="J536" s="63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spans="1:27">
      <c r="A537" s="63"/>
      <c r="B537" s="63"/>
      <c r="C537" s="63"/>
      <c r="D537" s="65"/>
      <c r="E537" s="63"/>
      <c r="F537" s="63"/>
      <c r="G537" s="63"/>
      <c r="H537" s="63"/>
      <c r="I537" s="63"/>
      <c r="J537" s="63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spans="1:27">
      <c r="A538" s="63"/>
      <c r="B538" s="63"/>
      <c r="C538" s="63"/>
      <c r="D538" s="65"/>
      <c r="E538" s="63"/>
      <c r="F538" s="63"/>
      <c r="G538" s="63"/>
      <c r="H538" s="63"/>
      <c r="I538" s="63"/>
      <c r="J538" s="63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spans="1:27">
      <c r="A539" s="63"/>
      <c r="B539" s="63"/>
      <c r="C539" s="63"/>
      <c r="D539" s="65"/>
      <c r="E539" s="63"/>
      <c r="F539" s="63"/>
      <c r="G539" s="63"/>
      <c r="H539" s="63"/>
      <c r="I539" s="63"/>
      <c r="J539" s="63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spans="1:27">
      <c r="A540" s="63"/>
      <c r="B540" s="63"/>
      <c r="C540" s="63"/>
      <c r="D540" s="65"/>
      <c r="E540" s="63"/>
      <c r="F540" s="63"/>
      <c r="G540" s="63"/>
      <c r="H540" s="63"/>
      <c r="I540" s="63"/>
      <c r="J540" s="63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spans="1:27">
      <c r="A541" s="63"/>
      <c r="B541" s="63"/>
      <c r="C541" s="63"/>
      <c r="D541" s="65"/>
      <c r="E541" s="63"/>
      <c r="F541" s="63"/>
      <c r="G541" s="63"/>
      <c r="H541" s="63"/>
      <c r="I541" s="63"/>
      <c r="J541" s="63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spans="1:27">
      <c r="A542" s="63"/>
      <c r="B542" s="63"/>
      <c r="C542" s="63"/>
      <c r="D542" s="65"/>
      <c r="E542" s="63"/>
      <c r="F542" s="63"/>
      <c r="G542" s="63"/>
      <c r="H542" s="63"/>
      <c r="I542" s="63"/>
      <c r="J542" s="63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spans="1:27">
      <c r="A543" s="63"/>
      <c r="B543" s="63"/>
      <c r="C543" s="63"/>
      <c r="D543" s="65"/>
      <c r="E543" s="63"/>
      <c r="F543" s="63"/>
      <c r="G543" s="63"/>
      <c r="H543" s="63"/>
      <c r="I543" s="63"/>
      <c r="J543" s="63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spans="1:27">
      <c r="A544" s="63"/>
      <c r="B544" s="63"/>
      <c r="C544" s="63"/>
      <c r="D544" s="65"/>
      <c r="E544" s="63"/>
      <c r="F544" s="63"/>
      <c r="G544" s="63"/>
      <c r="H544" s="63"/>
      <c r="I544" s="63"/>
      <c r="J544" s="63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spans="1:27">
      <c r="A545" s="63"/>
      <c r="B545" s="63"/>
      <c r="C545" s="63"/>
      <c r="D545" s="65"/>
      <c r="E545" s="63"/>
      <c r="F545" s="63"/>
      <c r="G545" s="63"/>
      <c r="H545" s="63"/>
      <c r="I545" s="63"/>
      <c r="J545" s="63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spans="1:27">
      <c r="A546" s="63"/>
      <c r="B546" s="63"/>
      <c r="C546" s="63"/>
      <c r="D546" s="65"/>
      <c r="E546" s="63"/>
      <c r="F546" s="63"/>
      <c r="G546" s="63"/>
      <c r="H546" s="63"/>
      <c r="I546" s="63"/>
      <c r="J546" s="63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spans="1:27">
      <c r="A547" s="63"/>
      <c r="B547" s="63"/>
      <c r="C547" s="63"/>
      <c r="D547" s="65"/>
      <c r="E547" s="63"/>
      <c r="F547" s="63"/>
      <c r="G547" s="63"/>
      <c r="H547" s="63"/>
      <c r="I547" s="63"/>
      <c r="J547" s="63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spans="1:27">
      <c r="A548" s="63"/>
      <c r="B548" s="63"/>
      <c r="C548" s="63"/>
      <c r="D548" s="65"/>
      <c r="E548" s="63"/>
      <c r="F548" s="63"/>
      <c r="G548" s="63"/>
      <c r="H548" s="63"/>
      <c r="I548" s="63"/>
      <c r="J548" s="63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spans="1:27">
      <c r="A549" s="63"/>
      <c r="B549" s="63"/>
      <c r="C549" s="63"/>
      <c r="D549" s="65"/>
      <c r="E549" s="63"/>
      <c r="F549" s="63"/>
      <c r="G549" s="63"/>
      <c r="H549" s="63"/>
      <c r="I549" s="63"/>
      <c r="J549" s="63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spans="1:27">
      <c r="A550" s="63"/>
      <c r="B550" s="63"/>
      <c r="C550" s="63"/>
      <c r="D550" s="65"/>
      <c r="E550" s="63"/>
      <c r="F550" s="63"/>
      <c r="G550" s="63"/>
      <c r="H550" s="63"/>
      <c r="I550" s="63"/>
      <c r="J550" s="63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spans="1:27">
      <c r="A551" s="63"/>
      <c r="B551" s="63"/>
      <c r="C551" s="63"/>
      <c r="D551" s="65"/>
      <c r="E551" s="63"/>
      <c r="F551" s="63"/>
      <c r="G551" s="63"/>
      <c r="H551" s="63"/>
      <c r="I551" s="63"/>
      <c r="J551" s="63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spans="1:27">
      <c r="A552" s="63"/>
      <c r="B552" s="63"/>
      <c r="C552" s="63"/>
      <c r="D552" s="65"/>
      <c r="E552" s="63"/>
      <c r="F552" s="63"/>
      <c r="G552" s="63"/>
      <c r="H552" s="63"/>
      <c r="I552" s="63"/>
      <c r="J552" s="63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spans="1:27">
      <c r="A553" s="63"/>
      <c r="B553" s="63"/>
      <c r="C553" s="63"/>
      <c r="D553" s="65"/>
      <c r="E553" s="63"/>
      <c r="F553" s="63"/>
      <c r="G553" s="63"/>
      <c r="H553" s="63"/>
      <c r="I553" s="63"/>
      <c r="J553" s="63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spans="1:27">
      <c r="A554" s="63"/>
      <c r="B554" s="63"/>
      <c r="C554" s="63"/>
      <c r="D554" s="65"/>
      <c r="E554" s="63"/>
      <c r="F554" s="63"/>
      <c r="G554" s="63"/>
      <c r="H554" s="63"/>
      <c r="I554" s="63"/>
      <c r="J554" s="63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spans="1:27">
      <c r="A555" s="63"/>
      <c r="B555" s="63"/>
      <c r="C555" s="63"/>
      <c r="D555" s="65"/>
      <c r="E555" s="63"/>
      <c r="F555" s="63"/>
      <c r="G555" s="63"/>
      <c r="H555" s="63"/>
      <c r="I555" s="63"/>
      <c r="J555" s="63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spans="1:27">
      <c r="A556" s="63"/>
      <c r="B556" s="63"/>
      <c r="C556" s="63"/>
      <c r="D556" s="65"/>
      <c r="E556" s="63"/>
      <c r="F556" s="63"/>
      <c r="G556" s="63"/>
      <c r="H556" s="63"/>
      <c r="I556" s="63"/>
      <c r="J556" s="63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spans="1:27">
      <c r="A557" s="63"/>
      <c r="B557" s="63"/>
      <c r="C557" s="63"/>
      <c r="D557" s="65"/>
      <c r="E557" s="63"/>
      <c r="F557" s="63"/>
      <c r="G557" s="63"/>
      <c r="H557" s="63"/>
      <c r="I557" s="63"/>
      <c r="J557" s="63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spans="1:27">
      <c r="A558" s="63"/>
      <c r="B558" s="63"/>
      <c r="C558" s="63"/>
      <c r="D558" s="65"/>
      <c r="E558" s="63"/>
      <c r="F558" s="63"/>
      <c r="G558" s="63"/>
      <c r="H558" s="63"/>
      <c r="I558" s="63"/>
      <c r="J558" s="63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spans="1:27">
      <c r="A559" s="63"/>
      <c r="B559" s="63"/>
      <c r="C559" s="63"/>
      <c r="D559" s="65"/>
      <c r="E559" s="63"/>
      <c r="F559" s="63"/>
      <c r="G559" s="63"/>
      <c r="H559" s="63"/>
      <c r="I559" s="63"/>
      <c r="J559" s="63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spans="1:27">
      <c r="A560" s="63"/>
      <c r="B560" s="63"/>
      <c r="C560" s="63"/>
      <c r="D560" s="65"/>
      <c r="E560" s="63"/>
      <c r="F560" s="63"/>
      <c r="G560" s="63"/>
      <c r="H560" s="63"/>
      <c r="I560" s="63"/>
      <c r="J560" s="63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spans="1:27">
      <c r="A561" s="63"/>
      <c r="B561" s="63"/>
      <c r="C561" s="63"/>
      <c r="D561" s="65"/>
      <c r="E561" s="63"/>
      <c r="F561" s="63"/>
      <c r="G561" s="63"/>
      <c r="H561" s="63"/>
      <c r="I561" s="63"/>
      <c r="J561" s="63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spans="1:27">
      <c r="A562" s="63"/>
      <c r="B562" s="63"/>
      <c r="C562" s="63"/>
      <c r="D562" s="65"/>
      <c r="E562" s="63"/>
      <c r="F562" s="63"/>
      <c r="G562" s="63"/>
      <c r="H562" s="63"/>
      <c r="I562" s="63"/>
      <c r="J562" s="63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spans="1:27">
      <c r="A563" s="63"/>
      <c r="B563" s="63"/>
      <c r="C563" s="63"/>
      <c r="D563" s="65"/>
      <c r="E563" s="63"/>
      <c r="F563" s="63"/>
      <c r="G563" s="63"/>
      <c r="H563" s="63"/>
      <c r="I563" s="63"/>
      <c r="J563" s="63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spans="1:27">
      <c r="A564" s="63"/>
      <c r="B564" s="63"/>
      <c r="C564" s="63"/>
      <c r="D564" s="65"/>
      <c r="E564" s="63"/>
      <c r="F564" s="63"/>
      <c r="G564" s="63"/>
      <c r="H564" s="63"/>
      <c r="I564" s="63"/>
      <c r="J564" s="63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spans="1:27">
      <c r="A565" s="63"/>
      <c r="B565" s="63"/>
      <c r="C565" s="63"/>
      <c r="D565" s="65"/>
      <c r="E565" s="63"/>
      <c r="F565" s="63"/>
      <c r="G565" s="63"/>
      <c r="H565" s="63"/>
      <c r="I565" s="63"/>
      <c r="J565" s="63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spans="1:27">
      <c r="A566" s="63"/>
      <c r="B566" s="63"/>
      <c r="C566" s="63"/>
      <c r="D566" s="65"/>
      <c r="E566" s="63"/>
      <c r="F566" s="63"/>
      <c r="G566" s="63"/>
      <c r="H566" s="63"/>
      <c r="I566" s="63"/>
      <c r="J566" s="63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spans="1:27">
      <c r="A567" s="63"/>
      <c r="B567" s="63"/>
      <c r="C567" s="63"/>
      <c r="D567" s="65"/>
      <c r="E567" s="63"/>
      <c r="F567" s="63"/>
      <c r="G567" s="63"/>
      <c r="H567" s="63"/>
      <c r="I567" s="63"/>
      <c r="J567" s="63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spans="1:27">
      <c r="A568" s="63"/>
      <c r="B568" s="63"/>
      <c r="C568" s="63"/>
      <c r="D568" s="65"/>
      <c r="E568" s="63"/>
      <c r="F568" s="63"/>
      <c r="G568" s="63"/>
      <c r="H568" s="63"/>
      <c r="I568" s="63"/>
      <c r="J568" s="63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spans="1:27">
      <c r="A569" s="63"/>
      <c r="B569" s="63"/>
      <c r="C569" s="63"/>
      <c r="D569" s="65"/>
      <c r="E569" s="63"/>
      <c r="F569" s="63"/>
      <c r="G569" s="63"/>
      <c r="H569" s="63"/>
      <c r="I569" s="63"/>
      <c r="J569" s="63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spans="1:27">
      <c r="A570" s="63"/>
      <c r="B570" s="63"/>
      <c r="C570" s="63"/>
      <c r="D570" s="65"/>
      <c r="E570" s="63"/>
      <c r="F570" s="63"/>
      <c r="G570" s="63"/>
      <c r="H570" s="63"/>
      <c r="I570" s="63"/>
      <c r="J570" s="63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spans="1:27">
      <c r="A571" s="63"/>
      <c r="B571" s="63"/>
      <c r="C571" s="63"/>
      <c r="D571" s="65"/>
      <c r="E571" s="63"/>
      <c r="F571" s="63"/>
      <c r="G571" s="63"/>
      <c r="H571" s="63"/>
      <c r="I571" s="63"/>
      <c r="J571" s="63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spans="1:27">
      <c r="A572" s="63"/>
      <c r="B572" s="63"/>
      <c r="C572" s="63"/>
      <c r="D572" s="65"/>
      <c r="E572" s="63"/>
      <c r="F572" s="63"/>
      <c r="G572" s="63"/>
      <c r="H572" s="63"/>
      <c r="I572" s="63"/>
      <c r="J572" s="63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spans="1:27">
      <c r="A573" s="63"/>
      <c r="B573" s="63"/>
      <c r="C573" s="63"/>
      <c r="D573" s="65"/>
      <c r="E573" s="63"/>
      <c r="F573" s="63"/>
      <c r="G573" s="63"/>
      <c r="H573" s="63"/>
      <c r="I573" s="63"/>
      <c r="J573" s="63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spans="1:27">
      <c r="A574" s="63"/>
      <c r="B574" s="63"/>
      <c r="C574" s="63"/>
      <c r="D574" s="65"/>
      <c r="E574" s="63"/>
      <c r="F574" s="63"/>
      <c r="G574" s="63"/>
      <c r="H574" s="63"/>
      <c r="I574" s="63"/>
      <c r="J574" s="63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spans="1:27">
      <c r="A575" s="63"/>
      <c r="B575" s="63"/>
      <c r="C575" s="63"/>
      <c r="D575" s="65"/>
      <c r="E575" s="63"/>
      <c r="F575" s="63"/>
      <c r="G575" s="63"/>
      <c r="H575" s="63"/>
      <c r="I575" s="63"/>
      <c r="J575" s="63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spans="1:27">
      <c r="A576" s="63"/>
      <c r="B576" s="63"/>
      <c r="C576" s="63"/>
      <c r="D576" s="65"/>
      <c r="E576" s="63"/>
      <c r="F576" s="63"/>
      <c r="G576" s="63"/>
      <c r="H576" s="63"/>
      <c r="I576" s="63"/>
      <c r="J576" s="63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spans="1:27">
      <c r="A577" s="63"/>
      <c r="B577" s="63"/>
      <c r="C577" s="63"/>
      <c r="D577" s="65"/>
      <c r="E577" s="63"/>
      <c r="F577" s="63"/>
      <c r="G577" s="63"/>
      <c r="H577" s="63"/>
      <c r="I577" s="63"/>
      <c r="J577" s="63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spans="1:27">
      <c r="A578" s="63"/>
      <c r="B578" s="63"/>
      <c r="C578" s="63"/>
      <c r="D578" s="65"/>
      <c r="E578" s="63"/>
      <c r="F578" s="63"/>
      <c r="G578" s="63"/>
      <c r="H578" s="63"/>
      <c r="I578" s="63"/>
      <c r="J578" s="63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spans="1:27">
      <c r="A579" s="63"/>
      <c r="B579" s="63"/>
      <c r="C579" s="63"/>
      <c r="D579" s="65"/>
      <c r="E579" s="63"/>
      <c r="F579" s="63"/>
      <c r="G579" s="63"/>
      <c r="H579" s="63"/>
      <c r="I579" s="63"/>
      <c r="J579" s="63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spans="1:27">
      <c r="A580" s="63"/>
      <c r="B580" s="63"/>
      <c r="C580" s="63"/>
      <c r="D580" s="65"/>
      <c r="E580" s="63"/>
      <c r="F580" s="63"/>
      <c r="G580" s="63"/>
      <c r="H580" s="63"/>
      <c r="I580" s="63"/>
      <c r="J580" s="63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spans="1:27">
      <c r="A581" s="63"/>
      <c r="B581" s="63"/>
      <c r="C581" s="63"/>
      <c r="D581" s="65"/>
      <c r="E581" s="63"/>
      <c r="F581" s="63"/>
      <c r="G581" s="63"/>
      <c r="H581" s="63"/>
      <c r="I581" s="63"/>
      <c r="J581" s="63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spans="1:27">
      <c r="A582" s="63"/>
      <c r="B582" s="63"/>
      <c r="C582" s="63"/>
      <c r="D582" s="65"/>
      <c r="E582" s="63"/>
      <c r="F582" s="63"/>
      <c r="G582" s="63"/>
      <c r="H582" s="63"/>
      <c r="I582" s="63"/>
      <c r="J582" s="63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spans="1:27">
      <c r="A583" s="63"/>
      <c r="B583" s="63"/>
      <c r="C583" s="63"/>
      <c r="D583" s="65"/>
      <c r="E583" s="63"/>
      <c r="F583" s="63"/>
      <c r="G583" s="63"/>
      <c r="H583" s="63"/>
      <c r="I583" s="63"/>
      <c r="J583" s="63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spans="1:27">
      <c r="A584" s="63"/>
      <c r="B584" s="63"/>
      <c r="C584" s="63"/>
      <c r="D584" s="65"/>
      <c r="E584" s="63"/>
      <c r="F584" s="63"/>
      <c r="G584" s="63"/>
      <c r="H584" s="63"/>
      <c r="I584" s="63"/>
      <c r="J584" s="63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spans="1:27">
      <c r="A585" s="63"/>
      <c r="B585" s="63"/>
      <c r="C585" s="63"/>
      <c r="D585" s="65"/>
      <c r="E585" s="63"/>
      <c r="F585" s="63"/>
      <c r="G585" s="63"/>
      <c r="H585" s="63"/>
      <c r="I585" s="63"/>
      <c r="J585" s="63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spans="1:27">
      <c r="A586" s="63"/>
      <c r="B586" s="63"/>
      <c r="C586" s="63"/>
      <c r="D586" s="65"/>
      <c r="E586" s="63"/>
      <c r="F586" s="63"/>
      <c r="G586" s="63"/>
      <c r="H586" s="63"/>
      <c r="I586" s="63"/>
      <c r="J586" s="63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spans="1:27">
      <c r="A587" s="63"/>
      <c r="B587" s="63"/>
      <c r="C587" s="63"/>
      <c r="D587" s="65"/>
      <c r="E587" s="63"/>
      <c r="F587" s="63"/>
      <c r="G587" s="63"/>
      <c r="H587" s="63"/>
      <c r="I587" s="63"/>
      <c r="J587" s="63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spans="1:27">
      <c r="A588" s="63"/>
      <c r="B588" s="63"/>
      <c r="C588" s="63"/>
      <c r="D588" s="65"/>
      <c r="E588" s="63"/>
      <c r="F588" s="63"/>
      <c r="G588" s="63"/>
      <c r="H588" s="63"/>
      <c r="I588" s="63"/>
      <c r="J588" s="63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spans="1:27">
      <c r="A589" s="63"/>
      <c r="B589" s="63"/>
      <c r="C589" s="63"/>
      <c r="D589" s="65"/>
      <c r="E589" s="63"/>
      <c r="F589" s="63"/>
      <c r="G589" s="63"/>
      <c r="H589" s="63"/>
      <c r="I589" s="63"/>
      <c r="J589" s="63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spans="1:27">
      <c r="A590" s="63"/>
      <c r="B590" s="63"/>
      <c r="C590" s="63"/>
      <c r="D590" s="65"/>
      <c r="E590" s="63"/>
      <c r="F590" s="63"/>
      <c r="G590" s="63"/>
      <c r="H590" s="63"/>
      <c r="I590" s="63"/>
      <c r="J590" s="63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spans="1:27">
      <c r="A591" s="63"/>
      <c r="B591" s="63"/>
      <c r="C591" s="63"/>
      <c r="D591" s="65"/>
      <c r="E591" s="63"/>
      <c r="F591" s="63"/>
      <c r="G591" s="63"/>
      <c r="H591" s="63"/>
      <c r="I591" s="63"/>
      <c r="J591" s="63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spans="1:27">
      <c r="A592" s="63"/>
      <c r="B592" s="63"/>
      <c r="C592" s="63"/>
      <c r="D592" s="65"/>
      <c r="E592" s="63"/>
      <c r="F592" s="63"/>
      <c r="G592" s="63"/>
      <c r="H592" s="63"/>
      <c r="I592" s="63"/>
      <c r="J592" s="63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spans="1:27">
      <c r="A593" s="63"/>
      <c r="B593" s="63"/>
      <c r="C593" s="63"/>
      <c r="D593" s="65"/>
      <c r="E593" s="63"/>
      <c r="F593" s="63"/>
      <c r="G593" s="63"/>
      <c r="H593" s="63"/>
      <c r="I593" s="63"/>
      <c r="J593" s="63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spans="1:27">
      <c r="A594" s="63"/>
      <c r="B594" s="63"/>
      <c r="C594" s="63"/>
      <c r="D594" s="65"/>
      <c r="E594" s="63"/>
      <c r="F594" s="63"/>
      <c r="G594" s="63"/>
      <c r="H594" s="63"/>
      <c r="I594" s="63"/>
      <c r="J594" s="63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spans="1:27">
      <c r="A595" s="63"/>
      <c r="B595" s="63"/>
      <c r="C595" s="63"/>
      <c r="D595" s="65"/>
      <c r="E595" s="63"/>
      <c r="F595" s="63"/>
      <c r="G595" s="63"/>
      <c r="H595" s="63"/>
      <c r="I595" s="63"/>
      <c r="J595" s="63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spans="1:27">
      <c r="A596" s="63"/>
      <c r="B596" s="63"/>
      <c r="C596" s="63"/>
      <c r="D596" s="65"/>
      <c r="E596" s="63"/>
      <c r="F596" s="63"/>
      <c r="G596" s="63"/>
      <c r="H596" s="63"/>
      <c r="I596" s="63"/>
      <c r="J596" s="63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spans="1:27">
      <c r="A597" s="63"/>
      <c r="B597" s="63"/>
      <c r="C597" s="63"/>
      <c r="D597" s="65"/>
      <c r="E597" s="63"/>
      <c r="F597" s="63"/>
      <c r="G597" s="63"/>
      <c r="H597" s="63"/>
      <c r="I597" s="63"/>
      <c r="J597" s="63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spans="1:27">
      <c r="A598" s="63"/>
      <c r="B598" s="63"/>
      <c r="C598" s="63"/>
      <c r="D598" s="65"/>
      <c r="E598" s="63"/>
      <c r="F598" s="63"/>
      <c r="G598" s="63"/>
      <c r="H598" s="63"/>
      <c r="I598" s="63"/>
      <c r="J598" s="63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spans="1:27">
      <c r="A599" s="63"/>
      <c r="B599" s="63"/>
      <c r="C599" s="63"/>
      <c r="D599" s="65"/>
      <c r="E599" s="63"/>
      <c r="F599" s="63"/>
      <c r="G599" s="63"/>
      <c r="H599" s="63"/>
      <c r="I599" s="63"/>
      <c r="J599" s="63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spans="1:27">
      <c r="A600" s="63"/>
      <c r="B600" s="63"/>
      <c r="C600" s="63"/>
      <c r="D600" s="65"/>
      <c r="E600" s="63"/>
      <c r="F600" s="63"/>
      <c r="G600" s="63"/>
      <c r="H600" s="63"/>
      <c r="I600" s="63"/>
      <c r="J600" s="63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spans="1:27">
      <c r="A601" s="63"/>
      <c r="B601" s="63"/>
      <c r="C601" s="63"/>
      <c r="D601" s="65"/>
      <c r="E601" s="63"/>
      <c r="F601" s="63"/>
      <c r="G601" s="63"/>
      <c r="H601" s="63"/>
      <c r="I601" s="63"/>
      <c r="J601" s="63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spans="1:27">
      <c r="A602" s="63"/>
      <c r="B602" s="63"/>
      <c r="C602" s="63"/>
      <c r="D602" s="65"/>
      <c r="E602" s="63"/>
      <c r="F602" s="63"/>
      <c r="G602" s="63"/>
      <c r="H602" s="63"/>
      <c r="I602" s="63"/>
      <c r="J602" s="63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spans="1:27">
      <c r="A603" s="63"/>
      <c r="B603" s="63"/>
      <c r="C603" s="63"/>
      <c r="D603" s="65"/>
      <c r="E603" s="63"/>
      <c r="F603" s="63"/>
      <c r="G603" s="63"/>
      <c r="H603" s="63"/>
      <c r="I603" s="63"/>
      <c r="J603" s="63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spans="1:27">
      <c r="A604" s="63"/>
      <c r="B604" s="63"/>
      <c r="C604" s="63"/>
      <c r="D604" s="65"/>
      <c r="E604" s="63"/>
      <c r="F604" s="63"/>
      <c r="G604" s="63"/>
      <c r="H604" s="63"/>
      <c r="I604" s="63"/>
      <c r="J604" s="63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spans="1:27">
      <c r="A605" s="63"/>
      <c r="B605" s="63"/>
      <c r="C605" s="63"/>
      <c r="D605" s="65"/>
      <c r="E605" s="63"/>
      <c r="F605" s="63"/>
      <c r="G605" s="63"/>
      <c r="H605" s="63"/>
      <c r="I605" s="63"/>
      <c r="J605" s="63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spans="1:27">
      <c r="A606" s="63"/>
      <c r="B606" s="63"/>
      <c r="C606" s="63"/>
      <c r="D606" s="65"/>
      <c r="E606" s="63"/>
      <c r="F606" s="63"/>
      <c r="G606" s="63"/>
      <c r="H606" s="63"/>
      <c r="I606" s="63"/>
      <c r="J606" s="63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spans="1:27">
      <c r="A607" s="63"/>
      <c r="B607" s="63"/>
      <c r="C607" s="63"/>
      <c r="D607" s="65"/>
      <c r="E607" s="63"/>
      <c r="F607" s="63"/>
      <c r="G607" s="63"/>
      <c r="H607" s="63"/>
      <c r="I607" s="63"/>
      <c r="J607" s="63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spans="1:27">
      <c r="A608" s="63"/>
      <c r="B608" s="63"/>
      <c r="C608" s="63"/>
      <c r="D608" s="65"/>
      <c r="E608" s="63"/>
      <c r="F608" s="63"/>
      <c r="G608" s="63"/>
      <c r="H608" s="63"/>
      <c r="I608" s="63"/>
      <c r="J608" s="63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spans="1:27">
      <c r="A609" s="63"/>
      <c r="B609" s="63"/>
      <c r="C609" s="63"/>
      <c r="D609" s="65"/>
      <c r="E609" s="63"/>
      <c r="F609" s="63"/>
      <c r="G609" s="63"/>
      <c r="H609" s="63"/>
      <c r="I609" s="63"/>
      <c r="J609" s="63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spans="1:27">
      <c r="A610" s="63"/>
      <c r="B610" s="63"/>
      <c r="C610" s="63"/>
      <c r="D610" s="65"/>
      <c r="E610" s="63"/>
      <c r="F610" s="63"/>
      <c r="G610" s="63"/>
      <c r="H610" s="63"/>
      <c r="I610" s="63"/>
      <c r="J610" s="63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spans="1:27">
      <c r="A611" s="63"/>
      <c r="B611" s="63"/>
      <c r="C611" s="63"/>
      <c r="D611" s="65"/>
      <c r="E611" s="63"/>
      <c r="F611" s="63"/>
      <c r="G611" s="63"/>
      <c r="H611" s="63"/>
      <c r="I611" s="63"/>
      <c r="J611" s="63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spans="1:27">
      <c r="A612" s="63"/>
      <c r="B612" s="63"/>
      <c r="C612" s="63"/>
      <c r="D612" s="65"/>
      <c r="E612" s="63"/>
      <c r="F612" s="63"/>
      <c r="G612" s="63"/>
      <c r="H612" s="63"/>
      <c r="I612" s="63"/>
      <c r="J612" s="63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spans="1:27">
      <c r="A613" s="63"/>
      <c r="B613" s="63"/>
      <c r="C613" s="63"/>
      <c r="D613" s="65"/>
      <c r="E613" s="63"/>
      <c r="F613" s="63"/>
      <c r="G613" s="63"/>
      <c r="H613" s="63"/>
      <c r="I613" s="63"/>
      <c r="J613" s="63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spans="1:27">
      <c r="A614" s="63"/>
      <c r="B614" s="63"/>
      <c r="C614" s="63"/>
      <c r="D614" s="65"/>
      <c r="E614" s="63"/>
      <c r="F614" s="63"/>
      <c r="G614" s="63"/>
      <c r="H614" s="63"/>
      <c r="I614" s="63"/>
      <c r="J614" s="63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spans="1:27">
      <c r="A615" s="63"/>
      <c r="B615" s="63"/>
      <c r="C615" s="63"/>
      <c r="D615" s="65"/>
      <c r="E615" s="63"/>
      <c r="F615" s="63"/>
      <c r="G615" s="63"/>
      <c r="H615" s="63"/>
      <c r="I615" s="63"/>
      <c r="J615" s="63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spans="1:27">
      <c r="A616" s="63"/>
      <c r="B616" s="63"/>
      <c r="C616" s="63"/>
      <c r="D616" s="65"/>
      <c r="E616" s="63"/>
      <c r="F616" s="63"/>
      <c r="G616" s="63"/>
      <c r="H616" s="63"/>
      <c r="I616" s="63"/>
      <c r="J616" s="63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spans="1:27">
      <c r="A617" s="63"/>
      <c r="B617" s="63"/>
      <c r="C617" s="63"/>
      <c r="D617" s="65"/>
      <c r="E617" s="63"/>
      <c r="F617" s="63"/>
      <c r="G617" s="63"/>
      <c r="H617" s="63"/>
      <c r="I617" s="63"/>
      <c r="J617" s="63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spans="1:27">
      <c r="A618" s="63"/>
      <c r="B618" s="63"/>
      <c r="C618" s="63"/>
      <c r="D618" s="65"/>
      <c r="E618" s="63"/>
      <c r="F618" s="63"/>
      <c r="G618" s="63"/>
      <c r="H618" s="63"/>
      <c r="I618" s="63"/>
      <c r="J618" s="63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spans="1:27">
      <c r="A619" s="63"/>
      <c r="B619" s="63"/>
      <c r="C619" s="63"/>
      <c r="D619" s="65"/>
      <c r="E619" s="63"/>
      <c r="F619" s="63"/>
      <c r="G619" s="63"/>
      <c r="H619" s="63"/>
      <c r="I619" s="63"/>
      <c r="J619" s="63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spans="1:27">
      <c r="A620" s="63"/>
      <c r="B620" s="63"/>
      <c r="C620" s="63"/>
      <c r="D620" s="65"/>
      <c r="E620" s="63"/>
      <c r="F620" s="63"/>
      <c r="G620" s="63"/>
      <c r="H620" s="63"/>
      <c r="I620" s="63"/>
      <c r="J620" s="63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spans="1:27">
      <c r="A621" s="63"/>
      <c r="B621" s="63"/>
      <c r="C621" s="63"/>
      <c r="D621" s="65"/>
      <c r="E621" s="63"/>
      <c r="F621" s="63"/>
      <c r="G621" s="63"/>
      <c r="H621" s="63"/>
      <c r="I621" s="63"/>
      <c r="J621" s="63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spans="1:27">
      <c r="A622" s="63"/>
      <c r="B622" s="63"/>
      <c r="C622" s="63"/>
      <c r="D622" s="65"/>
      <c r="E622" s="63"/>
      <c r="F622" s="63"/>
      <c r="G622" s="63"/>
      <c r="H622" s="63"/>
      <c r="I622" s="63"/>
      <c r="J622" s="63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spans="1:27">
      <c r="A623" s="63"/>
      <c r="B623" s="63"/>
      <c r="C623" s="63"/>
      <c r="D623" s="65"/>
      <c r="E623" s="63"/>
      <c r="F623" s="63"/>
      <c r="G623" s="63"/>
      <c r="H623" s="63"/>
      <c r="I623" s="63"/>
      <c r="J623" s="63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spans="1:27">
      <c r="A624" s="63"/>
      <c r="B624" s="63"/>
      <c r="C624" s="63"/>
      <c r="D624" s="65"/>
      <c r="E624" s="63"/>
      <c r="F624" s="63"/>
      <c r="G624" s="63"/>
      <c r="H624" s="63"/>
      <c r="I624" s="63"/>
      <c r="J624" s="63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spans="1:27">
      <c r="A625" s="63"/>
      <c r="B625" s="63"/>
      <c r="C625" s="63"/>
      <c r="D625" s="65"/>
      <c r="E625" s="63"/>
      <c r="F625" s="63"/>
      <c r="G625" s="63"/>
      <c r="H625" s="63"/>
      <c r="I625" s="63"/>
      <c r="J625" s="63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spans="1:27">
      <c r="A626" s="63"/>
      <c r="B626" s="63"/>
      <c r="C626" s="63"/>
      <c r="D626" s="65"/>
      <c r="E626" s="63"/>
      <c r="F626" s="63"/>
      <c r="G626" s="63"/>
      <c r="H626" s="63"/>
      <c r="I626" s="63"/>
      <c r="J626" s="63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spans="1:27">
      <c r="A627" s="63"/>
      <c r="B627" s="63"/>
      <c r="C627" s="63"/>
      <c r="D627" s="65"/>
      <c r="E627" s="63"/>
      <c r="F627" s="63"/>
      <c r="G627" s="63"/>
      <c r="H627" s="63"/>
      <c r="I627" s="63"/>
      <c r="J627" s="63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spans="1:27">
      <c r="A628" s="63"/>
      <c r="B628" s="63"/>
      <c r="C628" s="63"/>
      <c r="D628" s="65"/>
      <c r="E628" s="63"/>
      <c r="F628" s="63"/>
      <c r="G628" s="63"/>
      <c r="H628" s="63"/>
      <c r="I628" s="63"/>
      <c r="J628" s="63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spans="1:27">
      <c r="A629" s="63"/>
      <c r="B629" s="63"/>
      <c r="C629" s="63"/>
      <c r="D629" s="65"/>
      <c r="E629" s="63"/>
      <c r="F629" s="63"/>
      <c r="G629" s="63"/>
      <c r="H629" s="63"/>
      <c r="I629" s="63"/>
      <c r="J629" s="63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spans="1:27">
      <c r="A630" s="63"/>
      <c r="B630" s="63"/>
      <c r="C630" s="63"/>
      <c r="D630" s="65"/>
      <c r="E630" s="63"/>
      <c r="F630" s="63"/>
      <c r="G630" s="63"/>
      <c r="H630" s="63"/>
      <c r="I630" s="63"/>
      <c r="J630" s="63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spans="1:27">
      <c r="A631" s="63"/>
      <c r="B631" s="63"/>
      <c r="C631" s="63"/>
      <c r="D631" s="65"/>
      <c r="E631" s="63"/>
      <c r="F631" s="63"/>
      <c r="G631" s="63"/>
      <c r="H631" s="63"/>
      <c r="I631" s="63"/>
      <c r="J631" s="63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spans="1:27">
      <c r="A632" s="63"/>
      <c r="B632" s="63"/>
      <c r="C632" s="63"/>
      <c r="D632" s="65"/>
      <c r="E632" s="63"/>
      <c r="F632" s="63"/>
      <c r="G632" s="63"/>
      <c r="H632" s="63"/>
      <c r="I632" s="63"/>
      <c r="J632" s="63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spans="1:27">
      <c r="A633" s="63"/>
      <c r="B633" s="63"/>
      <c r="C633" s="63"/>
      <c r="D633" s="65"/>
      <c r="E633" s="63"/>
      <c r="F633" s="63"/>
      <c r="G633" s="63"/>
      <c r="H633" s="63"/>
      <c r="I633" s="63"/>
      <c r="J633" s="63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spans="1:27">
      <c r="A634" s="63"/>
      <c r="B634" s="63"/>
      <c r="C634" s="63"/>
      <c r="D634" s="65"/>
      <c r="E634" s="63"/>
      <c r="F634" s="63"/>
      <c r="G634" s="63"/>
      <c r="H634" s="63"/>
      <c r="I634" s="63"/>
      <c r="J634" s="63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spans="1:27">
      <c r="A635" s="63"/>
      <c r="B635" s="63"/>
      <c r="C635" s="63"/>
      <c r="D635" s="65"/>
      <c r="E635" s="63"/>
      <c r="F635" s="63"/>
      <c r="G635" s="63"/>
      <c r="H635" s="63"/>
      <c r="I635" s="63"/>
      <c r="J635" s="63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spans="1:27">
      <c r="A636" s="63"/>
      <c r="B636" s="63"/>
      <c r="C636" s="63"/>
      <c r="D636" s="65"/>
      <c r="E636" s="63"/>
      <c r="F636" s="63"/>
      <c r="G636" s="63"/>
      <c r="H636" s="63"/>
      <c r="I636" s="63"/>
      <c r="J636" s="63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spans="1:27">
      <c r="A637" s="63"/>
      <c r="B637" s="63"/>
      <c r="C637" s="63"/>
      <c r="D637" s="65"/>
      <c r="E637" s="63"/>
      <c r="F637" s="63"/>
      <c r="G637" s="63"/>
      <c r="H637" s="63"/>
      <c r="I637" s="63"/>
      <c r="J637" s="63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spans="1:27">
      <c r="A638" s="63"/>
      <c r="B638" s="63"/>
      <c r="C638" s="63"/>
      <c r="D638" s="65"/>
      <c r="E638" s="63"/>
      <c r="F638" s="63"/>
      <c r="G638" s="63"/>
      <c r="H638" s="63"/>
      <c r="I638" s="63"/>
      <c r="J638" s="63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spans="1:27">
      <c r="A639" s="63"/>
      <c r="B639" s="63"/>
      <c r="C639" s="63"/>
      <c r="D639" s="65"/>
      <c r="E639" s="63"/>
      <c r="F639" s="63"/>
      <c r="G639" s="63"/>
      <c r="H639" s="63"/>
      <c r="I639" s="63"/>
      <c r="J639" s="63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spans="1:27">
      <c r="A640" s="63"/>
      <c r="B640" s="63"/>
      <c r="C640" s="63"/>
      <c r="D640" s="65"/>
      <c r="E640" s="63"/>
      <c r="F640" s="63"/>
      <c r="G640" s="63"/>
      <c r="H640" s="63"/>
      <c r="I640" s="63"/>
      <c r="J640" s="63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spans="1:27">
      <c r="A641" s="63"/>
      <c r="B641" s="63"/>
      <c r="C641" s="63"/>
      <c r="D641" s="65"/>
      <c r="E641" s="63"/>
      <c r="F641" s="63"/>
      <c r="G641" s="63"/>
      <c r="H641" s="63"/>
      <c r="I641" s="63"/>
      <c r="J641" s="63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spans="1:27">
      <c r="A642" s="63"/>
      <c r="B642" s="63"/>
      <c r="C642" s="63"/>
      <c r="D642" s="65"/>
      <c r="E642" s="63"/>
      <c r="F642" s="63"/>
      <c r="G642" s="63"/>
      <c r="H642" s="63"/>
      <c r="I642" s="63"/>
      <c r="J642" s="63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spans="1:27">
      <c r="A643" s="63"/>
      <c r="B643" s="63"/>
      <c r="C643" s="63"/>
      <c r="D643" s="65"/>
      <c r="E643" s="63"/>
      <c r="F643" s="63"/>
      <c r="G643" s="63"/>
      <c r="H643" s="63"/>
      <c r="I643" s="63"/>
      <c r="J643" s="63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spans="1:27">
      <c r="A644" s="63"/>
      <c r="B644" s="63"/>
      <c r="C644" s="63"/>
      <c r="D644" s="65"/>
      <c r="E644" s="63"/>
      <c r="F644" s="63"/>
      <c r="G644" s="63"/>
      <c r="H644" s="63"/>
      <c r="I644" s="63"/>
      <c r="J644" s="63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spans="1:27">
      <c r="A645" s="63"/>
      <c r="B645" s="63"/>
      <c r="C645" s="63"/>
      <c r="D645" s="65"/>
      <c r="E645" s="63"/>
      <c r="F645" s="63"/>
      <c r="G645" s="63"/>
      <c r="H645" s="63"/>
      <c r="I645" s="63"/>
      <c r="J645" s="63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spans="1:27">
      <c r="A646" s="63"/>
      <c r="B646" s="63"/>
      <c r="C646" s="63"/>
      <c r="D646" s="65"/>
      <c r="E646" s="63"/>
      <c r="F646" s="63"/>
      <c r="G646" s="63"/>
      <c r="H646" s="63"/>
      <c r="I646" s="63"/>
      <c r="J646" s="63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spans="1:27">
      <c r="A647" s="63"/>
      <c r="B647" s="63"/>
      <c r="C647" s="63"/>
      <c r="D647" s="65"/>
      <c r="E647" s="63"/>
      <c r="F647" s="63"/>
      <c r="G647" s="63"/>
      <c r="H647" s="63"/>
      <c r="I647" s="63"/>
      <c r="J647" s="63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spans="1:27">
      <c r="A648" s="63"/>
      <c r="B648" s="63"/>
      <c r="C648" s="63"/>
      <c r="D648" s="65"/>
      <c r="E648" s="63"/>
      <c r="F648" s="63"/>
      <c r="G648" s="63"/>
      <c r="H648" s="63"/>
      <c r="I648" s="63"/>
      <c r="J648" s="63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spans="1:27">
      <c r="A649" s="63"/>
      <c r="B649" s="63"/>
      <c r="C649" s="63"/>
      <c r="D649" s="65"/>
      <c r="E649" s="63"/>
      <c r="F649" s="63"/>
      <c r="G649" s="63"/>
      <c r="H649" s="63"/>
      <c r="I649" s="63"/>
      <c r="J649" s="63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spans="1:27">
      <c r="A650" s="63"/>
      <c r="B650" s="63"/>
      <c r="C650" s="63"/>
      <c r="D650" s="65"/>
      <c r="E650" s="63"/>
      <c r="F650" s="63"/>
      <c r="G650" s="63"/>
      <c r="H650" s="63"/>
      <c r="I650" s="63"/>
      <c r="J650" s="63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spans="1:27">
      <c r="A651" s="63"/>
      <c r="B651" s="63"/>
      <c r="C651" s="63"/>
      <c r="D651" s="65"/>
      <c r="E651" s="63"/>
      <c r="F651" s="63"/>
      <c r="G651" s="63"/>
      <c r="H651" s="63"/>
      <c r="I651" s="63"/>
      <c r="J651" s="63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spans="1:27">
      <c r="A652" s="63"/>
      <c r="B652" s="63"/>
      <c r="C652" s="63"/>
      <c r="D652" s="65"/>
      <c r="E652" s="63"/>
      <c r="F652" s="63"/>
      <c r="G652" s="63"/>
      <c r="H652" s="63"/>
      <c r="I652" s="63"/>
      <c r="J652" s="63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spans="1:27">
      <c r="A653" s="63"/>
      <c r="B653" s="63"/>
      <c r="C653" s="63"/>
      <c r="D653" s="65"/>
      <c r="E653" s="63"/>
      <c r="F653" s="63"/>
      <c r="G653" s="63"/>
      <c r="H653" s="63"/>
      <c r="I653" s="63"/>
      <c r="J653" s="63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spans="1:27">
      <c r="A654" s="63"/>
      <c r="B654" s="63"/>
      <c r="C654" s="63"/>
      <c r="D654" s="65"/>
      <c r="E654" s="63"/>
      <c r="F654" s="63"/>
      <c r="G654" s="63"/>
      <c r="H654" s="63"/>
      <c r="I654" s="63"/>
      <c r="J654" s="63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spans="1:27">
      <c r="A655" s="63"/>
      <c r="B655" s="63"/>
      <c r="C655" s="63"/>
      <c r="D655" s="65"/>
      <c r="E655" s="63"/>
      <c r="F655" s="63"/>
      <c r="G655" s="63"/>
      <c r="H655" s="63"/>
      <c r="I655" s="63"/>
      <c r="J655" s="63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spans="1:27">
      <c r="A656" s="63"/>
      <c r="B656" s="63"/>
      <c r="C656" s="63"/>
      <c r="D656" s="65"/>
      <c r="E656" s="63"/>
      <c r="F656" s="63"/>
      <c r="G656" s="63"/>
      <c r="H656" s="63"/>
      <c r="I656" s="63"/>
      <c r="J656" s="63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spans="1:27">
      <c r="A657" s="63"/>
      <c r="B657" s="63"/>
      <c r="C657" s="63"/>
      <c r="D657" s="65"/>
      <c r="E657" s="63"/>
      <c r="F657" s="63"/>
      <c r="G657" s="63"/>
      <c r="H657" s="63"/>
      <c r="I657" s="63"/>
      <c r="J657" s="63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spans="1:27">
      <c r="A658" s="63"/>
      <c r="B658" s="63"/>
      <c r="C658" s="63"/>
      <c r="D658" s="65"/>
      <c r="E658" s="63"/>
      <c r="F658" s="63"/>
      <c r="G658" s="63"/>
      <c r="H658" s="63"/>
      <c r="I658" s="63"/>
      <c r="J658" s="63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spans="1:27">
      <c r="A659" s="63"/>
      <c r="B659" s="63"/>
      <c r="C659" s="63"/>
      <c r="D659" s="65"/>
      <c r="E659" s="63"/>
      <c r="F659" s="63"/>
      <c r="G659" s="63"/>
      <c r="H659" s="63"/>
      <c r="I659" s="63"/>
      <c r="J659" s="63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spans="1:27">
      <c r="A660" s="63"/>
      <c r="B660" s="63"/>
      <c r="C660" s="63"/>
      <c r="D660" s="65"/>
      <c r="E660" s="63"/>
      <c r="F660" s="63"/>
      <c r="G660" s="63"/>
      <c r="H660" s="63"/>
      <c r="I660" s="63"/>
      <c r="J660" s="63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spans="1:27">
      <c r="A661" s="63"/>
      <c r="B661" s="63"/>
      <c r="C661" s="63"/>
      <c r="D661" s="65"/>
      <c r="E661" s="63"/>
      <c r="F661" s="63"/>
      <c r="G661" s="63"/>
      <c r="H661" s="63"/>
      <c r="I661" s="63"/>
      <c r="J661" s="63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spans="1:27">
      <c r="A662" s="63"/>
      <c r="B662" s="63"/>
      <c r="C662" s="63"/>
      <c r="D662" s="65"/>
      <c r="E662" s="63"/>
      <c r="F662" s="63"/>
      <c r="G662" s="63"/>
      <c r="H662" s="63"/>
      <c r="I662" s="63"/>
      <c r="J662" s="63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spans="1:27">
      <c r="A663" s="63"/>
      <c r="B663" s="63"/>
      <c r="C663" s="63"/>
      <c r="D663" s="65"/>
      <c r="E663" s="63"/>
      <c r="F663" s="63"/>
      <c r="G663" s="63"/>
      <c r="H663" s="63"/>
      <c r="I663" s="63"/>
      <c r="J663" s="63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spans="1:27">
      <c r="A664" s="63"/>
      <c r="B664" s="63"/>
      <c r="C664" s="63"/>
      <c r="D664" s="65"/>
      <c r="E664" s="63"/>
      <c r="F664" s="63"/>
      <c r="G664" s="63"/>
      <c r="H664" s="63"/>
      <c r="I664" s="63"/>
      <c r="J664" s="63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spans="1:27">
      <c r="A665" s="63"/>
      <c r="B665" s="63"/>
      <c r="C665" s="63"/>
      <c r="D665" s="65"/>
      <c r="E665" s="63"/>
      <c r="F665" s="63"/>
      <c r="G665" s="63"/>
      <c r="H665" s="63"/>
      <c r="I665" s="63"/>
      <c r="J665" s="63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spans="1:27">
      <c r="A666" s="63"/>
      <c r="B666" s="63"/>
      <c r="C666" s="63"/>
      <c r="D666" s="65"/>
      <c r="E666" s="63"/>
      <c r="F666" s="63"/>
      <c r="G666" s="63"/>
      <c r="H666" s="63"/>
      <c r="I666" s="63"/>
      <c r="J666" s="63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spans="1:27">
      <c r="A667" s="63"/>
      <c r="B667" s="63"/>
      <c r="C667" s="63"/>
      <c r="D667" s="65"/>
      <c r="E667" s="63"/>
      <c r="F667" s="63"/>
      <c r="G667" s="63"/>
      <c r="H667" s="63"/>
      <c r="I667" s="63"/>
      <c r="J667" s="63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spans="1:27">
      <c r="A668" s="63"/>
      <c r="B668" s="63"/>
      <c r="C668" s="63"/>
      <c r="D668" s="65"/>
      <c r="E668" s="63"/>
      <c r="F668" s="63"/>
      <c r="G668" s="63"/>
      <c r="H668" s="63"/>
      <c r="I668" s="63"/>
      <c r="J668" s="63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spans="1:27">
      <c r="A669" s="63"/>
      <c r="B669" s="63"/>
      <c r="C669" s="63"/>
      <c r="D669" s="65"/>
      <c r="E669" s="63"/>
      <c r="F669" s="63"/>
      <c r="G669" s="63"/>
      <c r="H669" s="63"/>
      <c r="I669" s="63"/>
      <c r="J669" s="63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spans="1:27">
      <c r="A670" s="63"/>
      <c r="B670" s="63"/>
      <c r="C670" s="63"/>
      <c r="D670" s="65"/>
      <c r="E670" s="63"/>
      <c r="F670" s="63"/>
      <c r="G670" s="63"/>
      <c r="H670" s="63"/>
      <c r="I670" s="63"/>
      <c r="J670" s="63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spans="1:27">
      <c r="A671" s="63"/>
      <c r="B671" s="63"/>
      <c r="C671" s="63"/>
      <c r="D671" s="65"/>
      <c r="E671" s="63"/>
      <c r="F671" s="63"/>
      <c r="G671" s="63"/>
      <c r="H671" s="63"/>
      <c r="I671" s="63"/>
      <c r="J671" s="63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spans="1:27">
      <c r="A672" s="63"/>
      <c r="B672" s="63"/>
      <c r="C672" s="63"/>
      <c r="D672" s="65"/>
      <c r="E672" s="63"/>
      <c r="F672" s="63"/>
      <c r="G672" s="63"/>
      <c r="H672" s="63"/>
      <c r="I672" s="63"/>
      <c r="J672" s="63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spans="1:27">
      <c r="A673" s="63"/>
      <c r="B673" s="63"/>
      <c r="C673" s="63"/>
      <c r="D673" s="65"/>
      <c r="E673" s="63"/>
      <c r="F673" s="63"/>
      <c r="G673" s="63"/>
      <c r="H673" s="63"/>
      <c r="I673" s="63"/>
      <c r="J673" s="63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spans="1:27">
      <c r="A674" s="63"/>
      <c r="B674" s="63"/>
      <c r="C674" s="63"/>
      <c r="D674" s="65"/>
      <c r="E674" s="63"/>
      <c r="F674" s="63"/>
      <c r="G674" s="63"/>
      <c r="H674" s="63"/>
      <c r="I674" s="63"/>
      <c r="J674" s="63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spans="1:27">
      <c r="A675" s="63"/>
      <c r="B675" s="63"/>
      <c r="C675" s="63"/>
      <c r="D675" s="65"/>
      <c r="E675" s="63"/>
      <c r="F675" s="63"/>
      <c r="G675" s="63"/>
      <c r="H675" s="63"/>
      <c r="I675" s="63"/>
      <c r="J675" s="63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spans="1:27">
      <c r="A676" s="63"/>
      <c r="B676" s="63"/>
      <c r="C676" s="63"/>
      <c r="D676" s="65"/>
      <c r="E676" s="63"/>
      <c r="F676" s="63"/>
      <c r="G676" s="63"/>
      <c r="H676" s="63"/>
      <c r="I676" s="63"/>
      <c r="J676" s="63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spans="1:27">
      <c r="A677" s="63"/>
      <c r="B677" s="63"/>
      <c r="C677" s="63"/>
      <c r="D677" s="65"/>
      <c r="E677" s="63"/>
      <c r="F677" s="63"/>
      <c r="G677" s="63"/>
      <c r="H677" s="63"/>
      <c r="I677" s="63"/>
      <c r="J677" s="63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spans="1:27">
      <c r="A678" s="63"/>
      <c r="B678" s="63"/>
      <c r="C678" s="63"/>
      <c r="D678" s="65"/>
      <c r="E678" s="63"/>
      <c r="F678" s="63"/>
      <c r="G678" s="63"/>
      <c r="H678" s="63"/>
      <c r="I678" s="63"/>
      <c r="J678" s="63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spans="1:27">
      <c r="A679" s="63"/>
      <c r="B679" s="63"/>
      <c r="C679" s="63"/>
      <c r="D679" s="65"/>
      <c r="E679" s="63"/>
      <c r="F679" s="63"/>
      <c r="G679" s="63"/>
      <c r="H679" s="63"/>
      <c r="I679" s="63"/>
      <c r="J679" s="63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spans="1:27">
      <c r="A680" s="63"/>
      <c r="B680" s="63"/>
      <c r="C680" s="63"/>
      <c r="D680" s="65"/>
      <c r="E680" s="63"/>
      <c r="F680" s="63"/>
      <c r="G680" s="63"/>
      <c r="H680" s="63"/>
      <c r="I680" s="63"/>
      <c r="J680" s="63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spans="1:27">
      <c r="A681" s="63"/>
      <c r="B681" s="63"/>
      <c r="C681" s="63"/>
      <c r="D681" s="65"/>
      <c r="E681" s="63"/>
      <c r="F681" s="63"/>
      <c r="G681" s="63"/>
      <c r="H681" s="63"/>
      <c r="I681" s="63"/>
      <c r="J681" s="63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spans="1:27">
      <c r="A682" s="63"/>
      <c r="B682" s="63"/>
      <c r="C682" s="63"/>
      <c r="D682" s="65"/>
      <c r="E682" s="63"/>
      <c r="F682" s="63"/>
      <c r="G682" s="63"/>
      <c r="H682" s="63"/>
      <c r="I682" s="63"/>
      <c r="J682" s="63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spans="1:27">
      <c r="A683" s="63"/>
      <c r="B683" s="63"/>
      <c r="C683" s="63"/>
      <c r="D683" s="65"/>
      <c r="E683" s="63"/>
      <c r="F683" s="63"/>
      <c r="G683" s="63"/>
      <c r="H683" s="63"/>
      <c r="I683" s="63"/>
      <c r="J683" s="63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spans="1:27">
      <c r="A684" s="63"/>
      <c r="B684" s="63"/>
      <c r="C684" s="63"/>
      <c r="D684" s="65"/>
      <c r="E684" s="63"/>
      <c r="F684" s="63"/>
      <c r="G684" s="63"/>
      <c r="H684" s="63"/>
      <c r="I684" s="63"/>
      <c r="J684" s="63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spans="1:27">
      <c r="A685" s="63"/>
      <c r="B685" s="63"/>
      <c r="C685" s="63"/>
      <c r="D685" s="65"/>
      <c r="E685" s="63"/>
      <c r="F685" s="63"/>
      <c r="G685" s="63"/>
      <c r="H685" s="63"/>
      <c r="I685" s="63"/>
      <c r="J685" s="63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spans="1:27">
      <c r="A686" s="63"/>
      <c r="B686" s="63"/>
      <c r="C686" s="63"/>
      <c r="D686" s="65"/>
      <c r="E686" s="63"/>
      <c r="F686" s="63"/>
      <c r="G686" s="63"/>
      <c r="H686" s="63"/>
      <c r="I686" s="63"/>
      <c r="J686" s="63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spans="1:27">
      <c r="A687" s="63"/>
      <c r="B687" s="63"/>
      <c r="C687" s="63"/>
      <c r="D687" s="65"/>
      <c r="E687" s="63"/>
      <c r="F687" s="63"/>
      <c r="G687" s="63"/>
      <c r="H687" s="63"/>
      <c r="I687" s="63"/>
      <c r="J687" s="63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spans="1:27">
      <c r="A688" s="63"/>
      <c r="B688" s="63"/>
      <c r="C688" s="63"/>
      <c r="D688" s="65"/>
      <c r="E688" s="63"/>
      <c r="F688" s="63"/>
      <c r="G688" s="63"/>
      <c r="H688" s="63"/>
      <c r="I688" s="63"/>
      <c r="J688" s="63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spans="1:27">
      <c r="A689" s="63"/>
      <c r="B689" s="63"/>
      <c r="C689" s="63"/>
      <c r="D689" s="65"/>
      <c r="E689" s="63"/>
      <c r="F689" s="63"/>
      <c r="G689" s="63"/>
      <c r="H689" s="63"/>
      <c r="I689" s="63"/>
      <c r="J689" s="63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spans="1:27">
      <c r="A690" s="63"/>
      <c r="B690" s="63"/>
      <c r="C690" s="63"/>
      <c r="D690" s="65"/>
      <c r="E690" s="63"/>
      <c r="F690" s="63"/>
      <c r="G690" s="63"/>
      <c r="H690" s="63"/>
      <c r="I690" s="63"/>
      <c r="J690" s="63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spans="1:27">
      <c r="A691" s="63"/>
      <c r="B691" s="63"/>
      <c r="C691" s="63"/>
      <c r="D691" s="65"/>
      <c r="E691" s="63"/>
      <c r="F691" s="63"/>
      <c r="G691" s="63"/>
      <c r="H691" s="63"/>
      <c r="I691" s="63"/>
      <c r="J691" s="63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spans="1:27">
      <c r="A692" s="63"/>
      <c r="B692" s="63"/>
      <c r="C692" s="63"/>
      <c r="D692" s="65"/>
      <c r="E692" s="63"/>
      <c r="F692" s="63"/>
      <c r="G692" s="63"/>
      <c r="H692" s="63"/>
      <c r="I692" s="63"/>
      <c r="J692" s="63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spans="1:27">
      <c r="A693" s="63"/>
      <c r="B693" s="63"/>
      <c r="C693" s="63"/>
      <c r="D693" s="65"/>
      <c r="E693" s="63"/>
      <c r="F693" s="63"/>
      <c r="G693" s="63"/>
      <c r="H693" s="63"/>
      <c r="I693" s="63"/>
      <c r="J693" s="63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spans="1:27">
      <c r="A694" s="63"/>
      <c r="B694" s="63"/>
      <c r="C694" s="63"/>
      <c r="D694" s="65"/>
      <c r="E694" s="63"/>
      <c r="F694" s="63"/>
      <c r="G694" s="63"/>
      <c r="H694" s="63"/>
      <c r="I694" s="63"/>
      <c r="J694" s="63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spans="1:27">
      <c r="A695" s="63"/>
      <c r="B695" s="63"/>
      <c r="C695" s="63"/>
      <c r="D695" s="65"/>
      <c r="E695" s="63"/>
      <c r="F695" s="63"/>
      <c r="G695" s="63"/>
      <c r="H695" s="63"/>
      <c r="I695" s="63"/>
      <c r="J695" s="63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spans="1:27">
      <c r="A696" s="63"/>
      <c r="B696" s="63"/>
      <c r="C696" s="63"/>
      <c r="D696" s="65"/>
      <c r="E696" s="63"/>
      <c r="F696" s="63"/>
      <c r="G696" s="63"/>
      <c r="H696" s="63"/>
      <c r="I696" s="63"/>
      <c r="J696" s="63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spans="1:27">
      <c r="A697" s="63"/>
      <c r="B697" s="63"/>
      <c r="C697" s="63"/>
      <c r="D697" s="65"/>
      <c r="E697" s="63"/>
      <c r="F697" s="63"/>
      <c r="G697" s="63"/>
      <c r="H697" s="63"/>
      <c r="I697" s="63"/>
      <c r="J697" s="63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spans="1:27">
      <c r="A698" s="63"/>
      <c r="B698" s="63"/>
      <c r="C698" s="63"/>
      <c r="D698" s="65"/>
      <c r="E698" s="63"/>
      <c r="F698" s="63"/>
      <c r="G698" s="63"/>
      <c r="H698" s="63"/>
      <c r="I698" s="63"/>
      <c r="J698" s="63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spans="1:27">
      <c r="A699" s="63"/>
      <c r="B699" s="63"/>
      <c r="C699" s="63"/>
      <c r="D699" s="65"/>
      <c r="E699" s="63"/>
      <c r="F699" s="63"/>
      <c r="G699" s="63"/>
      <c r="H699" s="63"/>
      <c r="I699" s="63"/>
      <c r="J699" s="63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spans="1:27">
      <c r="A700" s="63"/>
      <c r="B700" s="63"/>
      <c r="C700" s="63"/>
      <c r="D700" s="65"/>
      <c r="E700" s="63"/>
      <c r="F700" s="63"/>
      <c r="G700" s="63"/>
      <c r="H700" s="63"/>
      <c r="I700" s="63"/>
      <c r="J700" s="63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spans="1:27">
      <c r="A701" s="63"/>
      <c r="B701" s="63"/>
      <c r="C701" s="63"/>
      <c r="D701" s="65"/>
      <c r="E701" s="63"/>
      <c r="F701" s="63"/>
      <c r="G701" s="63"/>
      <c r="H701" s="63"/>
      <c r="I701" s="63"/>
      <c r="J701" s="63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spans="1:27">
      <c r="A702" s="63"/>
      <c r="B702" s="63"/>
      <c r="C702" s="63"/>
      <c r="D702" s="65"/>
      <c r="E702" s="63"/>
      <c r="F702" s="63"/>
      <c r="G702" s="63"/>
      <c r="H702" s="63"/>
      <c r="I702" s="63"/>
      <c r="J702" s="63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spans="1:27">
      <c r="A703" s="63"/>
      <c r="B703" s="63"/>
      <c r="C703" s="63"/>
      <c r="D703" s="65"/>
      <c r="E703" s="63"/>
      <c r="F703" s="63"/>
      <c r="G703" s="63"/>
      <c r="H703" s="63"/>
      <c r="I703" s="63"/>
      <c r="J703" s="63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spans="1:27">
      <c r="A704" s="63"/>
      <c r="B704" s="63"/>
      <c r="C704" s="63"/>
      <c r="D704" s="65"/>
      <c r="E704" s="63"/>
      <c r="F704" s="63"/>
      <c r="G704" s="63"/>
      <c r="H704" s="63"/>
      <c r="I704" s="63"/>
      <c r="J704" s="63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spans="1:27">
      <c r="A705" s="63"/>
      <c r="B705" s="63"/>
      <c r="C705" s="63"/>
      <c r="D705" s="65"/>
      <c r="E705" s="63"/>
      <c r="F705" s="63"/>
      <c r="G705" s="63"/>
      <c r="H705" s="63"/>
      <c r="I705" s="63"/>
      <c r="J705" s="63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spans="1:27">
      <c r="A706" s="63"/>
      <c r="B706" s="63"/>
      <c r="C706" s="63"/>
      <c r="D706" s="65"/>
      <c r="E706" s="63"/>
      <c r="F706" s="63"/>
      <c r="G706" s="63"/>
      <c r="H706" s="63"/>
      <c r="I706" s="63"/>
      <c r="J706" s="63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spans="1:27">
      <c r="A707" s="63"/>
      <c r="B707" s="63"/>
      <c r="C707" s="63"/>
      <c r="D707" s="65"/>
      <c r="E707" s="63"/>
      <c r="F707" s="63"/>
      <c r="G707" s="63"/>
      <c r="H707" s="63"/>
      <c r="I707" s="63"/>
      <c r="J707" s="63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spans="1:27">
      <c r="A708" s="63"/>
      <c r="B708" s="63"/>
      <c r="C708" s="63"/>
      <c r="D708" s="65"/>
      <c r="E708" s="63"/>
      <c r="F708" s="63"/>
      <c r="G708" s="63"/>
      <c r="H708" s="63"/>
      <c r="I708" s="63"/>
      <c r="J708" s="63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spans="1:27">
      <c r="A709" s="63"/>
      <c r="B709" s="63"/>
      <c r="C709" s="63"/>
      <c r="D709" s="65"/>
      <c r="E709" s="63"/>
      <c r="F709" s="63"/>
      <c r="G709" s="63"/>
      <c r="H709" s="63"/>
      <c r="I709" s="63"/>
      <c r="J709" s="63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spans="1:27">
      <c r="A710" s="63"/>
      <c r="B710" s="63"/>
      <c r="C710" s="63"/>
      <c r="D710" s="65"/>
      <c r="E710" s="63"/>
      <c r="F710" s="63"/>
      <c r="G710" s="63"/>
      <c r="H710" s="63"/>
      <c r="I710" s="63"/>
      <c r="J710" s="63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spans="1:27">
      <c r="A711" s="63"/>
      <c r="B711" s="63"/>
      <c r="C711" s="63"/>
      <c r="D711" s="65"/>
      <c r="E711" s="63"/>
      <c r="F711" s="63"/>
      <c r="G711" s="63"/>
      <c r="H711" s="63"/>
      <c r="I711" s="63"/>
      <c r="J711" s="63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spans="1:27">
      <c r="A712" s="63"/>
      <c r="B712" s="63"/>
      <c r="C712" s="63"/>
      <c r="D712" s="65"/>
      <c r="E712" s="63"/>
      <c r="F712" s="63"/>
      <c r="G712" s="63"/>
      <c r="H712" s="63"/>
      <c r="I712" s="63"/>
      <c r="J712" s="63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spans="1:27">
      <c r="A713" s="63"/>
      <c r="B713" s="63"/>
      <c r="C713" s="63"/>
      <c r="D713" s="65"/>
      <c r="E713" s="63"/>
      <c r="F713" s="63"/>
      <c r="G713" s="63"/>
      <c r="H713" s="63"/>
      <c r="I713" s="63"/>
      <c r="J713" s="63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spans="1:27">
      <c r="A714" s="63"/>
      <c r="B714" s="63"/>
      <c r="C714" s="63"/>
      <c r="D714" s="65"/>
      <c r="E714" s="63"/>
      <c r="F714" s="63"/>
      <c r="G714" s="63"/>
      <c r="H714" s="63"/>
      <c r="I714" s="63"/>
      <c r="J714" s="63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spans="1:27">
      <c r="A715" s="63"/>
      <c r="B715" s="63"/>
      <c r="C715" s="63"/>
      <c r="D715" s="65"/>
      <c r="E715" s="63"/>
      <c r="F715" s="63"/>
      <c r="G715" s="63"/>
      <c r="H715" s="63"/>
      <c r="I715" s="63"/>
      <c r="J715" s="63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spans="1:27">
      <c r="A716" s="63"/>
      <c r="B716" s="63"/>
      <c r="C716" s="63"/>
      <c r="D716" s="65"/>
      <c r="E716" s="63"/>
      <c r="F716" s="63"/>
      <c r="G716" s="63"/>
      <c r="H716" s="63"/>
      <c r="I716" s="63"/>
      <c r="J716" s="63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spans="1:27">
      <c r="A717" s="63"/>
      <c r="B717" s="63"/>
      <c r="C717" s="63"/>
      <c r="D717" s="65"/>
      <c r="E717" s="63"/>
      <c r="F717" s="63"/>
      <c r="G717" s="63"/>
      <c r="H717" s="63"/>
      <c r="I717" s="63"/>
      <c r="J717" s="63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spans="1:27">
      <c r="A718" s="63"/>
      <c r="B718" s="63"/>
      <c r="C718" s="63"/>
      <c r="D718" s="65"/>
      <c r="E718" s="63"/>
      <c r="F718" s="63"/>
      <c r="G718" s="63"/>
      <c r="H718" s="63"/>
      <c r="I718" s="63"/>
      <c r="J718" s="63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spans="1:27">
      <c r="A719" s="63"/>
      <c r="B719" s="63"/>
      <c r="C719" s="63"/>
      <c r="D719" s="65"/>
      <c r="E719" s="63"/>
      <c r="F719" s="63"/>
      <c r="G719" s="63"/>
      <c r="H719" s="63"/>
      <c r="I719" s="63"/>
      <c r="J719" s="63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spans="1:27">
      <c r="A720" s="63"/>
      <c r="B720" s="63"/>
      <c r="C720" s="63"/>
      <c r="D720" s="65"/>
      <c r="E720" s="63"/>
      <c r="F720" s="63"/>
      <c r="G720" s="63"/>
      <c r="H720" s="63"/>
      <c r="I720" s="63"/>
      <c r="J720" s="63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spans="1:27">
      <c r="A721" s="63"/>
      <c r="B721" s="63"/>
      <c r="C721" s="63"/>
      <c r="D721" s="65"/>
      <c r="E721" s="63"/>
      <c r="F721" s="63"/>
      <c r="G721" s="63"/>
      <c r="H721" s="63"/>
      <c r="I721" s="63"/>
      <c r="J721" s="63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spans="1:27">
      <c r="A722" s="63"/>
      <c r="B722" s="63"/>
      <c r="C722" s="63"/>
      <c r="D722" s="65"/>
      <c r="E722" s="63"/>
      <c r="F722" s="63"/>
      <c r="G722" s="63"/>
      <c r="H722" s="63"/>
      <c r="I722" s="63"/>
      <c r="J722" s="63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spans="1:27">
      <c r="A723" s="63"/>
      <c r="B723" s="63"/>
      <c r="C723" s="63"/>
      <c r="D723" s="65"/>
      <c r="E723" s="63"/>
      <c r="F723" s="63"/>
      <c r="G723" s="63"/>
      <c r="H723" s="63"/>
      <c r="I723" s="63"/>
      <c r="J723" s="63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spans="1:27">
      <c r="A724" s="63"/>
      <c r="B724" s="63"/>
      <c r="C724" s="63"/>
      <c r="D724" s="65"/>
      <c r="E724" s="63"/>
      <c r="F724" s="63"/>
      <c r="G724" s="63"/>
      <c r="H724" s="63"/>
      <c r="I724" s="63"/>
      <c r="J724" s="63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spans="1:27">
      <c r="A725" s="63"/>
      <c r="B725" s="63"/>
      <c r="C725" s="63"/>
      <c r="D725" s="65"/>
      <c r="E725" s="63"/>
      <c r="F725" s="63"/>
      <c r="G725" s="63"/>
      <c r="H725" s="63"/>
      <c r="I725" s="63"/>
      <c r="J725" s="63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spans="1:27">
      <c r="A726" s="63"/>
      <c r="B726" s="63"/>
      <c r="C726" s="63"/>
      <c r="D726" s="65"/>
      <c r="E726" s="63"/>
      <c r="F726" s="63"/>
      <c r="G726" s="63"/>
      <c r="H726" s="63"/>
      <c r="I726" s="63"/>
      <c r="J726" s="63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spans="1:27">
      <c r="A727" s="63"/>
      <c r="B727" s="63"/>
      <c r="C727" s="63"/>
      <c r="D727" s="65"/>
      <c r="E727" s="63"/>
      <c r="F727" s="63"/>
      <c r="G727" s="63"/>
      <c r="H727" s="63"/>
      <c r="I727" s="63"/>
      <c r="J727" s="63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spans="1:27">
      <c r="A728" s="63"/>
      <c r="B728" s="63"/>
      <c r="C728" s="63"/>
      <c r="D728" s="65"/>
      <c r="E728" s="63"/>
      <c r="F728" s="63"/>
      <c r="G728" s="63"/>
      <c r="H728" s="63"/>
      <c r="I728" s="63"/>
      <c r="J728" s="63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spans="1:27">
      <c r="A729" s="63"/>
      <c r="B729" s="63"/>
      <c r="C729" s="63"/>
      <c r="D729" s="65"/>
      <c r="E729" s="63"/>
      <c r="F729" s="63"/>
      <c r="G729" s="63"/>
      <c r="H729" s="63"/>
      <c r="I729" s="63"/>
      <c r="J729" s="63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spans="1:27">
      <c r="A730" s="63"/>
      <c r="B730" s="63"/>
      <c r="C730" s="63"/>
      <c r="D730" s="65"/>
      <c r="E730" s="63"/>
      <c r="F730" s="63"/>
      <c r="G730" s="63"/>
      <c r="H730" s="63"/>
      <c r="I730" s="63"/>
      <c r="J730" s="63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spans="1:27">
      <c r="A731" s="63"/>
      <c r="B731" s="63"/>
      <c r="C731" s="63"/>
      <c r="D731" s="65"/>
      <c r="E731" s="63"/>
      <c r="F731" s="63"/>
      <c r="G731" s="63"/>
      <c r="H731" s="63"/>
      <c r="I731" s="63"/>
      <c r="J731" s="63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spans="1:27">
      <c r="A732" s="63"/>
      <c r="B732" s="63"/>
      <c r="C732" s="63"/>
      <c r="D732" s="65"/>
      <c r="E732" s="63"/>
      <c r="F732" s="63"/>
      <c r="G732" s="63"/>
      <c r="H732" s="63"/>
      <c r="I732" s="63"/>
      <c r="J732" s="63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spans="1:27">
      <c r="A733" s="63"/>
      <c r="B733" s="63"/>
      <c r="C733" s="63"/>
      <c r="D733" s="65"/>
      <c r="E733" s="63"/>
      <c r="F733" s="63"/>
      <c r="G733" s="63"/>
      <c r="H733" s="63"/>
      <c r="I733" s="63"/>
      <c r="J733" s="63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spans="1:27">
      <c r="A734" s="63"/>
      <c r="B734" s="63"/>
      <c r="C734" s="63"/>
      <c r="D734" s="65"/>
      <c r="E734" s="63"/>
      <c r="F734" s="63"/>
      <c r="G734" s="63"/>
      <c r="H734" s="63"/>
      <c r="I734" s="63"/>
      <c r="J734" s="63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spans="1:27">
      <c r="A735" s="63"/>
      <c r="B735" s="63"/>
      <c r="C735" s="63"/>
      <c r="D735" s="65"/>
      <c r="E735" s="63"/>
      <c r="F735" s="63"/>
      <c r="G735" s="63"/>
      <c r="H735" s="63"/>
      <c r="I735" s="63"/>
      <c r="J735" s="63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spans="1:27">
      <c r="A736" s="63"/>
      <c r="B736" s="63"/>
      <c r="C736" s="63"/>
      <c r="D736" s="65"/>
      <c r="E736" s="63"/>
      <c r="F736" s="63"/>
      <c r="G736" s="63"/>
      <c r="H736" s="63"/>
      <c r="I736" s="63"/>
      <c r="J736" s="63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spans="1:27">
      <c r="A737" s="63"/>
      <c r="B737" s="63"/>
      <c r="C737" s="63"/>
      <c r="D737" s="65"/>
      <c r="E737" s="63"/>
      <c r="F737" s="63"/>
      <c r="G737" s="63"/>
      <c r="H737" s="63"/>
      <c r="I737" s="63"/>
      <c r="J737" s="63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spans="1:27">
      <c r="A738" s="63"/>
      <c r="B738" s="63"/>
      <c r="C738" s="63"/>
      <c r="D738" s="65"/>
      <c r="E738" s="63"/>
      <c r="F738" s="63"/>
      <c r="G738" s="63"/>
      <c r="H738" s="63"/>
      <c r="I738" s="63"/>
      <c r="J738" s="63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spans="1:27">
      <c r="A739" s="63"/>
      <c r="B739" s="63"/>
      <c r="C739" s="63"/>
      <c r="D739" s="65"/>
      <c r="E739" s="63"/>
      <c r="F739" s="63"/>
      <c r="G739" s="63"/>
      <c r="H739" s="63"/>
      <c r="I739" s="63"/>
      <c r="J739" s="63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spans="1:27">
      <c r="A740" s="63"/>
      <c r="B740" s="63"/>
      <c r="C740" s="63"/>
      <c r="D740" s="65"/>
      <c r="E740" s="63"/>
      <c r="F740" s="63"/>
      <c r="G740" s="63"/>
      <c r="H740" s="63"/>
      <c r="I740" s="63"/>
      <c r="J740" s="63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spans="1:27">
      <c r="A741" s="63"/>
      <c r="B741" s="63"/>
      <c r="C741" s="63"/>
      <c r="D741" s="65"/>
      <c r="E741" s="63"/>
      <c r="F741" s="63"/>
      <c r="G741" s="63"/>
      <c r="H741" s="63"/>
      <c r="I741" s="63"/>
      <c r="J741" s="63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spans="1:27">
      <c r="A742" s="63"/>
      <c r="B742" s="63"/>
      <c r="C742" s="63"/>
      <c r="D742" s="65"/>
      <c r="E742" s="63"/>
      <c r="F742" s="63"/>
      <c r="G742" s="63"/>
      <c r="H742" s="63"/>
      <c r="I742" s="63"/>
      <c r="J742" s="63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spans="1:27">
      <c r="A743" s="63"/>
      <c r="B743" s="63"/>
      <c r="C743" s="63"/>
      <c r="D743" s="65"/>
      <c r="E743" s="63"/>
      <c r="F743" s="63"/>
      <c r="G743" s="63"/>
      <c r="H743" s="63"/>
      <c r="I743" s="63"/>
      <c r="J743" s="63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spans="1:27">
      <c r="A744" s="63"/>
      <c r="B744" s="63"/>
      <c r="C744" s="63"/>
      <c r="D744" s="65"/>
      <c r="E744" s="63"/>
      <c r="F744" s="63"/>
      <c r="G744" s="63"/>
      <c r="H744" s="63"/>
      <c r="I744" s="63"/>
      <c r="J744" s="63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spans="1:27">
      <c r="A745" s="63"/>
      <c r="B745" s="63"/>
      <c r="C745" s="63"/>
      <c r="D745" s="65"/>
      <c r="E745" s="63"/>
      <c r="F745" s="63"/>
      <c r="G745" s="63"/>
      <c r="H745" s="63"/>
      <c r="I745" s="63"/>
      <c r="J745" s="63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spans="1:27">
      <c r="A746" s="63"/>
      <c r="B746" s="63"/>
      <c r="C746" s="63"/>
      <c r="D746" s="65"/>
      <c r="E746" s="63"/>
      <c r="F746" s="63"/>
      <c r="G746" s="63"/>
      <c r="H746" s="63"/>
      <c r="I746" s="63"/>
      <c r="J746" s="63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spans="1:27">
      <c r="A747" s="63"/>
      <c r="B747" s="63"/>
      <c r="C747" s="63"/>
      <c r="D747" s="65"/>
      <c r="E747" s="63"/>
      <c r="F747" s="63"/>
      <c r="G747" s="63"/>
      <c r="H747" s="63"/>
      <c r="I747" s="63"/>
      <c r="J747" s="63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spans="1:27">
      <c r="A748" s="63"/>
      <c r="B748" s="63"/>
      <c r="C748" s="63"/>
      <c r="D748" s="65"/>
      <c r="E748" s="63"/>
      <c r="F748" s="63"/>
      <c r="G748" s="63"/>
      <c r="H748" s="63"/>
      <c r="I748" s="63"/>
      <c r="J748" s="63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spans="1:27">
      <c r="A749" s="63"/>
      <c r="B749" s="63"/>
      <c r="C749" s="63"/>
      <c r="D749" s="65"/>
      <c r="E749" s="63"/>
      <c r="F749" s="63"/>
      <c r="G749" s="63"/>
      <c r="H749" s="63"/>
      <c r="I749" s="63"/>
      <c r="J749" s="63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spans="1:27">
      <c r="A750" s="63"/>
      <c r="B750" s="63"/>
      <c r="C750" s="63"/>
      <c r="D750" s="65"/>
      <c r="E750" s="63"/>
      <c r="F750" s="63"/>
      <c r="G750" s="63"/>
      <c r="H750" s="63"/>
      <c r="I750" s="63"/>
      <c r="J750" s="63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spans="1:27">
      <c r="A751" s="63"/>
      <c r="B751" s="63"/>
      <c r="C751" s="63"/>
      <c r="D751" s="65"/>
      <c r="E751" s="63"/>
      <c r="F751" s="63"/>
      <c r="G751" s="63"/>
      <c r="H751" s="63"/>
      <c r="I751" s="63"/>
      <c r="J751" s="63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spans="1:27">
      <c r="A752" s="63"/>
      <c r="B752" s="63"/>
      <c r="C752" s="63"/>
      <c r="D752" s="65"/>
      <c r="E752" s="63"/>
      <c r="F752" s="63"/>
      <c r="G752" s="63"/>
      <c r="H752" s="63"/>
      <c r="I752" s="63"/>
      <c r="J752" s="63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spans="1:27">
      <c r="A753" s="63"/>
      <c r="B753" s="63"/>
      <c r="C753" s="63"/>
      <c r="D753" s="65"/>
      <c r="E753" s="63"/>
      <c r="F753" s="63"/>
      <c r="G753" s="63"/>
      <c r="H753" s="63"/>
      <c r="I753" s="63"/>
      <c r="J753" s="63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spans="1:27">
      <c r="A754" s="63"/>
      <c r="B754" s="63"/>
      <c r="C754" s="63"/>
      <c r="D754" s="65"/>
      <c r="E754" s="63"/>
      <c r="F754" s="63"/>
      <c r="G754" s="63"/>
      <c r="H754" s="63"/>
      <c r="I754" s="63"/>
      <c r="J754" s="63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spans="1:27">
      <c r="A755" s="63"/>
      <c r="B755" s="63"/>
      <c r="C755" s="63"/>
      <c r="D755" s="65"/>
      <c r="E755" s="63"/>
      <c r="F755" s="63"/>
      <c r="G755" s="63"/>
      <c r="H755" s="63"/>
      <c r="I755" s="63"/>
      <c r="J755" s="63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spans="1:27">
      <c r="A756" s="63"/>
      <c r="B756" s="63"/>
      <c r="C756" s="63"/>
      <c r="D756" s="65"/>
      <c r="E756" s="63"/>
      <c r="F756" s="63"/>
      <c r="G756" s="63"/>
      <c r="H756" s="63"/>
      <c r="I756" s="63"/>
      <c r="J756" s="63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spans="1:27">
      <c r="A757" s="63"/>
      <c r="B757" s="63"/>
      <c r="C757" s="63"/>
      <c r="D757" s="65"/>
      <c r="E757" s="63"/>
      <c r="F757" s="63"/>
      <c r="G757" s="63"/>
      <c r="H757" s="63"/>
      <c r="I757" s="63"/>
      <c r="J757" s="63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spans="1:27">
      <c r="A758" s="63"/>
      <c r="B758" s="63"/>
      <c r="C758" s="63"/>
      <c r="D758" s="65"/>
      <c r="E758" s="63"/>
      <c r="F758" s="63"/>
      <c r="G758" s="63"/>
      <c r="H758" s="63"/>
      <c r="I758" s="63"/>
      <c r="J758" s="63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spans="1:27">
      <c r="A759" s="63"/>
      <c r="B759" s="63"/>
      <c r="C759" s="63"/>
      <c r="D759" s="65"/>
      <c r="E759" s="63"/>
      <c r="F759" s="63"/>
      <c r="G759" s="63"/>
      <c r="H759" s="63"/>
      <c r="I759" s="63"/>
      <c r="J759" s="63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spans="1:27">
      <c r="A760" s="63"/>
      <c r="B760" s="63"/>
      <c r="C760" s="63"/>
      <c r="D760" s="65"/>
      <c r="E760" s="63"/>
      <c r="F760" s="63"/>
      <c r="G760" s="63"/>
      <c r="H760" s="63"/>
      <c r="I760" s="63"/>
      <c r="J760" s="63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spans="1:27">
      <c r="A761" s="63"/>
      <c r="B761" s="63"/>
      <c r="C761" s="63"/>
      <c r="D761" s="65"/>
      <c r="E761" s="63"/>
      <c r="F761" s="63"/>
      <c r="G761" s="63"/>
      <c r="H761" s="63"/>
      <c r="I761" s="63"/>
      <c r="J761" s="63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spans="1:27">
      <c r="A762" s="63"/>
      <c r="B762" s="63"/>
      <c r="C762" s="63"/>
      <c r="D762" s="65"/>
      <c r="E762" s="63"/>
      <c r="F762" s="63"/>
      <c r="G762" s="63"/>
      <c r="H762" s="63"/>
      <c r="I762" s="63"/>
      <c r="J762" s="63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spans="1:27">
      <c r="A763" s="63"/>
      <c r="B763" s="63"/>
      <c r="C763" s="63"/>
      <c r="D763" s="65"/>
      <c r="E763" s="63"/>
      <c r="F763" s="63"/>
      <c r="G763" s="63"/>
      <c r="H763" s="63"/>
      <c r="I763" s="63"/>
      <c r="J763" s="63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spans="1:27">
      <c r="A764" s="63"/>
      <c r="B764" s="63"/>
      <c r="C764" s="63"/>
      <c r="D764" s="65"/>
      <c r="E764" s="63"/>
      <c r="F764" s="63"/>
      <c r="G764" s="63"/>
      <c r="H764" s="63"/>
      <c r="I764" s="63"/>
      <c r="J764" s="63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spans="1:27">
      <c r="A765" s="63"/>
      <c r="B765" s="63"/>
      <c r="C765" s="63"/>
      <c r="D765" s="65"/>
      <c r="E765" s="63"/>
      <c r="F765" s="63"/>
      <c r="G765" s="63"/>
      <c r="H765" s="63"/>
      <c r="I765" s="63"/>
      <c r="J765" s="63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spans="1:27">
      <c r="A766" s="63"/>
      <c r="B766" s="63"/>
      <c r="C766" s="63"/>
      <c r="D766" s="65"/>
      <c r="E766" s="63"/>
      <c r="F766" s="63"/>
      <c r="G766" s="63"/>
      <c r="H766" s="63"/>
      <c r="I766" s="63"/>
      <c r="J766" s="63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spans="1:27">
      <c r="A767" s="63"/>
      <c r="B767" s="63"/>
      <c r="C767" s="63"/>
      <c r="D767" s="65"/>
      <c r="E767" s="63"/>
      <c r="F767" s="63"/>
      <c r="G767" s="63"/>
      <c r="H767" s="63"/>
      <c r="I767" s="63"/>
      <c r="J767" s="63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spans="1:27">
      <c r="A768" s="63"/>
      <c r="B768" s="63"/>
      <c r="C768" s="63"/>
      <c r="D768" s="65"/>
      <c r="E768" s="63"/>
      <c r="F768" s="63"/>
      <c r="G768" s="63"/>
      <c r="H768" s="63"/>
      <c r="I768" s="63"/>
      <c r="J768" s="63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spans="1:27">
      <c r="A769" s="63"/>
      <c r="B769" s="63"/>
      <c r="C769" s="63"/>
      <c r="D769" s="65"/>
      <c r="E769" s="63"/>
      <c r="F769" s="63"/>
      <c r="G769" s="63"/>
      <c r="H769" s="63"/>
      <c r="I769" s="63"/>
      <c r="J769" s="63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spans="1:27">
      <c r="A770" s="63"/>
      <c r="B770" s="63"/>
      <c r="C770" s="63"/>
      <c r="D770" s="65"/>
      <c r="E770" s="63"/>
      <c r="F770" s="63"/>
      <c r="G770" s="63"/>
      <c r="H770" s="63"/>
      <c r="I770" s="63"/>
      <c r="J770" s="63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spans="1:27">
      <c r="A771" s="63"/>
      <c r="B771" s="63"/>
      <c r="C771" s="63"/>
      <c r="D771" s="65"/>
      <c r="E771" s="63"/>
      <c r="F771" s="63"/>
      <c r="G771" s="63"/>
      <c r="H771" s="63"/>
      <c r="I771" s="63"/>
      <c r="J771" s="63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spans="1:27">
      <c r="A772" s="63"/>
      <c r="B772" s="63"/>
      <c r="C772" s="63"/>
      <c r="D772" s="65"/>
      <c r="E772" s="63"/>
      <c r="F772" s="63"/>
      <c r="G772" s="63"/>
      <c r="H772" s="63"/>
      <c r="I772" s="63"/>
      <c r="J772" s="63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spans="1:27">
      <c r="A773" s="63"/>
      <c r="B773" s="63"/>
      <c r="C773" s="63"/>
      <c r="D773" s="65"/>
      <c r="E773" s="63"/>
      <c r="F773" s="63"/>
      <c r="G773" s="63"/>
      <c r="H773" s="63"/>
      <c r="I773" s="63"/>
      <c r="J773" s="63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spans="1:27">
      <c r="A774" s="63"/>
      <c r="B774" s="63"/>
      <c r="C774" s="63"/>
      <c r="D774" s="65"/>
      <c r="E774" s="63"/>
      <c r="F774" s="63"/>
      <c r="G774" s="63"/>
      <c r="H774" s="63"/>
      <c r="I774" s="63"/>
      <c r="J774" s="63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spans="1:27">
      <c r="A775" s="63"/>
      <c r="B775" s="63"/>
      <c r="C775" s="63"/>
      <c r="D775" s="65"/>
      <c r="E775" s="63"/>
      <c r="F775" s="63"/>
      <c r="G775" s="63"/>
      <c r="H775" s="63"/>
      <c r="I775" s="63"/>
      <c r="J775" s="63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spans="1:27">
      <c r="A776" s="63"/>
      <c r="B776" s="63"/>
      <c r="C776" s="63"/>
      <c r="D776" s="65"/>
      <c r="E776" s="63"/>
      <c r="F776" s="63"/>
      <c r="G776" s="63"/>
      <c r="H776" s="63"/>
      <c r="I776" s="63"/>
      <c r="J776" s="63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spans="1:27">
      <c r="A777" s="63"/>
      <c r="B777" s="63"/>
      <c r="C777" s="63"/>
      <c r="D777" s="65"/>
      <c r="E777" s="63"/>
      <c r="F777" s="63"/>
      <c r="G777" s="63"/>
      <c r="H777" s="63"/>
      <c r="I777" s="63"/>
      <c r="J777" s="63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spans="1:27">
      <c r="A778" s="63"/>
      <c r="B778" s="63"/>
      <c r="C778" s="63"/>
      <c r="D778" s="65"/>
      <c r="E778" s="63"/>
      <c r="F778" s="63"/>
      <c r="G778" s="63"/>
      <c r="H778" s="63"/>
      <c r="I778" s="63"/>
      <c r="J778" s="63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spans="1:27">
      <c r="A779" s="63"/>
      <c r="B779" s="63"/>
      <c r="C779" s="63"/>
      <c r="D779" s="65"/>
      <c r="E779" s="63"/>
      <c r="F779" s="63"/>
      <c r="G779" s="63"/>
      <c r="H779" s="63"/>
      <c r="I779" s="63"/>
      <c r="J779" s="63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spans="1:27">
      <c r="A780" s="63"/>
      <c r="B780" s="63"/>
      <c r="C780" s="63"/>
      <c r="D780" s="65"/>
      <c r="E780" s="63"/>
      <c r="F780" s="63"/>
      <c r="G780" s="63"/>
      <c r="H780" s="63"/>
      <c r="I780" s="63"/>
      <c r="J780" s="63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spans="1:27">
      <c r="A781" s="63"/>
      <c r="B781" s="63"/>
      <c r="C781" s="63"/>
      <c r="D781" s="65"/>
      <c r="E781" s="63"/>
      <c r="F781" s="63"/>
      <c r="G781" s="63"/>
      <c r="H781" s="63"/>
      <c r="I781" s="63"/>
      <c r="J781" s="63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spans="1:27">
      <c r="A782" s="63"/>
      <c r="B782" s="63"/>
      <c r="C782" s="63"/>
      <c r="D782" s="65"/>
      <c r="E782" s="63"/>
      <c r="F782" s="63"/>
      <c r="G782" s="63"/>
      <c r="H782" s="63"/>
      <c r="I782" s="63"/>
      <c r="J782" s="63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spans="1:27">
      <c r="A783" s="63"/>
      <c r="B783" s="63"/>
      <c r="C783" s="63"/>
      <c r="D783" s="65"/>
      <c r="E783" s="63"/>
      <c r="F783" s="63"/>
      <c r="G783" s="63"/>
      <c r="H783" s="63"/>
      <c r="I783" s="63"/>
      <c r="J783" s="63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spans="1:27">
      <c r="A784" s="63"/>
      <c r="B784" s="63"/>
      <c r="C784" s="63"/>
      <c r="D784" s="65"/>
      <c r="E784" s="63"/>
      <c r="F784" s="63"/>
      <c r="G784" s="63"/>
      <c r="H784" s="63"/>
      <c r="I784" s="63"/>
      <c r="J784" s="63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spans="1:27">
      <c r="A785" s="63"/>
      <c r="B785" s="63"/>
      <c r="C785" s="63"/>
      <c r="D785" s="65"/>
      <c r="E785" s="63"/>
      <c r="F785" s="63"/>
      <c r="G785" s="63"/>
      <c r="H785" s="63"/>
      <c r="I785" s="63"/>
      <c r="J785" s="63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spans="1:27">
      <c r="A786" s="63"/>
      <c r="B786" s="63"/>
      <c r="C786" s="63"/>
      <c r="D786" s="65"/>
      <c r="E786" s="63"/>
      <c r="F786" s="63"/>
      <c r="G786" s="63"/>
      <c r="H786" s="63"/>
      <c r="I786" s="63"/>
      <c r="J786" s="63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spans="1:27">
      <c r="A787" s="63"/>
      <c r="B787" s="63"/>
      <c r="C787" s="63"/>
      <c r="D787" s="65"/>
      <c r="E787" s="63"/>
      <c r="F787" s="63"/>
      <c r="G787" s="63"/>
      <c r="H787" s="63"/>
      <c r="I787" s="63"/>
      <c r="J787" s="63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spans="1:27">
      <c r="A788" s="63"/>
      <c r="B788" s="63"/>
      <c r="C788" s="63"/>
      <c r="D788" s="65"/>
      <c r="E788" s="63"/>
      <c r="F788" s="63"/>
      <c r="G788" s="63"/>
      <c r="H788" s="63"/>
      <c r="I788" s="63"/>
      <c r="J788" s="63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spans="1:27">
      <c r="A789" s="63"/>
      <c r="B789" s="63"/>
      <c r="C789" s="63"/>
      <c r="D789" s="65"/>
      <c r="E789" s="63"/>
      <c r="F789" s="63"/>
      <c r="G789" s="63"/>
      <c r="H789" s="63"/>
      <c r="I789" s="63"/>
      <c r="J789" s="63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spans="1:27">
      <c r="A790" s="63"/>
      <c r="B790" s="63"/>
      <c r="C790" s="63"/>
      <c r="D790" s="65"/>
      <c r="E790" s="63"/>
      <c r="F790" s="63"/>
      <c r="G790" s="63"/>
      <c r="H790" s="63"/>
      <c r="I790" s="63"/>
      <c r="J790" s="63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spans="1:27">
      <c r="A791" s="63"/>
      <c r="B791" s="63"/>
      <c r="C791" s="63"/>
      <c r="D791" s="65"/>
      <c r="E791" s="63"/>
      <c r="F791" s="63"/>
      <c r="G791" s="63"/>
      <c r="H791" s="63"/>
      <c r="I791" s="63"/>
      <c r="J791" s="63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spans="1:27">
      <c r="A792" s="63"/>
      <c r="B792" s="63"/>
      <c r="C792" s="63"/>
      <c r="D792" s="65"/>
      <c r="E792" s="63"/>
      <c r="F792" s="63"/>
      <c r="G792" s="63"/>
      <c r="H792" s="63"/>
      <c r="I792" s="63"/>
      <c r="J792" s="63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spans="1:27">
      <c r="A793" s="63"/>
      <c r="B793" s="63"/>
      <c r="C793" s="63"/>
      <c r="D793" s="65"/>
      <c r="E793" s="63"/>
      <c r="F793" s="63"/>
      <c r="G793" s="63"/>
      <c r="H793" s="63"/>
      <c r="I793" s="63"/>
      <c r="J793" s="63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spans="1:27">
      <c r="A794" s="63"/>
      <c r="B794" s="63"/>
      <c r="C794" s="63"/>
      <c r="D794" s="65"/>
      <c r="E794" s="63"/>
      <c r="F794" s="63"/>
      <c r="G794" s="63"/>
      <c r="H794" s="63"/>
      <c r="I794" s="63"/>
      <c r="J794" s="63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spans="1:27">
      <c r="A795" s="63"/>
      <c r="B795" s="63"/>
      <c r="C795" s="63"/>
      <c r="D795" s="65"/>
      <c r="E795" s="63"/>
      <c r="F795" s="63"/>
      <c r="G795" s="63"/>
      <c r="H795" s="63"/>
      <c r="I795" s="63"/>
      <c r="J795" s="63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spans="1:27">
      <c r="A796" s="63"/>
      <c r="B796" s="63"/>
      <c r="C796" s="63"/>
      <c r="D796" s="65"/>
      <c r="E796" s="63"/>
      <c r="F796" s="63"/>
      <c r="G796" s="63"/>
      <c r="H796" s="63"/>
      <c r="I796" s="63"/>
      <c r="J796" s="63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spans="1:27">
      <c r="A797" s="63"/>
      <c r="B797" s="63"/>
      <c r="C797" s="63"/>
      <c r="D797" s="65"/>
      <c r="E797" s="63"/>
      <c r="F797" s="63"/>
      <c r="G797" s="63"/>
      <c r="H797" s="63"/>
      <c r="I797" s="63"/>
      <c r="J797" s="63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spans="1:27">
      <c r="A798" s="63"/>
      <c r="B798" s="63"/>
      <c r="C798" s="63"/>
      <c r="D798" s="65"/>
      <c r="E798" s="63"/>
      <c r="F798" s="63"/>
      <c r="G798" s="63"/>
      <c r="H798" s="63"/>
      <c r="I798" s="63"/>
      <c r="J798" s="63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spans="1:27">
      <c r="A799" s="63"/>
      <c r="B799" s="63"/>
      <c r="C799" s="63"/>
      <c r="D799" s="65"/>
      <c r="E799" s="63"/>
      <c r="F799" s="63"/>
      <c r="G799" s="63"/>
      <c r="H799" s="63"/>
      <c r="I799" s="63"/>
      <c r="J799" s="63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spans="1:27">
      <c r="A800" s="63"/>
      <c r="B800" s="63"/>
      <c r="C800" s="63"/>
      <c r="D800" s="65"/>
      <c r="E800" s="63"/>
      <c r="F800" s="63"/>
      <c r="G800" s="63"/>
      <c r="H800" s="63"/>
      <c r="I800" s="63"/>
      <c r="J800" s="63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spans="1:27">
      <c r="A801" s="63"/>
      <c r="B801" s="63"/>
      <c r="C801" s="63"/>
      <c r="D801" s="65"/>
      <c r="E801" s="63"/>
      <c r="F801" s="63"/>
      <c r="G801" s="63"/>
      <c r="H801" s="63"/>
      <c r="I801" s="63"/>
      <c r="J801" s="63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spans="1:27">
      <c r="A802" s="63"/>
      <c r="B802" s="63"/>
      <c r="C802" s="63"/>
      <c r="D802" s="65"/>
      <c r="E802" s="63"/>
      <c r="F802" s="63"/>
      <c r="G802" s="63"/>
      <c r="H802" s="63"/>
      <c r="I802" s="63"/>
      <c r="J802" s="63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spans="1:27">
      <c r="A803" s="63"/>
      <c r="B803" s="63"/>
      <c r="C803" s="63"/>
      <c r="D803" s="65"/>
      <c r="E803" s="63"/>
      <c r="F803" s="63"/>
      <c r="G803" s="63"/>
      <c r="H803" s="63"/>
      <c r="I803" s="63"/>
      <c r="J803" s="63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spans="1:27">
      <c r="A804" s="63"/>
      <c r="B804" s="63"/>
      <c r="C804" s="63"/>
      <c r="D804" s="65"/>
      <c r="E804" s="63"/>
      <c r="F804" s="63"/>
      <c r="G804" s="63"/>
      <c r="H804" s="63"/>
      <c r="I804" s="63"/>
      <c r="J804" s="63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spans="1:27">
      <c r="A805" s="63"/>
      <c r="B805" s="63"/>
      <c r="C805" s="63"/>
      <c r="D805" s="65"/>
      <c r="E805" s="63"/>
      <c r="F805" s="63"/>
      <c r="G805" s="63"/>
      <c r="H805" s="63"/>
      <c r="I805" s="63"/>
      <c r="J805" s="63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spans="1:27">
      <c r="A806" s="63"/>
      <c r="B806" s="63"/>
      <c r="C806" s="63"/>
      <c r="D806" s="65"/>
      <c r="E806" s="63"/>
      <c r="F806" s="63"/>
      <c r="G806" s="63"/>
      <c r="H806" s="63"/>
      <c r="I806" s="63"/>
      <c r="J806" s="63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spans="1:27">
      <c r="A807" s="63"/>
      <c r="B807" s="63"/>
      <c r="C807" s="63"/>
      <c r="D807" s="65"/>
      <c r="E807" s="63"/>
      <c r="F807" s="63"/>
      <c r="G807" s="63"/>
      <c r="H807" s="63"/>
      <c r="I807" s="63"/>
      <c r="J807" s="63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spans="1:27">
      <c r="A808" s="63"/>
      <c r="B808" s="63"/>
      <c r="C808" s="63"/>
      <c r="D808" s="65"/>
      <c r="E808" s="63"/>
      <c r="F808" s="63"/>
      <c r="G808" s="63"/>
      <c r="H808" s="63"/>
      <c r="I808" s="63"/>
      <c r="J808" s="63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spans="1:27">
      <c r="A809" s="63"/>
      <c r="B809" s="63"/>
      <c r="C809" s="63"/>
      <c r="D809" s="65"/>
      <c r="E809" s="63"/>
      <c r="F809" s="63"/>
      <c r="G809" s="63"/>
      <c r="H809" s="63"/>
      <c r="I809" s="63"/>
      <c r="J809" s="63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spans="1:27">
      <c r="A810" s="63"/>
      <c r="B810" s="63"/>
      <c r="C810" s="63"/>
      <c r="D810" s="65"/>
      <c r="E810" s="63"/>
      <c r="F810" s="63"/>
      <c r="G810" s="63"/>
      <c r="H810" s="63"/>
      <c r="I810" s="63"/>
      <c r="J810" s="63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spans="1:27">
      <c r="A811" s="63"/>
      <c r="B811" s="63"/>
      <c r="C811" s="63"/>
      <c r="D811" s="65"/>
      <c r="E811" s="63"/>
      <c r="F811" s="63"/>
      <c r="G811" s="63"/>
      <c r="H811" s="63"/>
      <c r="I811" s="63"/>
      <c r="J811" s="63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spans="1:27">
      <c r="A812" s="63"/>
      <c r="B812" s="63"/>
      <c r="C812" s="63"/>
      <c r="D812" s="65"/>
      <c r="E812" s="63"/>
      <c r="F812" s="63"/>
      <c r="G812" s="63"/>
      <c r="H812" s="63"/>
      <c r="I812" s="63"/>
      <c r="J812" s="63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spans="1:27">
      <c r="A813" s="63"/>
      <c r="B813" s="63"/>
      <c r="C813" s="63"/>
      <c r="D813" s="65"/>
      <c r="E813" s="63"/>
      <c r="F813" s="63"/>
      <c r="G813" s="63"/>
      <c r="H813" s="63"/>
      <c r="I813" s="63"/>
      <c r="J813" s="63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spans="1:27">
      <c r="A814" s="63"/>
      <c r="B814" s="63"/>
      <c r="C814" s="63"/>
      <c r="D814" s="65"/>
      <c r="E814" s="63"/>
      <c r="F814" s="63"/>
      <c r="G814" s="63"/>
      <c r="H814" s="63"/>
      <c r="I814" s="63"/>
      <c r="J814" s="63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spans="1:27">
      <c r="A815" s="63"/>
      <c r="B815" s="63"/>
      <c r="C815" s="63"/>
      <c r="D815" s="65"/>
      <c r="E815" s="63"/>
      <c r="F815" s="63"/>
      <c r="G815" s="63"/>
      <c r="H815" s="63"/>
      <c r="I815" s="63"/>
      <c r="J815" s="63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spans="1:27">
      <c r="A816" s="63"/>
      <c r="B816" s="63"/>
      <c r="C816" s="63"/>
      <c r="D816" s="65"/>
      <c r="E816" s="63"/>
      <c r="F816" s="63"/>
      <c r="G816" s="63"/>
      <c r="H816" s="63"/>
      <c r="I816" s="63"/>
      <c r="J816" s="63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spans="1:27">
      <c r="A817" s="63"/>
      <c r="B817" s="63"/>
      <c r="C817" s="63"/>
      <c r="D817" s="65"/>
      <c r="E817" s="63"/>
      <c r="F817" s="63"/>
      <c r="G817" s="63"/>
      <c r="H817" s="63"/>
      <c r="I817" s="63"/>
      <c r="J817" s="63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spans="1:27">
      <c r="A818" s="63"/>
      <c r="B818" s="63"/>
      <c r="C818" s="63"/>
      <c r="D818" s="65"/>
      <c r="E818" s="63"/>
      <c r="F818" s="63"/>
      <c r="G818" s="63"/>
      <c r="H818" s="63"/>
      <c r="I818" s="63"/>
      <c r="J818" s="63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spans="1:27">
      <c r="A819" s="63"/>
      <c r="B819" s="63"/>
      <c r="C819" s="63"/>
      <c r="D819" s="65"/>
      <c r="E819" s="63"/>
      <c r="F819" s="63"/>
      <c r="G819" s="63"/>
      <c r="H819" s="63"/>
      <c r="I819" s="63"/>
      <c r="J819" s="63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spans="1:27">
      <c r="A820" s="63"/>
      <c r="B820" s="63"/>
      <c r="C820" s="63"/>
      <c r="D820" s="65"/>
      <c r="E820" s="63"/>
      <c r="F820" s="63"/>
      <c r="G820" s="63"/>
      <c r="H820" s="63"/>
      <c r="I820" s="63"/>
      <c r="J820" s="63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spans="1:27">
      <c r="A821" s="63"/>
      <c r="B821" s="63"/>
      <c r="C821" s="63"/>
      <c r="D821" s="65"/>
      <c r="E821" s="63"/>
      <c r="F821" s="63"/>
      <c r="G821" s="63"/>
      <c r="H821" s="63"/>
      <c r="I821" s="63"/>
      <c r="J821" s="63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spans="1:27">
      <c r="A822" s="63"/>
      <c r="B822" s="63"/>
      <c r="C822" s="63"/>
      <c r="D822" s="65"/>
      <c r="E822" s="63"/>
      <c r="F822" s="63"/>
      <c r="G822" s="63"/>
      <c r="H822" s="63"/>
      <c r="I822" s="63"/>
      <c r="J822" s="63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spans="1:27">
      <c r="A823" s="63"/>
      <c r="B823" s="63"/>
      <c r="C823" s="63"/>
      <c r="D823" s="65"/>
      <c r="E823" s="63"/>
      <c r="F823" s="63"/>
      <c r="G823" s="63"/>
      <c r="H823" s="63"/>
      <c r="I823" s="63"/>
      <c r="J823" s="63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spans="1:27">
      <c r="A824" s="63"/>
      <c r="B824" s="63"/>
      <c r="C824" s="63"/>
      <c r="D824" s="65"/>
      <c r="E824" s="63"/>
      <c r="F824" s="63"/>
      <c r="G824" s="63"/>
      <c r="H824" s="63"/>
      <c r="I824" s="63"/>
      <c r="J824" s="63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spans="1:27">
      <c r="A825" s="63"/>
      <c r="B825" s="63"/>
      <c r="C825" s="63"/>
      <c r="D825" s="65"/>
      <c r="E825" s="63"/>
      <c r="F825" s="63"/>
      <c r="G825" s="63"/>
      <c r="H825" s="63"/>
      <c r="I825" s="63"/>
      <c r="J825" s="63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spans="1:27">
      <c r="A826" s="63"/>
      <c r="B826" s="63"/>
      <c r="C826" s="63"/>
      <c r="D826" s="65"/>
      <c r="E826" s="63"/>
      <c r="F826" s="63"/>
      <c r="G826" s="63"/>
      <c r="H826" s="63"/>
      <c r="I826" s="63"/>
      <c r="J826" s="63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spans="1:27">
      <c r="A827" s="63"/>
      <c r="B827" s="63"/>
      <c r="C827" s="63"/>
      <c r="D827" s="65"/>
      <c r="E827" s="63"/>
      <c r="F827" s="63"/>
      <c r="G827" s="63"/>
      <c r="H827" s="63"/>
      <c r="I827" s="63"/>
      <c r="J827" s="63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spans="1:27">
      <c r="A828" s="63"/>
      <c r="B828" s="63"/>
      <c r="C828" s="63"/>
      <c r="D828" s="65"/>
      <c r="E828" s="63"/>
      <c r="F828" s="63"/>
      <c r="G828" s="63"/>
      <c r="H828" s="63"/>
      <c r="I828" s="63"/>
      <c r="J828" s="63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spans="1:27">
      <c r="A829" s="63"/>
      <c r="B829" s="63"/>
      <c r="C829" s="63"/>
      <c r="D829" s="65"/>
      <c r="E829" s="63"/>
      <c r="F829" s="63"/>
      <c r="G829" s="63"/>
      <c r="H829" s="63"/>
      <c r="I829" s="63"/>
      <c r="J829" s="63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spans="1:27">
      <c r="A830" s="63"/>
      <c r="B830" s="63"/>
      <c r="C830" s="63"/>
      <c r="D830" s="65"/>
      <c r="E830" s="63"/>
      <c r="F830" s="63"/>
      <c r="G830" s="63"/>
      <c r="H830" s="63"/>
      <c r="I830" s="63"/>
      <c r="J830" s="63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spans="1:27">
      <c r="A831" s="63"/>
      <c r="B831" s="63"/>
      <c r="C831" s="63"/>
      <c r="D831" s="65"/>
      <c r="E831" s="63"/>
      <c r="F831" s="63"/>
      <c r="G831" s="63"/>
      <c r="H831" s="63"/>
      <c r="I831" s="63"/>
      <c r="J831" s="63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spans="1:27">
      <c r="A832" s="63"/>
      <c r="B832" s="63"/>
      <c r="C832" s="63"/>
      <c r="D832" s="65"/>
      <c r="E832" s="63"/>
      <c r="F832" s="63"/>
      <c r="G832" s="63"/>
      <c r="H832" s="63"/>
      <c r="I832" s="63"/>
      <c r="J832" s="63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spans="1:27">
      <c r="A833" s="63"/>
      <c r="B833" s="63"/>
      <c r="C833" s="63"/>
      <c r="D833" s="65"/>
      <c r="E833" s="63"/>
      <c r="F833" s="63"/>
      <c r="G833" s="63"/>
      <c r="H833" s="63"/>
      <c r="I833" s="63"/>
      <c r="J833" s="63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spans="1:27">
      <c r="A834" s="63"/>
      <c r="B834" s="63"/>
      <c r="C834" s="63"/>
      <c r="D834" s="65"/>
      <c r="E834" s="63"/>
      <c r="F834" s="63"/>
      <c r="G834" s="63"/>
      <c r="H834" s="63"/>
      <c r="I834" s="63"/>
      <c r="J834" s="63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spans="1:27">
      <c r="A835" s="63"/>
      <c r="B835" s="63"/>
      <c r="C835" s="63"/>
      <c r="D835" s="65"/>
      <c r="E835" s="63"/>
      <c r="F835" s="63"/>
      <c r="G835" s="63"/>
      <c r="H835" s="63"/>
      <c r="I835" s="63"/>
      <c r="J835" s="63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spans="1:27">
      <c r="A836" s="63"/>
      <c r="B836" s="63"/>
      <c r="C836" s="63"/>
      <c r="D836" s="65"/>
      <c r="E836" s="63"/>
      <c r="F836" s="63"/>
      <c r="G836" s="63"/>
      <c r="H836" s="63"/>
      <c r="I836" s="63"/>
      <c r="J836" s="63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spans="1:27">
      <c r="A837" s="63"/>
      <c r="B837" s="63"/>
      <c r="C837" s="63"/>
      <c r="D837" s="65"/>
      <c r="E837" s="63"/>
      <c r="F837" s="63"/>
      <c r="G837" s="63"/>
      <c r="H837" s="63"/>
      <c r="I837" s="63"/>
      <c r="J837" s="63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spans="1:27">
      <c r="A838" s="63"/>
      <c r="B838" s="63"/>
      <c r="C838" s="63"/>
      <c r="D838" s="65"/>
      <c r="E838" s="63"/>
      <c r="F838" s="63"/>
      <c r="G838" s="63"/>
      <c r="H838" s="63"/>
      <c r="I838" s="63"/>
      <c r="J838" s="63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spans="1:27">
      <c r="A839" s="63"/>
      <c r="B839" s="63"/>
      <c r="C839" s="63"/>
      <c r="D839" s="65"/>
      <c r="E839" s="63"/>
      <c r="F839" s="63"/>
      <c r="G839" s="63"/>
      <c r="H839" s="63"/>
      <c r="I839" s="63"/>
      <c r="J839" s="63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spans="1:27">
      <c r="A840" s="63"/>
      <c r="B840" s="63"/>
      <c r="C840" s="63"/>
      <c r="D840" s="65"/>
      <c r="E840" s="63"/>
      <c r="F840" s="63"/>
      <c r="G840" s="63"/>
      <c r="H840" s="63"/>
      <c r="I840" s="63"/>
      <c r="J840" s="63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spans="1:27">
      <c r="A841" s="63"/>
      <c r="B841" s="63"/>
      <c r="C841" s="63"/>
      <c r="D841" s="65"/>
      <c r="E841" s="63"/>
      <c r="F841" s="63"/>
      <c r="G841" s="63"/>
      <c r="H841" s="63"/>
      <c r="I841" s="63"/>
      <c r="J841" s="63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spans="1:27">
      <c r="A842" s="63"/>
      <c r="B842" s="63"/>
      <c r="C842" s="63"/>
      <c r="D842" s="65"/>
      <c r="E842" s="63"/>
      <c r="F842" s="63"/>
      <c r="G842" s="63"/>
      <c r="H842" s="63"/>
      <c r="I842" s="63"/>
      <c r="J842" s="63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spans="1:27">
      <c r="A843" s="63"/>
      <c r="B843" s="63"/>
      <c r="C843" s="63"/>
      <c r="D843" s="65"/>
      <c r="E843" s="63"/>
      <c r="F843" s="63"/>
      <c r="G843" s="63"/>
      <c r="H843" s="63"/>
      <c r="I843" s="63"/>
      <c r="J843" s="63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spans="1:27">
      <c r="A844" s="63"/>
      <c r="B844" s="63"/>
      <c r="C844" s="63"/>
      <c r="D844" s="65"/>
      <c r="E844" s="63"/>
      <c r="F844" s="63"/>
      <c r="G844" s="63"/>
      <c r="H844" s="63"/>
      <c r="I844" s="63"/>
      <c r="J844" s="63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spans="1:27">
      <c r="A845" s="63"/>
      <c r="B845" s="63"/>
      <c r="C845" s="63"/>
      <c r="D845" s="65"/>
      <c r="E845" s="63"/>
      <c r="F845" s="63"/>
      <c r="G845" s="63"/>
      <c r="H845" s="63"/>
      <c r="I845" s="63"/>
      <c r="J845" s="63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spans="1:27">
      <c r="A846" s="63"/>
      <c r="B846" s="63"/>
      <c r="C846" s="63"/>
      <c r="D846" s="65"/>
      <c r="E846" s="63"/>
      <c r="F846" s="63"/>
      <c r="G846" s="63"/>
      <c r="H846" s="63"/>
      <c r="I846" s="63"/>
      <c r="J846" s="63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spans="1:27">
      <c r="A847" s="63"/>
      <c r="B847" s="63"/>
      <c r="C847" s="63"/>
      <c r="D847" s="65"/>
      <c r="E847" s="63"/>
      <c r="F847" s="63"/>
      <c r="G847" s="63"/>
      <c r="H847" s="63"/>
      <c r="I847" s="63"/>
      <c r="J847" s="63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spans="1:27">
      <c r="A848" s="63"/>
      <c r="B848" s="63"/>
      <c r="C848" s="63"/>
      <c r="D848" s="65"/>
      <c r="E848" s="63"/>
      <c r="F848" s="63"/>
      <c r="G848" s="63"/>
      <c r="H848" s="63"/>
      <c r="I848" s="63"/>
      <c r="J848" s="63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spans="1:27">
      <c r="A849" s="63"/>
      <c r="B849" s="63"/>
      <c r="C849" s="63"/>
      <c r="D849" s="65"/>
      <c r="E849" s="63"/>
      <c r="F849" s="63"/>
      <c r="G849" s="63"/>
      <c r="H849" s="63"/>
      <c r="I849" s="63"/>
      <c r="J849" s="63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spans="1:27">
      <c r="A850" s="63"/>
      <c r="B850" s="63"/>
      <c r="C850" s="63"/>
      <c r="D850" s="65"/>
      <c r="E850" s="63"/>
      <c r="F850" s="63"/>
      <c r="G850" s="63"/>
      <c r="H850" s="63"/>
      <c r="I850" s="63"/>
      <c r="J850" s="63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spans="1:27">
      <c r="A851" s="63"/>
      <c r="B851" s="63"/>
      <c r="C851" s="63"/>
      <c r="D851" s="65"/>
      <c r="E851" s="63"/>
      <c r="F851" s="63"/>
      <c r="G851" s="63"/>
      <c r="H851" s="63"/>
      <c r="I851" s="63"/>
      <c r="J851" s="63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spans="1:27">
      <c r="A852" s="63"/>
      <c r="B852" s="63"/>
      <c r="C852" s="63"/>
      <c r="D852" s="65"/>
      <c r="E852" s="63"/>
      <c r="F852" s="63"/>
      <c r="G852" s="63"/>
      <c r="H852" s="63"/>
      <c r="I852" s="63"/>
      <c r="J852" s="63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spans="1:27">
      <c r="A853" s="63"/>
      <c r="B853" s="63"/>
      <c r="C853" s="63"/>
      <c r="D853" s="65"/>
      <c r="E853" s="63"/>
      <c r="F853" s="63"/>
      <c r="G853" s="63"/>
      <c r="H853" s="63"/>
      <c r="I853" s="63"/>
      <c r="J853" s="63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spans="1:27">
      <c r="A854" s="63"/>
      <c r="B854" s="63"/>
      <c r="C854" s="63"/>
      <c r="D854" s="65"/>
      <c r="E854" s="63"/>
      <c r="F854" s="63"/>
      <c r="G854" s="63"/>
      <c r="H854" s="63"/>
      <c r="I854" s="63"/>
      <c r="J854" s="63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spans="1:27">
      <c r="A855" s="63"/>
      <c r="B855" s="63"/>
      <c r="C855" s="63"/>
      <c r="D855" s="65"/>
      <c r="E855" s="63"/>
      <c r="F855" s="63"/>
      <c r="G855" s="63"/>
      <c r="H855" s="63"/>
      <c r="I855" s="63"/>
      <c r="J855" s="63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spans="1:27">
      <c r="A856" s="63"/>
      <c r="B856" s="63"/>
      <c r="C856" s="63"/>
      <c r="D856" s="65"/>
      <c r="E856" s="63"/>
      <c r="F856" s="63"/>
      <c r="G856" s="63"/>
      <c r="H856" s="63"/>
      <c r="I856" s="63"/>
      <c r="J856" s="63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spans="1:27">
      <c r="A857" s="63"/>
      <c r="B857" s="63"/>
      <c r="C857" s="63"/>
      <c r="D857" s="65"/>
      <c r="E857" s="63"/>
      <c r="F857" s="63"/>
      <c r="G857" s="63"/>
      <c r="H857" s="63"/>
      <c r="I857" s="63"/>
      <c r="J857" s="63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spans="1:27">
      <c r="A858" s="63"/>
      <c r="B858" s="63"/>
      <c r="C858" s="63"/>
      <c r="D858" s="65"/>
      <c r="E858" s="63"/>
      <c r="F858" s="63"/>
      <c r="G858" s="63"/>
      <c r="H858" s="63"/>
      <c r="I858" s="63"/>
      <c r="J858" s="63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spans="1:27">
      <c r="A859" s="63"/>
      <c r="B859" s="63"/>
      <c r="C859" s="63"/>
      <c r="D859" s="65"/>
      <c r="E859" s="63"/>
      <c r="F859" s="63"/>
      <c r="G859" s="63"/>
      <c r="H859" s="63"/>
      <c r="I859" s="63"/>
      <c r="J859" s="63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spans="1:27">
      <c r="A860" s="63"/>
      <c r="B860" s="63"/>
      <c r="C860" s="63"/>
      <c r="D860" s="65"/>
      <c r="E860" s="63"/>
      <c r="F860" s="63"/>
      <c r="G860" s="63"/>
      <c r="H860" s="63"/>
      <c r="I860" s="63"/>
      <c r="J860" s="63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spans="1:27">
      <c r="A861" s="63"/>
      <c r="B861" s="63"/>
      <c r="C861" s="63"/>
      <c r="D861" s="65"/>
      <c r="E861" s="63"/>
      <c r="F861" s="63"/>
      <c r="G861" s="63"/>
      <c r="H861" s="63"/>
      <c r="I861" s="63"/>
      <c r="J861" s="63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spans="1:27">
      <c r="A862" s="63"/>
      <c r="B862" s="63"/>
      <c r="C862" s="63"/>
      <c r="D862" s="65"/>
      <c r="E862" s="63"/>
      <c r="F862" s="63"/>
      <c r="G862" s="63"/>
      <c r="H862" s="63"/>
      <c r="I862" s="63"/>
      <c r="J862" s="63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spans="1:27">
      <c r="A863" s="63"/>
      <c r="B863" s="63"/>
      <c r="C863" s="63"/>
      <c r="D863" s="65"/>
      <c r="E863" s="63"/>
      <c r="F863" s="63"/>
      <c r="G863" s="63"/>
      <c r="H863" s="63"/>
      <c r="I863" s="63"/>
      <c r="J863" s="63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spans="1:27">
      <c r="A864" s="63"/>
      <c r="B864" s="63"/>
      <c r="C864" s="63"/>
      <c r="D864" s="65"/>
      <c r="E864" s="63"/>
      <c r="F864" s="63"/>
      <c r="G864" s="63"/>
      <c r="H864" s="63"/>
      <c r="I864" s="63"/>
      <c r="J864" s="63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spans="1:27">
      <c r="A865" s="63"/>
      <c r="B865" s="63"/>
      <c r="C865" s="63"/>
      <c r="D865" s="65"/>
      <c r="E865" s="63"/>
      <c r="F865" s="63"/>
      <c r="G865" s="63"/>
      <c r="H865" s="63"/>
      <c r="I865" s="63"/>
      <c r="J865" s="63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spans="1:27">
      <c r="A866" s="63"/>
      <c r="B866" s="63"/>
      <c r="C866" s="63"/>
      <c r="D866" s="65"/>
      <c r="E866" s="63"/>
      <c r="F866" s="63"/>
      <c r="G866" s="63"/>
      <c r="H866" s="63"/>
      <c r="I866" s="63"/>
      <c r="J866" s="63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spans="1:27">
      <c r="A867" s="63"/>
      <c r="B867" s="63"/>
      <c r="C867" s="63"/>
      <c r="D867" s="65"/>
      <c r="E867" s="63"/>
      <c r="F867" s="63"/>
      <c r="G867" s="63"/>
      <c r="H867" s="63"/>
      <c r="I867" s="63"/>
      <c r="J867" s="63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spans="1:27">
      <c r="A868" s="63"/>
      <c r="B868" s="63"/>
      <c r="C868" s="63"/>
      <c r="D868" s="65"/>
      <c r="E868" s="63"/>
      <c r="F868" s="63"/>
      <c r="G868" s="63"/>
      <c r="H868" s="63"/>
      <c r="I868" s="63"/>
      <c r="J868" s="63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spans="1:27">
      <c r="A869" s="63"/>
      <c r="B869" s="63"/>
      <c r="C869" s="63"/>
      <c r="D869" s="65"/>
      <c r="E869" s="63"/>
      <c r="F869" s="63"/>
      <c r="G869" s="63"/>
      <c r="H869" s="63"/>
      <c r="I869" s="63"/>
      <c r="J869" s="63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spans="1:27">
      <c r="A870" s="63"/>
      <c r="B870" s="63"/>
      <c r="C870" s="63"/>
      <c r="D870" s="65"/>
      <c r="E870" s="63"/>
      <c r="F870" s="63"/>
      <c r="G870" s="63"/>
      <c r="H870" s="63"/>
      <c r="I870" s="63"/>
      <c r="J870" s="63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spans="1:27">
      <c r="A871" s="63"/>
      <c r="B871" s="63"/>
      <c r="C871" s="63"/>
      <c r="D871" s="65"/>
      <c r="E871" s="63"/>
      <c r="F871" s="63"/>
      <c r="G871" s="63"/>
      <c r="H871" s="63"/>
      <c r="I871" s="63"/>
      <c r="J871" s="63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spans="1:27">
      <c r="A872" s="63"/>
      <c r="B872" s="63"/>
      <c r="C872" s="63"/>
      <c r="D872" s="65"/>
      <c r="E872" s="63"/>
      <c r="F872" s="63"/>
      <c r="G872" s="63"/>
      <c r="H872" s="63"/>
      <c r="I872" s="63"/>
      <c r="J872" s="63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spans="1:27">
      <c r="A873" s="63"/>
      <c r="B873" s="63"/>
      <c r="C873" s="63"/>
      <c r="D873" s="65"/>
      <c r="E873" s="63"/>
      <c r="F873" s="63"/>
      <c r="G873" s="63"/>
      <c r="H873" s="63"/>
      <c r="I873" s="63"/>
      <c r="J873" s="63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spans="1:27">
      <c r="A874" s="63"/>
      <c r="B874" s="63"/>
      <c r="C874" s="63"/>
      <c r="D874" s="65"/>
      <c r="E874" s="63"/>
      <c r="F874" s="63"/>
      <c r="G874" s="63"/>
      <c r="H874" s="63"/>
      <c r="I874" s="63"/>
      <c r="J874" s="63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spans="1:27">
      <c r="A875" s="63"/>
      <c r="B875" s="63"/>
      <c r="C875" s="63"/>
      <c r="D875" s="65"/>
      <c r="E875" s="63"/>
      <c r="F875" s="63"/>
      <c r="G875" s="63"/>
      <c r="H875" s="63"/>
      <c r="I875" s="63"/>
      <c r="J875" s="63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spans="1:27">
      <c r="A876" s="63"/>
      <c r="B876" s="63"/>
      <c r="C876" s="63"/>
      <c r="D876" s="65"/>
      <c r="E876" s="63"/>
      <c r="F876" s="63"/>
      <c r="G876" s="63"/>
      <c r="H876" s="63"/>
      <c r="I876" s="63"/>
      <c r="J876" s="63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spans="1:27">
      <c r="A877" s="63"/>
      <c r="B877" s="63"/>
      <c r="C877" s="63"/>
      <c r="D877" s="65"/>
      <c r="E877" s="63"/>
      <c r="F877" s="63"/>
      <c r="G877" s="63"/>
      <c r="H877" s="63"/>
      <c r="I877" s="63"/>
      <c r="J877" s="63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spans="1:27">
      <c r="A878" s="63"/>
      <c r="B878" s="63"/>
      <c r="C878" s="63"/>
      <c r="D878" s="65"/>
      <c r="E878" s="63"/>
      <c r="F878" s="63"/>
      <c r="G878" s="63"/>
      <c r="H878" s="63"/>
      <c r="I878" s="63"/>
      <c r="J878" s="63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spans="1:27">
      <c r="A879" s="63"/>
      <c r="B879" s="63"/>
      <c r="C879" s="63"/>
      <c r="D879" s="65"/>
      <c r="E879" s="63"/>
      <c r="F879" s="63"/>
      <c r="G879" s="63"/>
      <c r="H879" s="63"/>
      <c r="I879" s="63"/>
      <c r="J879" s="63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spans="1:27">
      <c r="A880" s="63"/>
      <c r="B880" s="63"/>
      <c r="C880" s="63"/>
      <c r="D880" s="65"/>
      <c r="E880" s="63"/>
      <c r="F880" s="63"/>
      <c r="G880" s="63"/>
      <c r="H880" s="63"/>
      <c r="I880" s="63"/>
      <c r="J880" s="63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spans="1:27">
      <c r="A881" s="63"/>
      <c r="B881" s="63"/>
      <c r="C881" s="63"/>
      <c r="D881" s="65"/>
      <c r="E881" s="63"/>
      <c r="F881" s="63"/>
      <c r="G881" s="63"/>
      <c r="H881" s="63"/>
      <c r="I881" s="63"/>
      <c r="J881" s="63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spans="1:27">
      <c r="A882" s="63"/>
      <c r="B882" s="63"/>
      <c r="C882" s="63"/>
      <c r="D882" s="65"/>
      <c r="E882" s="63"/>
      <c r="F882" s="63"/>
      <c r="G882" s="63"/>
      <c r="H882" s="63"/>
      <c r="I882" s="63"/>
      <c r="J882" s="63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spans="1:27">
      <c r="A883" s="63"/>
      <c r="B883" s="63"/>
      <c r="C883" s="63"/>
      <c r="D883" s="65"/>
      <c r="E883" s="63"/>
      <c r="F883" s="63"/>
      <c r="G883" s="63"/>
      <c r="H883" s="63"/>
      <c r="I883" s="63"/>
      <c r="J883" s="63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spans="1:27">
      <c r="A884" s="63"/>
      <c r="B884" s="63"/>
      <c r="C884" s="63"/>
      <c r="D884" s="65"/>
      <c r="E884" s="63"/>
      <c r="F884" s="63"/>
      <c r="G884" s="63"/>
      <c r="H884" s="63"/>
      <c r="I884" s="63"/>
      <c r="J884" s="63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spans="1:27">
      <c r="A885" s="63"/>
      <c r="B885" s="63"/>
      <c r="C885" s="63"/>
      <c r="D885" s="65"/>
      <c r="E885" s="63"/>
      <c r="F885" s="63"/>
      <c r="G885" s="63"/>
      <c r="H885" s="63"/>
      <c r="I885" s="63"/>
      <c r="J885" s="63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spans="1:27">
      <c r="A886" s="63"/>
      <c r="B886" s="63"/>
      <c r="C886" s="63"/>
      <c r="D886" s="65"/>
      <c r="E886" s="63"/>
      <c r="F886" s="63"/>
      <c r="G886" s="63"/>
      <c r="H886" s="63"/>
      <c r="I886" s="63"/>
      <c r="J886" s="63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spans="1:27">
      <c r="A887" s="63"/>
      <c r="B887" s="63"/>
      <c r="C887" s="63"/>
      <c r="D887" s="65"/>
      <c r="E887" s="63"/>
      <c r="F887" s="63"/>
      <c r="G887" s="63"/>
      <c r="H887" s="63"/>
      <c r="I887" s="63"/>
      <c r="J887" s="63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spans="1:27">
      <c r="A888" s="63"/>
      <c r="B888" s="63"/>
      <c r="C888" s="63"/>
      <c r="D888" s="65"/>
      <c r="E888" s="63"/>
      <c r="F888" s="63"/>
      <c r="G888" s="63"/>
      <c r="H888" s="63"/>
      <c r="I888" s="63"/>
      <c r="J888" s="63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spans="1:27">
      <c r="A889" s="63"/>
      <c r="B889" s="63"/>
      <c r="C889" s="63"/>
      <c r="D889" s="65"/>
      <c r="E889" s="63"/>
      <c r="F889" s="63"/>
      <c r="G889" s="63"/>
      <c r="H889" s="63"/>
      <c r="I889" s="63"/>
      <c r="J889" s="63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spans="1:27">
      <c r="A890" s="63"/>
      <c r="B890" s="63"/>
      <c r="C890" s="63"/>
      <c r="D890" s="65"/>
      <c r="E890" s="63"/>
      <c r="F890" s="63"/>
      <c r="G890" s="63"/>
      <c r="H890" s="63"/>
      <c r="I890" s="63"/>
      <c r="J890" s="63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spans="1:27">
      <c r="A891" s="63"/>
      <c r="B891" s="63"/>
      <c r="C891" s="63"/>
      <c r="D891" s="65"/>
      <c r="E891" s="63"/>
      <c r="F891" s="63"/>
      <c r="G891" s="63"/>
      <c r="H891" s="63"/>
      <c r="I891" s="63"/>
      <c r="J891" s="63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spans="1:27">
      <c r="A892" s="63"/>
      <c r="B892" s="63"/>
      <c r="C892" s="63"/>
      <c r="D892" s="65"/>
      <c r="E892" s="63"/>
      <c r="F892" s="63"/>
      <c r="G892" s="63"/>
      <c r="H892" s="63"/>
      <c r="I892" s="63"/>
      <c r="J892" s="63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spans="1:27">
      <c r="A893" s="63"/>
      <c r="B893" s="63"/>
      <c r="C893" s="63"/>
      <c r="D893" s="65"/>
      <c r="E893" s="63"/>
      <c r="F893" s="63"/>
      <c r="G893" s="63"/>
      <c r="H893" s="63"/>
      <c r="I893" s="63"/>
      <c r="J893" s="63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spans="1:27">
      <c r="A894" s="63"/>
      <c r="B894" s="63"/>
      <c r="C894" s="63"/>
      <c r="D894" s="65"/>
      <c r="E894" s="63"/>
      <c r="F894" s="63"/>
      <c r="G894" s="63"/>
      <c r="H894" s="63"/>
      <c r="I894" s="63"/>
      <c r="J894" s="63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spans="1:27">
      <c r="A895" s="63"/>
      <c r="B895" s="63"/>
      <c r="C895" s="63"/>
      <c r="D895" s="65"/>
      <c r="E895" s="63"/>
      <c r="F895" s="63"/>
      <c r="G895" s="63"/>
      <c r="H895" s="63"/>
      <c r="I895" s="63"/>
      <c r="J895" s="63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spans="1:27">
      <c r="A896" s="63"/>
      <c r="B896" s="63"/>
      <c r="C896" s="63"/>
      <c r="D896" s="65"/>
      <c r="E896" s="63"/>
      <c r="F896" s="63"/>
      <c r="G896" s="63"/>
      <c r="H896" s="63"/>
      <c r="I896" s="63"/>
      <c r="J896" s="63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spans="1:27">
      <c r="A897" s="63"/>
      <c r="B897" s="63"/>
      <c r="C897" s="63"/>
      <c r="D897" s="65"/>
      <c r="E897" s="63"/>
      <c r="F897" s="63"/>
      <c r="G897" s="63"/>
      <c r="H897" s="63"/>
      <c r="I897" s="63"/>
      <c r="J897" s="63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spans="1:27">
      <c r="A898" s="63"/>
      <c r="B898" s="63"/>
      <c r="C898" s="63"/>
      <c r="D898" s="65"/>
      <c r="E898" s="63"/>
      <c r="F898" s="63"/>
      <c r="G898" s="63"/>
      <c r="H898" s="63"/>
      <c r="I898" s="63"/>
      <c r="J898" s="63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spans="1:27">
      <c r="A899" s="63"/>
      <c r="B899" s="63"/>
      <c r="C899" s="63"/>
      <c r="D899" s="65"/>
      <c r="E899" s="63"/>
      <c r="F899" s="63"/>
      <c r="G899" s="63"/>
      <c r="H899" s="63"/>
      <c r="I899" s="63"/>
      <c r="J899" s="63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spans="1:27">
      <c r="A900" s="63"/>
      <c r="B900" s="63"/>
      <c r="C900" s="63"/>
      <c r="D900" s="65"/>
      <c r="E900" s="63"/>
      <c r="F900" s="63"/>
      <c r="G900" s="63"/>
      <c r="H900" s="63"/>
      <c r="I900" s="63"/>
      <c r="J900" s="63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spans="1:27">
      <c r="A901" s="63"/>
      <c r="B901" s="63"/>
      <c r="C901" s="63"/>
      <c r="D901" s="65"/>
      <c r="E901" s="63"/>
      <c r="F901" s="63"/>
      <c r="G901" s="63"/>
      <c r="H901" s="63"/>
      <c r="I901" s="63"/>
      <c r="J901" s="63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spans="1:27">
      <c r="A902" s="63"/>
      <c r="B902" s="63"/>
      <c r="C902" s="63"/>
      <c r="D902" s="65"/>
      <c r="E902" s="63"/>
      <c r="F902" s="63"/>
      <c r="G902" s="63"/>
      <c r="H902" s="63"/>
      <c r="I902" s="63"/>
      <c r="J902" s="63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spans="1:27">
      <c r="A903" s="63"/>
      <c r="B903" s="63"/>
      <c r="C903" s="63"/>
      <c r="D903" s="65"/>
      <c r="E903" s="63"/>
      <c r="F903" s="63"/>
      <c r="G903" s="63"/>
      <c r="H903" s="63"/>
      <c r="I903" s="63"/>
      <c r="J903" s="63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spans="1:27">
      <c r="A904" s="63"/>
      <c r="B904" s="63"/>
      <c r="C904" s="63"/>
      <c r="D904" s="65"/>
      <c r="E904" s="63"/>
      <c r="F904" s="63"/>
      <c r="G904" s="63"/>
      <c r="H904" s="63"/>
      <c r="I904" s="63"/>
      <c r="J904" s="63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spans="1:27">
      <c r="A905" s="63"/>
      <c r="B905" s="63"/>
      <c r="C905" s="63"/>
      <c r="D905" s="65"/>
      <c r="E905" s="63"/>
      <c r="F905" s="63"/>
      <c r="G905" s="63"/>
      <c r="H905" s="63"/>
      <c r="I905" s="63"/>
      <c r="J905" s="63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spans="1:27">
      <c r="A906" s="63"/>
      <c r="B906" s="63"/>
      <c r="C906" s="63"/>
      <c r="D906" s="65"/>
      <c r="E906" s="63"/>
      <c r="F906" s="63"/>
      <c r="G906" s="63"/>
      <c r="H906" s="63"/>
      <c r="I906" s="63"/>
      <c r="J906" s="63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spans="1:27">
      <c r="A907" s="63"/>
      <c r="B907" s="63"/>
      <c r="C907" s="63"/>
      <c r="D907" s="65"/>
      <c r="E907" s="63"/>
      <c r="F907" s="63"/>
      <c r="G907" s="63"/>
      <c r="H907" s="63"/>
      <c r="I907" s="63"/>
      <c r="J907" s="63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spans="1:27">
      <c r="A908" s="63"/>
      <c r="B908" s="63"/>
      <c r="C908" s="63"/>
      <c r="D908" s="65"/>
      <c r="E908" s="63"/>
      <c r="F908" s="63"/>
      <c r="G908" s="63"/>
      <c r="H908" s="63"/>
      <c r="I908" s="63"/>
      <c r="J908" s="63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spans="1:27">
      <c r="A909" s="63"/>
      <c r="B909" s="63"/>
      <c r="C909" s="63"/>
      <c r="D909" s="65"/>
      <c r="E909" s="63"/>
      <c r="F909" s="63"/>
      <c r="G909" s="63"/>
      <c r="H909" s="63"/>
      <c r="I909" s="63"/>
      <c r="J909" s="63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spans="1:27">
      <c r="A910" s="63"/>
      <c r="B910" s="63"/>
      <c r="C910" s="63"/>
      <c r="D910" s="65"/>
      <c r="E910" s="63"/>
      <c r="F910" s="63"/>
      <c r="G910" s="63"/>
      <c r="H910" s="63"/>
      <c r="I910" s="63"/>
      <c r="J910" s="63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spans="1:27">
      <c r="A911" s="63"/>
      <c r="B911" s="63"/>
      <c r="C911" s="63"/>
      <c r="D911" s="65"/>
      <c r="E911" s="63"/>
      <c r="F911" s="63"/>
      <c r="G911" s="63"/>
      <c r="H911" s="63"/>
      <c r="I911" s="63"/>
      <c r="J911" s="63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spans="1:27">
      <c r="A912" s="63"/>
      <c r="B912" s="63"/>
      <c r="C912" s="63"/>
      <c r="D912" s="65"/>
      <c r="E912" s="63"/>
      <c r="F912" s="63"/>
      <c r="G912" s="63"/>
      <c r="H912" s="63"/>
      <c r="I912" s="63"/>
      <c r="J912" s="63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spans="1:27">
      <c r="A913" s="63"/>
      <c r="B913" s="63"/>
      <c r="C913" s="63"/>
      <c r="D913" s="65"/>
      <c r="E913" s="63"/>
      <c r="F913" s="63"/>
      <c r="G913" s="63"/>
      <c r="H913" s="63"/>
      <c r="I913" s="63"/>
      <c r="J913" s="63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spans="1:27">
      <c r="A914" s="63"/>
      <c r="B914" s="63"/>
      <c r="C914" s="63"/>
      <c r="D914" s="65"/>
      <c r="E914" s="63"/>
      <c r="F914" s="63"/>
      <c r="G914" s="63"/>
      <c r="H914" s="63"/>
      <c r="I914" s="63"/>
      <c r="J914" s="63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spans="1:27">
      <c r="A915" s="63"/>
      <c r="B915" s="63"/>
      <c r="C915" s="63"/>
      <c r="D915" s="65"/>
      <c r="E915" s="63"/>
      <c r="F915" s="63"/>
      <c r="G915" s="63"/>
      <c r="H915" s="63"/>
      <c r="I915" s="63"/>
      <c r="J915" s="63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spans="1:27">
      <c r="A916" s="63"/>
      <c r="B916" s="63"/>
      <c r="C916" s="63"/>
      <c r="D916" s="65"/>
      <c r="E916" s="63"/>
      <c r="F916" s="63"/>
      <c r="G916" s="63"/>
      <c r="H916" s="63"/>
      <c r="I916" s="63"/>
      <c r="J916" s="63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spans="1:27">
      <c r="A917" s="63"/>
      <c r="B917" s="63"/>
      <c r="C917" s="63"/>
      <c r="D917" s="65"/>
      <c r="E917" s="63"/>
      <c r="F917" s="63"/>
      <c r="G917" s="63"/>
      <c r="H917" s="63"/>
      <c r="I917" s="63"/>
      <c r="J917" s="63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spans="1:27">
      <c r="A918" s="63"/>
      <c r="B918" s="63"/>
      <c r="C918" s="63"/>
      <c r="D918" s="65"/>
      <c r="E918" s="63"/>
      <c r="F918" s="63"/>
      <c r="G918" s="63"/>
      <c r="H918" s="63"/>
      <c r="I918" s="63"/>
      <c r="J918" s="63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spans="1:27">
      <c r="A919" s="63"/>
      <c r="B919" s="63"/>
      <c r="C919" s="63"/>
      <c r="D919" s="65"/>
      <c r="E919" s="63"/>
      <c r="F919" s="63"/>
      <c r="G919" s="63"/>
      <c r="H919" s="63"/>
      <c r="I919" s="63"/>
      <c r="J919" s="63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spans="1:27">
      <c r="A920" s="63"/>
      <c r="B920" s="63"/>
      <c r="C920" s="63"/>
      <c r="D920" s="65"/>
      <c r="E920" s="63"/>
      <c r="F920" s="63"/>
      <c r="G920" s="63"/>
      <c r="H920" s="63"/>
      <c r="I920" s="63"/>
      <c r="J920" s="63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spans="1:27">
      <c r="A921" s="63"/>
      <c r="B921" s="63"/>
      <c r="C921" s="63"/>
      <c r="D921" s="65"/>
      <c r="E921" s="63"/>
      <c r="F921" s="63"/>
      <c r="G921" s="63"/>
      <c r="H921" s="63"/>
      <c r="I921" s="63"/>
      <c r="J921" s="63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spans="1:27">
      <c r="A922" s="63"/>
      <c r="B922" s="63"/>
      <c r="C922" s="63"/>
      <c r="D922" s="65"/>
      <c r="E922" s="63"/>
      <c r="F922" s="63"/>
      <c r="G922" s="63"/>
      <c r="H922" s="63"/>
      <c r="I922" s="63"/>
      <c r="J922" s="63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spans="1:27">
      <c r="A923" s="63"/>
      <c r="B923" s="63"/>
      <c r="C923" s="63"/>
      <c r="D923" s="65"/>
      <c r="E923" s="63"/>
      <c r="F923" s="63"/>
      <c r="G923" s="63"/>
      <c r="H923" s="63"/>
      <c r="I923" s="63"/>
      <c r="J923" s="63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spans="1:27">
      <c r="A924" s="63"/>
      <c r="B924" s="63"/>
      <c r="C924" s="63"/>
      <c r="D924" s="65"/>
      <c r="E924" s="63"/>
      <c r="F924" s="63"/>
      <c r="G924" s="63"/>
      <c r="H924" s="63"/>
      <c r="I924" s="63"/>
      <c r="J924" s="63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spans="1:27">
      <c r="A925" s="63"/>
      <c r="B925" s="63"/>
      <c r="C925" s="63"/>
      <c r="D925" s="65"/>
      <c r="E925" s="63"/>
      <c r="F925" s="63"/>
      <c r="G925" s="63"/>
      <c r="H925" s="63"/>
      <c r="I925" s="63"/>
      <c r="J925" s="63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spans="1:27">
      <c r="A926" s="63"/>
      <c r="B926" s="63"/>
      <c r="C926" s="63"/>
      <c r="D926" s="65"/>
      <c r="E926" s="63"/>
      <c r="F926" s="63"/>
      <c r="G926" s="63"/>
      <c r="H926" s="63"/>
      <c r="I926" s="63"/>
      <c r="J926" s="63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spans="1:27">
      <c r="A927" s="63"/>
      <c r="B927" s="63"/>
      <c r="C927" s="63"/>
      <c r="D927" s="65"/>
      <c r="E927" s="63"/>
      <c r="F927" s="63"/>
      <c r="G927" s="63"/>
      <c r="H927" s="63"/>
      <c r="I927" s="63"/>
      <c r="J927" s="63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spans="1:27">
      <c r="A928" s="63"/>
      <c r="B928" s="63"/>
      <c r="C928" s="63"/>
      <c r="D928" s="65"/>
      <c r="E928" s="63"/>
      <c r="F928" s="63"/>
      <c r="G928" s="63"/>
      <c r="H928" s="63"/>
      <c r="I928" s="63"/>
      <c r="J928" s="63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spans="1:27">
      <c r="A929" s="63"/>
      <c r="B929" s="63"/>
      <c r="C929" s="63"/>
      <c r="D929" s="65"/>
      <c r="E929" s="63"/>
      <c r="F929" s="63"/>
      <c r="G929" s="63"/>
      <c r="H929" s="63"/>
      <c r="I929" s="63"/>
      <c r="J929" s="63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spans="1:27">
      <c r="A930" s="63"/>
      <c r="B930" s="63"/>
      <c r="C930" s="63"/>
      <c r="D930" s="65"/>
      <c r="E930" s="63"/>
      <c r="F930" s="63"/>
      <c r="G930" s="63"/>
      <c r="H930" s="63"/>
      <c r="I930" s="63"/>
      <c r="J930" s="63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spans="1:27">
      <c r="A931" s="63"/>
      <c r="B931" s="63"/>
      <c r="C931" s="63"/>
      <c r="D931" s="65"/>
      <c r="E931" s="63"/>
      <c r="F931" s="63"/>
      <c r="G931" s="63"/>
      <c r="H931" s="63"/>
      <c r="I931" s="63"/>
      <c r="J931" s="63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spans="1:27">
      <c r="A932" s="63"/>
      <c r="B932" s="63"/>
      <c r="C932" s="63"/>
      <c r="D932" s="65"/>
      <c r="E932" s="63"/>
      <c r="F932" s="63"/>
      <c r="G932" s="63"/>
      <c r="H932" s="63"/>
      <c r="I932" s="63"/>
      <c r="J932" s="63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spans="1:27">
      <c r="A933" s="63"/>
      <c r="B933" s="63"/>
      <c r="C933" s="63"/>
      <c r="D933" s="65"/>
      <c r="E933" s="63"/>
      <c r="F933" s="63"/>
      <c r="G933" s="63"/>
      <c r="H933" s="63"/>
      <c r="I933" s="63"/>
      <c r="J933" s="63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spans="1:27">
      <c r="A934" s="63"/>
      <c r="B934" s="63"/>
      <c r="C934" s="63"/>
      <c r="D934" s="65"/>
      <c r="E934" s="63"/>
      <c r="F934" s="63"/>
      <c r="G934" s="63"/>
      <c r="H934" s="63"/>
      <c r="I934" s="63"/>
      <c r="J934" s="63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spans="1:27">
      <c r="A935" s="63"/>
      <c r="B935" s="63"/>
      <c r="C935" s="63"/>
      <c r="D935" s="65"/>
      <c r="E935" s="63"/>
      <c r="F935" s="63"/>
      <c r="G935" s="63"/>
      <c r="H935" s="63"/>
      <c r="I935" s="63"/>
      <c r="J935" s="63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spans="1:27">
      <c r="A936" s="63"/>
      <c r="B936" s="63"/>
      <c r="C936" s="63"/>
      <c r="D936" s="65"/>
      <c r="E936" s="63"/>
      <c r="F936" s="63"/>
      <c r="G936" s="63"/>
      <c r="H936" s="63"/>
      <c r="I936" s="63"/>
      <c r="J936" s="63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spans="1:27">
      <c r="A937" s="63"/>
      <c r="B937" s="63"/>
      <c r="C937" s="63"/>
      <c r="D937" s="65"/>
      <c r="E937" s="63"/>
      <c r="F937" s="63"/>
      <c r="G937" s="63"/>
      <c r="H937" s="63"/>
      <c r="I937" s="63"/>
      <c r="J937" s="63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spans="1:27">
      <c r="A938" s="63"/>
      <c r="B938" s="63"/>
      <c r="C938" s="63"/>
      <c r="D938" s="65"/>
      <c r="E938" s="63"/>
      <c r="F938" s="63"/>
      <c r="G938" s="63"/>
      <c r="H938" s="63"/>
      <c r="I938" s="63"/>
      <c r="J938" s="63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spans="1:27">
      <c r="A939" s="63"/>
      <c r="B939" s="63"/>
      <c r="C939" s="63"/>
      <c r="D939" s="65"/>
      <c r="E939" s="63"/>
      <c r="F939" s="63"/>
      <c r="G939" s="63"/>
      <c r="H939" s="63"/>
      <c r="I939" s="63"/>
      <c r="J939" s="63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spans="1:27">
      <c r="A940" s="63"/>
      <c r="B940" s="63"/>
      <c r="C940" s="63"/>
      <c r="D940" s="65"/>
      <c r="E940" s="63"/>
      <c r="F940" s="63"/>
      <c r="G940" s="63"/>
      <c r="H940" s="63"/>
      <c r="I940" s="63"/>
      <c r="J940" s="63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spans="1:27">
      <c r="A941" s="63"/>
      <c r="B941" s="63"/>
      <c r="C941" s="63"/>
      <c r="D941" s="65"/>
      <c r="E941" s="63"/>
      <c r="F941" s="63"/>
      <c r="G941" s="63"/>
      <c r="H941" s="63"/>
      <c r="I941" s="63"/>
      <c r="J941" s="63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spans="1:27">
      <c r="A942" s="63"/>
      <c r="B942" s="63"/>
      <c r="C942" s="63"/>
      <c r="D942" s="65"/>
      <c r="E942" s="63"/>
      <c r="F942" s="63"/>
      <c r="G942" s="63"/>
      <c r="H942" s="63"/>
      <c r="I942" s="63"/>
      <c r="J942" s="63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spans="1:27">
      <c r="A943" s="63"/>
      <c r="B943" s="63"/>
      <c r="C943" s="63"/>
      <c r="D943" s="65"/>
      <c r="E943" s="63"/>
      <c r="F943" s="63"/>
      <c r="G943" s="63"/>
      <c r="H943" s="63"/>
      <c r="I943" s="63"/>
      <c r="J943" s="63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spans="1:27">
      <c r="A944" s="63"/>
      <c r="B944" s="63"/>
      <c r="C944" s="63"/>
      <c r="D944" s="65"/>
      <c r="E944" s="63"/>
      <c r="F944" s="63"/>
      <c r="G944" s="63"/>
      <c r="H944" s="63"/>
      <c r="I944" s="63"/>
      <c r="J944" s="63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spans="1:27">
      <c r="A945" s="63"/>
      <c r="B945" s="63"/>
      <c r="C945" s="63"/>
      <c r="D945" s="65"/>
      <c r="E945" s="63"/>
      <c r="F945" s="63"/>
      <c r="G945" s="63"/>
      <c r="H945" s="63"/>
      <c r="I945" s="63"/>
      <c r="J945" s="63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spans="1:27">
      <c r="A946" s="63"/>
      <c r="B946" s="63"/>
      <c r="C946" s="63"/>
      <c r="D946" s="65"/>
      <c r="E946" s="63"/>
      <c r="F946" s="63"/>
      <c r="G946" s="63"/>
      <c r="H946" s="63"/>
      <c r="I946" s="63"/>
      <c r="J946" s="63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spans="1:27">
      <c r="A947" s="63"/>
      <c r="B947" s="63"/>
      <c r="C947" s="63"/>
      <c r="D947" s="65"/>
      <c r="E947" s="63"/>
      <c r="F947" s="63"/>
      <c r="G947" s="63"/>
      <c r="H947" s="63"/>
      <c r="I947" s="63"/>
      <c r="J947" s="63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spans="1:27">
      <c r="A948" s="63"/>
      <c r="B948" s="63"/>
      <c r="C948" s="63"/>
      <c r="D948" s="65"/>
      <c r="E948" s="63"/>
      <c r="F948" s="63"/>
      <c r="G948" s="63"/>
      <c r="H948" s="63"/>
      <c r="I948" s="63"/>
      <c r="J948" s="63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spans="1:27">
      <c r="A949" s="63"/>
      <c r="B949" s="63"/>
      <c r="C949" s="63"/>
      <c r="D949" s="65"/>
      <c r="E949" s="63"/>
      <c r="F949" s="63"/>
      <c r="G949" s="63"/>
      <c r="H949" s="63"/>
      <c r="I949" s="63"/>
      <c r="J949" s="63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spans="1:27">
      <c r="A950" s="63"/>
      <c r="B950" s="63"/>
      <c r="C950" s="63"/>
      <c r="D950" s="65"/>
      <c r="E950" s="63"/>
      <c r="F950" s="63"/>
      <c r="G950" s="63"/>
      <c r="H950" s="63"/>
      <c r="I950" s="63"/>
      <c r="J950" s="63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spans="1:27">
      <c r="A951" s="63"/>
      <c r="B951" s="63"/>
      <c r="C951" s="63"/>
      <c r="D951" s="65"/>
      <c r="E951" s="63"/>
      <c r="F951" s="63"/>
      <c r="G951" s="63"/>
      <c r="H951" s="63"/>
      <c r="I951" s="63"/>
      <c r="J951" s="63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spans="1:27">
      <c r="A952" s="63"/>
      <c r="B952" s="63"/>
      <c r="C952" s="63"/>
      <c r="D952" s="65"/>
      <c r="E952" s="63"/>
      <c r="F952" s="63"/>
      <c r="G952" s="63"/>
      <c r="H952" s="63"/>
      <c r="I952" s="63"/>
      <c r="J952" s="63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spans="1:27">
      <c r="A953" s="63"/>
      <c r="B953" s="63"/>
      <c r="C953" s="63"/>
      <c r="D953" s="65"/>
      <c r="E953" s="63"/>
      <c r="F953" s="63"/>
      <c r="G953" s="63"/>
      <c r="H953" s="63"/>
      <c r="I953" s="63"/>
      <c r="J953" s="63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spans="1:27">
      <c r="A954" s="63"/>
      <c r="B954" s="63"/>
      <c r="C954" s="63"/>
      <c r="D954" s="65"/>
      <c r="E954" s="63"/>
      <c r="F954" s="63"/>
      <c r="G954" s="63"/>
      <c r="H954" s="63"/>
      <c r="I954" s="63"/>
      <c r="J954" s="63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spans="1:27">
      <c r="A955" s="63"/>
      <c r="B955" s="63"/>
      <c r="C955" s="63"/>
      <c r="D955" s="65"/>
      <c r="E955" s="63"/>
      <c r="F955" s="63"/>
      <c r="G955" s="63"/>
      <c r="H955" s="63"/>
      <c r="I955" s="63"/>
      <c r="J955" s="63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spans="1:27">
      <c r="A956" s="63"/>
      <c r="B956" s="63"/>
      <c r="C956" s="63"/>
      <c r="D956" s="65"/>
      <c r="E956" s="63"/>
      <c r="F956" s="63"/>
      <c r="G956" s="63"/>
      <c r="H956" s="63"/>
      <c r="I956" s="63"/>
      <c r="J956" s="63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spans="1:27">
      <c r="A957" s="63"/>
      <c r="B957" s="63"/>
      <c r="C957" s="63"/>
      <c r="D957" s="65"/>
      <c r="E957" s="63"/>
      <c r="F957" s="63"/>
      <c r="G957" s="63"/>
      <c r="H957" s="63"/>
      <c r="I957" s="63"/>
      <c r="J957" s="63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spans="1:27">
      <c r="A958" s="63"/>
      <c r="B958" s="63"/>
      <c r="C958" s="63"/>
      <c r="D958" s="65"/>
      <c r="E958" s="63"/>
      <c r="F958" s="63"/>
      <c r="G958" s="63"/>
      <c r="H958" s="63"/>
      <c r="I958" s="63"/>
      <c r="J958" s="63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spans="1:27">
      <c r="A959" s="63"/>
      <c r="B959" s="63"/>
      <c r="C959" s="63"/>
      <c r="D959" s="65"/>
      <c r="E959" s="63"/>
      <c r="F959" s="63"/>
      <c r="G959" s="63"/>
      <c r="H959" s="63"/>
      <c r="I959" s="63"/>
      <c r="J959" s="63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spans="1:27">
      <c r="A960" s="63"/>
      <c r="B960" s="63"/>
      <c r="C960" s="63"/>
      <c r="D960" s="65"/>
      <c r="E960" s="63"/>
      <c r="F960" s="63"/>
      <c r="G960" s="63"/>
      <c r="H960" s="63"/>
      <c r="I960" s="63"/>
      <c r="J960" s="63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spans="1:27">
      <c r="A961" s="63"/>
      <c r="B961" s="63"/>
      <c r="C961" s="63"/>
      <c r="D961" s="65"/>
      <c r="E961" s="63"/>
      <c r="F961" s="63"/>
      <c r="G961" s="63"/>
      <c r="H961" s="63"/>
      <c r="I961" s="63"/>
      <c r="J961" s="63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spans="1:27">
      <c r="A962" s="63"/>
      <c r="B962" s="63"/>
      <c r="C962" s="63"/>
      <c r="D962" s="65"/>
      <c r="E962" s="63"/>
      <c r="F962" s="63"/>
      <c r="G962" s="63"/>
      <c r="H962" s="63"/>
      <c r="I962" s="63"/>
      <c r="J962" s="63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spans="1:27">
      <c r="A963" s="63"/>
      <c r="B963" s="63"/>
      <c r="C963" s="63"/>
      <c r="D963" s="65"/>
      <c r="E963" s="63"/>
      <c r="F963" s="63"/>
      <c r="G963" s="63"/>
      <c r="H963" s="63"/>
      <c r="I963" s="63"/>
      <c r="J963" s="63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spans="1:27">
      <c r="A964" s="63"/>
      <c r="B964" s="63"/>
      <c r="C964" s="63"/>
      <c r="D964" s="65"/>
      <c r="E964" s="63"/>
      <c r="F964" s="63"/>
      <c r="G964" s="63"/>
      <c r="H964" s="63"/>
      <c r="I964" s="63"/>
      <c r="J964" s="63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spans="1:27">
      <c r="A965" s="63"/>
      <c r="B965" s="63"/>
      <c r="C965" s="63"/>
      <c r="D965" s="65"/>
      <c r="E965" s="63"/>
      <c r="F965" s="63"/>
      <c r="G965" s="63"/>
      <c r="H965" s="63"/>
      <c r="I965" s="63"/>
      <c r="J965" s="63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spans="1:27">
      <c r="A966" s="63"/>
      <c r="B966" s="63"/>
      <c r="C966" s="63"/>
      <c r="D966" s="65"/>
      <c r="E966" s="63"/>
      <c r="F966" s="63"/>
      <c r="G966" s="63"/>
      <c r="H966" s="63"/>
      <c r="I966" s="63"/>
      <c r="J966" s="63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spans="1:27">
      <c r="A967" s="63"/>
      <c r="B967" s="63"/>
      <c r="C967" s="63"/>
      <c r="D967" s="65"/>
      <c r="E967" s="63"/>
      <c r="F967" s="63"/>
      <c r="G967" s="63"/>
      <c r="H967" s="63"/>
      <c r="I967" s="63"/>
      <c r="J967" s="63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spans="1:27">
      <c r="A968" s="63"/>
      <c r="B968" s="63"/>
      <c r="C968" s="63"/>
      <c r="D968" s="65"/>
      <c r="E968" s="63"/>
      <c r="F968" s="63"/>
      <c r="G968" s="63"/>
      <c r="H968" s="63"/>
      <c r="I968" s="63"/>
      <c r="J968" s="63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spans="1:27">
      <c r="A969" s="63"/>
      <c r="B969" s="63"/>
      <c r="C969" s="63"/>
      <c r="D969" s="65"/>
      <c r="E969" s="63"/>
      <c r="F969" s="63"/>
      <c r="G969" s="63"/>
      <c r="H969" s="63"/>
      <c r="I969" s="63"/>
      <c r="J969" s="63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spans="1:27">
      <c r="A970" s="63"/>
      <c r="B970" s="63"/>
      <c r="C970" s="63"/>
      <c r="D970" s="65"/>
      <c r="E970" s="63"/>
      <c r="F970" s="63"/>
      <c r="G970" s="63"/>
      <c r="H970" s="63"/>
      <c r="I970" s="63"/>
      <c r="J970" s="63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spans="1:27">
      <c r="A971" s="63"/>
      <c r="B971" s="63"/>
      <c r="C971" s="63"/>
      <c r="D971" s="65"/>
      <c r="E971" s="63"/>
      <c r="F971" s="63"/>
      <c r="G971" s="63"/>
      <c r="H971" s="63"/>
      <c r="I971" s="63"/>
      <c r="J971" s="63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spans="1:27">
      <c r="A972" s="63"/>
      <c r="B972" s="63"/>
      <c r="C972" s="63"/>
      <c r="D972" s="65"/>
      <c r="E972" s="63"/>
      <c r="F972" s="63"/>
      <c r="G972" s="63"/>
      <c r="H972" s="63"/>
      <c r="I972" s="63"/>
      <c r="J972" s="63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spans="1:27">
      <c r="A973" s="63"/>
      <c r="B973" s="63"/>
      <c r="C973" s="63"/>
      <c r="D973" s="65"/>
      <c r="E973" s="63"/>
      <c r="F973" s="63"/>
      <c r="G973" s="63"/>
      <c r="H973" s="63"/>
      <c r="I973" s="63"/>
      <c r="J973" s="63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spans="1:27">
      <c r="A974" s="63"/>
      <c r="B974" s="63"/>
      <c r="C974" s="63"/>
      <c r="D974" s="65"/>
      <c r="E974" s="63"/>
      <c r="F974" s="63"/>
      <c r="G974" s="63"/>
      <c r="H974" s="63"/>
      <c r="I974" s="63"/>
      <c r="J974" s="63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spans="1:27">
      <c r="A975" s="63"/>
      <c r="B975" s="63"/>
      <c r="C975" s="63"/>
      <c r="D975" s="65"/>
      <c r="E975" s="63"/>
      <c r="F975" s="63"/>
      <c r="G975" s="63"/>
      <c r="H975" s="63"/>
      <c r="I975" s="63"/>
      <c r="J975" s="63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spans="1:27">
      <c r="A976" s="63"/>
      <c r="B976" s="63"/>
      <c r="C976" s="63"/>
      <c r="D976" s="65"/>
      <c r="E976" s="63"/>
      <c r="F976" s="63"/>
      <c r="G976" s="63"/>
      <c r="H976" s="63"/>
      <c r="I976" s="63"/>
      <c r="J976" s="63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spans="1:27">
      <c r="A977" s="63"/>
      <c r="B977" s="63"/>
      <c r="C977" s="63"/>
      <c r="D977" s="65"/>
      <c r="E977" s="63"/>
      <c r="F977" s="63"/>
      <c r="G977" s="63"/>
      <c r="H977" s="63"/>
      <c r="I977" s="63"/>
      <c r="J977" s="63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</sheetData>
  <autoFilter ref="A1:M977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Z862"/>
  <sheetViews>
    <sheetView showGridLines="0" workbookViewId="0"/>
  </sheetViews>
  <sheetFormatPr baseColWidth="10" defaultColWidth="12.5703125" defaultRowHeight="15.75" customHeight="1"/>
  <cols>
    <col min="1" max="1" width="17.140625" customWidth="1"/>
    <col min="2" max="2" width="45.85546875" customWidth="1"/>
    <col min="3" max="3" width="20.7109375" customWidth="1"/>
    <col min="4" max="4" width="12.42578125" customWidth="1"/>
    <col min="5" max="5" width="11" customWidth="1"/>
    <col min="6" max="6" width="21.85546875" customWidth="1"/>
    <col min="7" max="7" width="16" customWidth="1"/>
    <col min="8" max="8" width="39" customWidth="1"/>
    <col min="9" max="9" width="14.85546875" customWidth="1"/>
    <col min="10" max="10" width="32.7109375" customWidth="1"/>
  </cols>
  <sheetData>
    <row r="1" spans="1:26" ht="36">
      <c r="A1" s="9" t="s">
        <v>2187</v>
      </c>
      <c r="B1" s="9" t="s">
        <v>10</v>
      </c>
      <c r="C1" s="9" t="s">
        <v>13</v>
      </c>
      <c r="D1" s="9" t="s">
        <v>4</v>
      </c>
      <c r="E1" s="9" t="s">
        <v>2188</v>
      </c>
      <c r="F1" s="9" t="s">
        <v>3</v>
      </c>
      <c r="G1" s="9" t="s">
        <v>2189</v>
      </c>
      <c r="H1" s="9" t="s">
        <v>2190</v>
      </c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</row>
    <row r="2" spans="1:26" ht="18" hidden="1">
      <c r="A2" s="75"/>
      <c r="B2" s="76"/>
      <c r="C2" s="77"/>
      <c r="D2" s="78"/>
      <c r="E2" s="78"/>
      <c r="F2" s="79"/>
      <c r="G2" s="22"/>
      <c r="H2" s="22" t="str">
        <f>IF($B2="","",IF($B2="TRANSCARNES","ACTIVO",IF(COUNTIF(RETIROS!E:E,$B2)=1,"PENDIENTE ELIMINAR",IF(COUNTIFS(ASIGNACIONES!$D:$D,$B2,ASIGNACIONES!$I:$I,E2,ASIGNACIONES!$H:$H,$D2,ASIGNACIONES!$K:$K,$F2)=0,"NUEVO","ACTIVO"))))</f>
        <v/>
      </c>
    </row>
    <row r="3" spans="1:26" ht="18">
      <c r="A3" s="75" t="s">
        <v>2191</v>
      </c>
      <c r="B3" s="76" t="s">
        <v>1010</v>
      </c>
      <c r="C3" s="77" t="s">
        <v>1011</v>
      </c>
      <c r="D3" s="78" t="s">
        <v>38</v>
      </c>
      <c r="E3" s="78" t="s">
        <v>97</v>
      </c>
      <c r="F3" s="79" t="s">
        <v>15</v>
      </c>
      <c r="G3" s="22"/>
      <c r="H3" s="22" t="str">
        <f>IF($B3="","",IF($B3="TRANSCARNES","ACTIVO",IF(COUNTIF(RETIROS!E:E,$B3)=1,"PENDIENTE ELIMINAR",IF(COUNTIFS(ASIGNACIONES!$D:$D,$B3,ASIGNACIONES!$I:$I,E3,ASIGNACIONES!$H:$H,$D3,ASIGNACIONES!$K:$K,$F3)=0,"NUEVO","ACTIVO"))))</f>
        <v>ACTIVO</v>
      </c>
    </row>
    <row r="4" spans="1:26" ht="18">
      <c r="A4" s="75" t="s">
        <v>2192</v>
      </c>
      <c r="B4" s="76" t="s">
        <v>1179</v>
      </c>
      <c r="C4" s="77">
        <v>1099622755</v>
      </c>
      <c r="D4" s="78" t="s">
        <v>90</v>
      </c>
      <c r="E4" s="78" t="s">
        <v>28</v>
      </c>
      <c r="F4" s="79" t="s">
        <v>15</v>
      </c>
      <c r="G4" s="22"/>
      <c r="H4" s="22" t="str">
        <f>IF($B4="","",IF($B4="TRANSCARNES","ACTIVO",IF(COUNTIF(RETIROS!E:E,$B4)=1,"PENDIENTE ELIMINAR",IF(COUNTIFS(ASIGNACIONES!$D:$D,$B4,ASIGNACIONES!$I:$I,E4,ASIGNACIONES!$H:$H,$D4,ASIGNACIONES!$K:$K,$F4)=0,"NUEVO","ACTIVO"))))</f>
        <v>ACTIVO</v>
      </c>
    </row>
    <row r="5" spans="1:26" ht="18">
      <c r="A5" s="75" t="s">
        <v>2193</v>
      </c>
      <c r="B5" s="76" t="s">
        <v>1364</v>
      </c>
      <c r="C5" s="77">
        <v>1234</v>
      </c>
      <c r="D5" s="78" t="s">
        <v>604</v>
      </c>
      <c r="E5" s="78" t="s">
        <v>28</v>
      </c>
      <c r="F5" s="79" t="s">
        <v>15</v>
      </c>
      <c r="G5" s="22"/>
      <c r="H5" s="22" t="str">
        <f>IF($B5="","",IF($B5="TRANSCARNES","ACTIVO",IF(COUNTIF(RETIROS!E:E,$B5)=1,"PENDIENTE ELIMINAR",IF(COUNTIFS(ASIGNACIONES!$D:$D,$B5,ASIGNACIONES!$I:$I,E5,ASIGNACIONES!$H:$H,$D5,ASIGNACIONES!$K:$K,$F5)=0,"NUEVO","ACTIVO"))))</f>
        <v>ACTIVO</v>
      </c>
    </row>
    <row r="6" spans="1:26" ht="18">
      <c r="A6" s="75"/>
      <c r="B6" s="76"/>
      <c r="C6" s="77"/>
      <c r="D6" s="78"/>
      <c r="E6" s="78"/>
      <c r="F6" s="79"/>
      <c r="G6" s="22"/>
      <c r="H6" s="22"/>
    </row>
    <row r="7" spans="1:26" ht="18">
      <c r="A7" s="75" t="s">
        <v>2194</v>
      </c>
      <c r="B7" s="76" t="s">
        <v>1126</v>
      </c>
      <c r="C7" s="77">
        <v>4588561</v>
      </c>
      <c r="D7" s="78" t="s">
        <v>67</v>
      </c>
      <c r="E7" s="78" t="s">
        <v>30</v>
      </c>
      <c r="F7" s="79" t="s">
        <v>15</v>
      </c>
      <c r="G7" s="22"/>
      <c r="H7" s="22" t="str">
        <f>IF($B7="","",IF($B7="TRANSCARNES","ACTIVO",IF(COUNTIF(RETIROS!E:E,$B7)=1,"PENDIENTE ELIMINAR",IF(COUNTIFS(ASIGNACIONES!$D:$D,$B7,ASIGNACIONES!$I:$I,E7,ASIGNACIONES!$H:$H,$D7,ASIGNACIONES!$K:$K,$F7)=0,"NUEVO","ACTIVO"))))</f>
        <v>ACTIVO</v>
      </c>
    </row>
    <row r="8" spans="1:26" ht="18">
      <c r="A8" s="75" t="s">
        <v>2195</v>
      </c>
      <c r="B8" s="76" t="s">
        <v>1050</v>
      </c>
      <c r="C8" s="77" t="s">
        <v>421</v>
      </c>
      <c r="D8" s="78" t="s">
        <v>129</v>
      </c>
      <c r="E8" s="78" t="s">
        <v>950</v>
      </c>
      <c r="F8" s="79" t="s">
        <v>12</v>
      </c>
      <c r="G8" s="22"/>
      <c r="H8" s="22" t="str">
        <f>IF($B8="","",IF($B8="TRANSCARNES","ACTIVO",IF(COUNTIF(RETIROS!E:E,$B8)=1,"PENDIENTE ELIMINAR",IF(COUNTIFS(ASIGNACIONES!$D:$D,$B8,ASIGNACIONES!$I:$I,E8,ASIGNACIONES!$H:$H,$D8,ASIGNACIONES!$K:$K,$F8)=0,"NUEVO","ACTIVO"))))</f>
        <v>ACTIVO</v>
      </c>
    </row>
    <row r="9" spans="1:26" ht="18">
      <c r="A9" s="75"/>
      <c r="B9" s="76"/>
      <c r="C9" s="77"/>
      <c r="D9" s="78"/>
      <c r="E9" s="78"/>
      <c r="F9" s="79"/>
      <c r="G9" s="22"/>
      <c r="H9" s="22"/>
    </row>
    <row r="10" spans="1:26" ht="18">
      <c r="A10" s="75" t="s">
        <v>79</v>
      </c>
      <c r="B10" s="76" t="s">
        <v>612</v>
      </c>
      <c r="C10" s="77" t="s">
        <v>614</v>
      </c>
      <c r="D10" s="78" t="s">
        <v>38</v>
      </c>
      <c r="E10" s="78" t="s">
        <v>28</v>
      </c>
      <c r="F10" s="79" t="s">
        <v>15</v>
      </c>
      <c r="G10" s="22"/>
      <c r="H10" s="22" t="str">
        <f>IF($B10="","",IF($B10="TRANSCARNES","ACTIVO",IF(COUNTIF(RETIROS!E:E,$B10)=1,"PENDIENTE ELIMINAR",IF(COUNTIFS(ASIGNACIONES!$D:$D,$B10,ASIGNACIONES!$I:$I,E10,ASIGNACIONES!$H:$H,$D10,ASIGNACIONES!$K:$K,$F10)=0,"NUEVO","ACTIVO"))))</f>
        <v>ACTIVO</v>
      </c>
    </row>
    <row r="11" spans="1:26" ht="18">
      <c r="A11" s="75" t="s">
        <v>691</v>
      </c>
      <c r="B11" s="76" t="s">
        <v>906</v>
      </c>
      <c r="C11" s="77" t="s">
        <v>907</v>
      </c>
      <c r="D11" s="78" t="s">
        <v>67</v>
      </c>
      <c r="E11" s="78" t="s">
        <v>28</v>
      </c>
      <c r="F11" s="79" t="s">
        <v>15</v>
      </c>
      <c r="G11" s="22"/>
      <c r="H11" s="22" t="str">
        <f>IF($B11="","",IF($B11="TRANSCARNES","ACTIVO",IF(COUNTIF(RETIROS!E:E,$B11)=1,"PENDIENTE ELIMINAR",IF(COUNTIFS(ASIGNACIONES!$D:$D,$B11,ASIGNACIONES!$I:$I,E11,ASIGNACIONES!$H:$H,$D11,ASIGNACIONES!$K:$K,$F11)=0,"NUEVO","ACTIVO"))))</f>
        <v>ACTIVO</v>
      </c>
    </row>
    <row r="12" spans="1:26" ht="18">
      <c r="A12" s="75"/>
      <c r="B12" s="80"/>
      <c r="C12" s="77"/>
      <c r="D12" s="78"/>
      <c r="E12" s="78"/>
      <c r="F12" s="79"/>
      <c r="G12" s="22"/>
      <c r="H12" s="22"/>
    </row>
    <row r="13" spans="1:26" ht="18">
      <c r="A13" s="75" t="s">
        <v>63</v>
      </c>
      <c r="B13" s="80" t="s">
        <v>588</v>
      </c>
      <c r="C13" s="77" t="s">
        <v>589</v>
      </c>
      <c r="D13" s="78" t="s">
        <v>38</v>
      </c>
      <c r="E13" s="78" t="s">
        <v>28</v>
      </c>
      <c r="F13" s="79" t="s">
        <v>15</v>
      </c>
      <c r="G13" s="22"/>
      <c r="H13" s="22" t="str">
        <f>IF($B13="","",IF($B13="TRANSCARNES","ACTIVO",IF(COUNTIF(RETIROS!E:E,$B13)=1,"PENDIENTE ELIMINAR",IF(COUNTIFS(ASIGNACIONES!$D:$D,$B13,ASIGNACIONES!$I:$I,E13,ASIGNACIONES!$H:$H,$D13,ASIGNACIONES!$K:$K,$F13)=0,"NUEVO","ACTIVO"))))</f>
        <v>ACTIVO</v>
      </c>
    </row>
    <row r="14" spans="1:26" ht="18">
      <c r="A14" s="75" t="s">
        <v>739</v>
      </c>
      <c r="B14" s="80" t="s">
        <v>513</v>
      </c>
      <c r="C14" s="77" t="s">
        <v>515</v>
      </c>
      <c r="D14" s="78" t="s">
        <v>38</v>
      </c>
      <c r="E14" s="78" t="s">
        <v>30</v>
      </c>
      <c r="F14" s="79" t="s">
        <v>15</v>
      </c>
      <c r="G14" s="22"/>
      <c r="H14" s="22" t="str">
        <f>IF($B14="","",IF($B14="TRANSCARNES","ACTIVO",IF(COUNTIF(RETIROS!E:E,$B14)=1,"PENDIENTE ELIMINAR",IF(COUNTIFS(ASIGNACIONES!$D:$D,$B14,ASIGNACIONES!$I:$I,E14,ASIGNACIONES!$H:$H,$D14,ASIGNACIONES!$K:$K,$F14)=0,"NUEVO","ACTIVO"))))</f>
        <v>ACTIVO</v>
      </c>
    </row>
    <row r="15" spans="1:26" ht="18">
      <c r="A15" s="75" t="s">
        <v>295</v>
      </c>
      <c r="B15" s="76" t="s">
        <v>546</v>
      </c>
      <c r="C15" s="77" t="s">
        <v>547</v>
      </c>
      <c r="D15" s="78" t="s">
        <v>38</v>
      </c>
      <c r="E15" s="78" t="s">
        <v>30</v>
      </c>
      <c r="F15" s="79" t="s">
        <v>15</v>
      </c>
      <c r="G15" s="22"/>
      <c r="H15" s="22" t="str">
        <f>IF($B15="","",IF($B15="TRANSCARNES","ACTIVO",IF(COUNTIF(RETIROS!E:E,$B15)=1,"PENDIENTE ELIMINAR",IF(COUNTIFS(ASIGNACIONES!$D:$D,$B15,ASIGNACIONES!$I:$I,E15,ASIGNACIONES!$H:$H,$D15,ASIGNACIONES!$K:$K,$F15)=0,"NUEVO","ACTIVO"))))</f>
        <v>ACTIVO</v>
      </c>
    </row>
    <row r="16" spans="1:26" ht="18">
      <c r="A16" s="75"/>
      <c r="B16" s="80"/>
      <c r="C16" s="77"/>
      <c r="D16" s="78"/>
      <c r="E16" s="78"/>
      <c r="F16" s="79"/>
      <c r="G16" s="22"/>
      <c r="H16" s="22"/>
    </row>
    <row r="17" spans="1:8" ht="18">
      <c r="A17" s="75" t="s">
        <v>52</v>
      </c>
      <c r="B17" s="80" t="s">
        <v>537</v>
      </c>
      <c r="C17" s="77" t="s">
        <v>540</v>
      </c>
      <c r="D17" s="78" t="s">
        <v>46</v>
      </c>
      <c r="E17" s="78" t="s">
        <v>30</v>
      </c>
      <c r="F17" s="79" t="s">
        <v>15</v>
      </c>
      <c r="G17" s="22"/>
      <c r="H17" s="22" t="str">
        <f>IF($B17="","",IF($B17="TRANSCARNES","ACTIVO",IF(COUNTIF(RETIROS!E:E,$B17)=1,"PENDIENTE ELIMINAR",IF(COUNTIFS(ASIGNACIONES!$D:$D,$B17,ASIGNACIONES!$I:$I,E17,ASIGNACIONES!$H:$H,$D17,ASIGNACIONES!$K:$K,$F17)=0,"NUEVO","ACTIVO"))))</f>
        <v>ACTIVO</v>
      </c>
    </row>
    <row r="18" spans="1:8" ht="18">
      <c r="A18" s="75"/>
      <c r="B18" s="76"/>
      <c r="C18" s="77"/>
      <c r="D18" s="78"/>
      <c r="E18" s="78"/>
      <c r="F18" s="79"/>
      <c r="G18" s="22"/>
      <c r="H18" s="22"/>
    </row>
    <row r="19" spans="1:8" ht="18">
      <c r="A19" s="75" t="s">
        <v>88</v>
      </c>
      <c r="B19" s="80" t="s">
        <v>763</v>
      </c>
      <c r="C19" s="77" t="s">
        <v>767</v>
      </c>
      <c r="D19" s="78" t="s">
        <v>67</v>
      </c>
      <c r="E19" s="78" t="s">
        <v>97</v>
      </c>
      <c r="F19" s="79" t="s">
        <v>15</v>
      </c>
      <c r="G19" s="22"/>
      <c r="H19" s="22" t="str">
        <f>IF($B19="","",IF($B19="TRANSCARNES","ACTIVO",IF(COUNTIF(RETIROS!E:E,$B19)=1,"PENDIENTE ELIMINAR",IF(COUNTIFS(ASIGNACIONES!$D:$D,$B19,ASIGNACIONES!$I:$I,E19,ASIGNACIONES!$H:$H,$D19,ASIGNACIONES!$K:$K,$F19)=0,"NUEVO","ACTIVO"))))</f>
        <v>ACTIVO</v>
      </c>
    </row>
    <row r="20" spans="1:8" ht="18">
      <c r="A20" s="75" t="s">
        <v>2196</v>
      </c>
      <c r="B20" s="76" t="s">
        <v>828</v>
      </c>
      <c r="C20" s="77" t="s">
        <v>829</v>
      </c>
      <c r="D20" s="78" t="s">
        <v>149</v>
      </c>
      <c r="E20" s="78" t="s">
        <v>28</v>
      </c>
      <c r="F20" s="79" t="s">
        <v>15</v>
      </c>
      <c r="G20" s="22"/>
      <c r="H20" s="22" t="str">
        <f>IF($B20="","",IF($B20="TRANSCARNES","ACTIVO",IF(COUNTIF(RETIROS!E:E,$B20)=1,"PENDIENTE ELIMINAR",IF(COUNTIFS(ASIGNACIONES!$D:$D,$B20,ASIGNACIONES!$I:$I,E20,ASIGNACIONES!$H:$H,$D20,ASIGNACIONES!$K:$K,$F20)=0,"NUEVO","ACTIVO"))))</f>
        <v>ACTIVO</v>
      </c>
    </row>
    <row r="21" spans="1:8" ht="18">
      <c r="A21" s="75" t="s">
        <v>1218</v>
      </c>
      <c r="B21" s="80" t="s">
        <v>370</v>
      </c>
      <c r="C21" s="77" t="s">
        <v>373</v>
      </c>
      <c r="D21" s="78" t="s">
        <v>149</v>
      </c>
      <c r="E21" s="78" t="s">
        <v>28</v>
      </c>
      <c r="F21" s="79" t="s">
        <v>15</v>
      </c>
      <c r="G21" s="22"/>
      <c r="H21" s="22" t="str">
        <f>IF($B21="","",IF($B21="TRANSCARNES","ACTIVO",IF(COUNTIF(RETIROS!E:E,$B21)=1,"PENDIENTE ELIMINAR",IF(COUNTIFS(ASIGNACIONES!$D:$D,$B21,ASIGNACIONES!$I:$I,E21,ASIGNACIONES!$H:$H,$D21,ASIGNACIONES!$K:$K,$F21)=0,"NUEVO","ACTIVO"))))</f>
        <v>ACTIVO</v>
      </c>
    </row>
    <row r="22" spans="1:8" ht="18">
      <c r="A22" s="75"/>
      <c r="B22" s="76"/>
      <c r="C22" s="77"/>
      <c r="D22" s="78"/>
      <c r="E22" s="78"/>
      <c r="F22" s="79"/>
      <c r="G22" s="22"/>
      <c r="H22" s="22"/>
    </row>
    <row r="23" spans="1:8" ht="18">
      <c r="A23" s="75" t="s">
        <v>225</v>
      </c>
      <c r="B23" s="80" t="s">
        <v>450</v>
      </c>
      <c r="C23" s="77" t="s">
        <v>452</v>
      </c>
      <c r="D23" s="78" t="s">
        <v>149</v>
      </c>
      <c r="E23" s="78" t="s">
        <v>30</v>
      </c>
      <c r="F23" s="79" t="s">
        <v>15</v>
      </c>
      <c r="G23" s="22"/>
      <c r="H23" s="22" t="str">
        <f>IF($B23="","",IF($B23="TRANSCARNES","ACTIVO",IF(COUNTIF(RETIROS!E:E,$B23)=1,"PENDIENTE ELIMINAR",IF(COUNTIFS(ASIGNACIONES!$D:$D,$B23,ASIGNACIONES!$I:$I,E23,ASIGNACIONES!$H:$H,$D23,ASIGNACIONES!$K:$K,$F23)=0,"NUEVO","ACTIVO"))))</f>
        <v>ACTIVO</v>
      </c>
    </row>
    <row r="24" spans="1:8" ht="18">
      <c r="A24" s="75"/>
      <c r="B24" s="76"/>
      <c r="C24" s="77"/>
      <c r="D24" s="78"/>
      <c r="E24" s="78"/>
      <c r="F24" s="79"/>
      <c r="G24" s="22"/>
      <c r="H24" s="22"/>
    </row>
    <row r="25" spans="1:8" ht="18">
      <c r="A25" s="75" t="s">
        <v>1071</v>
      </c>
      <c r="B25" s="76" t="s">
        <v>852</v>
      </c>
      <c r="C25" s="77" t="s">
        <v>855</v>
      </c>
      <c r="D25" s="78" t="s">
        <v>67</v>
      </c>
      <c r="E25" s="78" t="s">
        <v>28</v>
      </c>
      <c r="F25" s="79" t="s">
        <v>15</v>
      </c>
      <c r="G25" s="22"/>
      <c r="H25" s="22" t="str">
        <f>IF($B25="","",IF($B25="TRANSCARNES","ACTIVO",IF(COUNTIF(RETIROS!E:E,$B25)=1,"PENDIENTE ELIMINAR",IF(COUNTIFS(ASIGNACIONES!$D:$D,$B25,ASIGNACIONES!$I:$I,E25,ASIGNACIONES!$H:$H,$D25,ASIGNACIONES!$K:$K,$F25)=0,"NUEVO","ACTIVO"))))</f>
        <v>ACTIVO</v>
      </c>
    </row>
    <row r="26" spans="1:8" ht="18">
      <c r="A26" s="75" t="s">
        <v>940</v>
      </c>
      <c r="B26" s="76" t="s">
        <v>706</v>
      </c>
      <c r="C26" s="77" t="s">
        <v>708</v>
      </c>
      <c r="D26" s="78" t="s">
        <v>38</v>
      </c>
      <c r="E26" s="78" t="s">
        <v>28</v>
      </c>
      <c r="F26" s="79" t="s">
        <v>15</v>
      </c>
      <c r="G26" s="22"/>
      <c r="H26" s="22" t="str">
        <f>IF($B26="","",IF($B26="TRANSCARNES","ACTIVO",IF(COUNTIF(RETIROS!E:E,$B26)=1,"PENDIENTE ELIMINAR",IF(COUNTIFS(ASIGNACIONES!$D:$D,$B26,ASIGNACIONES!$I:$I,E26,ASIGNACIONES!$H:$H,$D26,ASIGNACIONES!$K:$K,$F26)=0,"NUEVO","ACTIVO"))))</f>
        <v>ACTIVO</v>
      </c>
    </row>
    <row r="27" spans="1:8" ht="18">
      <c r="A27" s="75"/>
      <c r="B27" s="76"/>
      <c r="C27" s="77"/>
      <c r="D27" s="78"/>
      <c r="E27" s="78"/>
      <c r="F27" s="79"/>
      <c r="G27" s="22"/>
      <c r="H27" s="22"/>
    </row>
    <row r="28" spans="1:8" ht="18">
      <c r="A28" s="75" t="s">
        <v>1670</v>
      </c>
      <c r="B28" s="76" t="s">
        <v>790</v>
      </c>
      <c r="C28" s="77" t="s">
        <v>791</v>
      </c>
      <c r="D28" s="78" t="s">
        <v>67</v>
      </c>
      <c r="E28" s="78" t="s">
        <v>30</v>
      </c>
      <c r="F28" s="79" t="s">
        <v>15</v>
      </c>
      <c r="G28" s="22"/>
      <c r="H28" s="22" t="str">
        <f>IF($B28="","",IF($B28="TRANSCARNES","ACTIVO",IF(COUNTIF(RETIROS!E:E,$B28)=1,"PENDIENTE ELIMINAR",IF(COUNTIFS(ASIGNACIONES!$D:$D,$B28,ASIGNACIONES!$I:$I,E28,ASIGNACIONES!$H:$H,$D28,ASIGNACIONES!$K:$K,$F28)=0,"NUEVO","ACTIVO"))))</f>
        <v>ACTIVO</v>
      </c>
    </row>
    <row r="29" spans="1:8" ht="18">
      <c r="A29" s="75" t="s">
        <v>309</v>
      </c>
      <c r="B29" s="80" t="s">
        <v>936</v>
      </c>
      <c r="C29" s="77" t="s">
        <v>939</v>
      </c>
      <c r="D29" s="78" t="s">
        <v>67</v>
      </c>
      <c r="E29" s="78" t="s">
        <v>48</v>
      </c>
      <c r="F29" s="79" t="s">
        <v>31</v>
      </c>
      <c r="G29" s="22"/>
      <c r="H29" s="22" t="str">
        <f>IF($B29="","",IF($B29="TRANSCARNES","ACTIVO",IF(COUNTIF(RETIROS!E:E,$B29)=1,"PENDIENTE ELIMINAR",IF(COUNTIFS(ASIGNACIONES!$D:$D,$B29,ASIGNACIONES!$I:$I,E29,ASIGNACIONES!$H:$H,$D29,ASIGNACIONES!$K:$K,$F29)=0,"NUEVO","ACTIVO"))))</f>
        <v>ACTIVO</v>
      </c>
    </row>
    <row r="30" spans="1:8" ht="18">
      <c r="A30" s="75" t="s">
        <v>779</v>
      </c>
      <c r="B30" s="76" t="s">
        <v>946</v>
      </c>
      <c r="C30" s="77" t="s">
        <v>421</v>
      </c>
      <c r="D30" s="78" t="s">
        <v>129</v>
      </c>
      <c r="E30" s="78" t="s">
        <v>950</v>
      </c>
      <c r="F30" s="79" t="s">
        <v>12</v>
      </c>
      <c r="G30" s="22"/>
      <c r="H30" s="22" t="str">
        <f>IF($B30="","",IF($B30="TRANSCARNES","ACTIVO",IF(COUNTIF(RETIROS!E:E,$B30)=1,"PENDIENTE ELIMINAR",IF(COUNTIFS(ASIGNACIONES!$D:$D,$B30,ASIGNACIONES!$I:$I,E30,ASIGNACIONES!$H:$H,$D30,ASIGNACIONES!$K:$K,$F30)=0,"NUEVO","ACTIVO"))))</f>
        <v>ACTIVO</v>
      </c>
    </row>
    <row r="31" spans="1:8" ht="18">
      <c r="A31" s="75" t="s">
        <v>2199</v>
      </c>
      <c r="B31" s="76" t="s">
        <v>1436</v>
      </c>
      <c r="C31" s="77">
        <v>1091132817</v>
      </c>
      <c r="D31" s="78" t="s">
        <v>38</v>
      </c>
      <c r="E31" s="78" t="s">
        <v>28</v>
      </c>
      <c r="F31" s="79" t="s">
        <v>15</v>
      </c>
      <c r="G31" s="22"/>
      <c r="H31" s="22" t="str">
        <f>IF($B31="","",IF($B31="TRANSCARNES","ACTIVO",IF(COUNTIF(RETIROS!E:E,$B31)=1,"PENDIENTE ELIMINAR",IF(COUNTIFS(ASIGNACIONES!$D:$D,$B31,ASIGNACIONES!$I:$I,E31,ASIGNACIONES!$H:$H,$D31,ASIGNACIONES!$K:$K,$F31)=0,"NUEVO","ACTIVO"))))</f>
        <v>ACTIVO</v>
      </c>
    </row>
    <row r="32" spans="1:8" ht="18">
      <c r="A32" s="75" t="s">
        <v>787</v>
      </c>
      <c r="B32" s="80" t="s">
        <v>2135</v>
      </c>
      <c r="C32" s="77" t="s">
        <v>2133</v>
      </c>
      <c r="D32" s="78" t="s">
        <v>149</v>
      </c>
      <c r="E32" s="78" t="s">
        <v>716</v>
      </c>
      <c r="F32" s="79" t="s">
        <v>15</v>
      </c>
      <c r="G32" s="22"/>
      <c r="H32" s="22" t="str">
        <f>IF($B32="","",IF($B32="TRANSCARNES","ACTIVO",IF(COUNTIF(RETIROS!E:E,$B32)=1,"PENDIENTE ELIMINAR",IF(COUNTIFS(ASIGNACIONES!$D:$D,$B32,ASIGNACIONES!$I:$I,E32,ASIGNACIONES!$H:$H,$D32,ASIGNACIONES!$K:$K,$F32)=0,"NUEVO","ACTIVO"))))</f>
        <v>PENDIENTE ELIMINAR</v>
      </c>
    </row>
    <row r="33" spans="1:8" ht="18">
      <c r="A33" s="75"/>
      <c r="B33" s="76"/>
      <c r="C33" s="77"/>
      <c r="D33" s="78"/>
      <c r="E33" s="78"/>
      <c r="F33" s="79"/>
      <c r="G33" s="22"/>
      <c r="H33" s="22"/>
    </row>
    <row r="34" spans="1:8" ht="18">
      <c r="A34" s="75" t="s">
        <v>2200</v>
      </c>
      <c r="B34" s="76" t="s">
        <v>955</v>
      </c>
      <c r="C34" s="77" t="s">
        <v>956</v>
      </c>
      <c r="D34" s="78" t="s">
        <v>11</v>
      </c>
      <c r="E34" s="78" t="s">
        <v>30</v>
      </c>
      <c r="F34" s="79" t="s">
        <v>12</v>
      </c>
      <c r="G34" s="22"/>
      <c r="H34" s="22" t="str">
        <f>IF($B34="","",IF($B34="TRANSCARNES","ACTIVO",IF(COUNTIF(RETIROS!E:E,$B34)=1,"PENDIENTE ELIMINAR",IF(COUNTIFS(ASIGNACIONES!$D:$D,$B34,ASIGNACIONES!$I:$I,E34,ASIGNACIONES!$H:$H,$D34,ASIGNACIONES!$K:$K,$F34)=0,"NUEVO","ACTIVO"))))</f>
        <v>ACTIVO</v>
      </c>
    </row>
    <row r="35" spans="1:8" ht="18">
      <c r="A35" s="75"/>
      <c r="B35" s="80"/>
      <c r="C35" s="77"/>
      <c r="D35" s="78"/>
      <c r="E35" s="78"/>
      <c r="F35" s="79"/>
      <c r="G35" s="22"/>
      <c r="H35" s="22"/>
    </row>
    <row r="36" spans="1:8" ht="18">
      <c r="A36" s="75" t="s">
        <v>2201</v>
      </c>
      <c r="B36" s="76" t="s">
        <v>1312</v>
      </c>
      <c r="C36" s="77">
        <v>1001920490</v>
      </c>
      <c r="D36" s="78" t="s">
        <v>67</v>
      </c>
      <c r="E36" s="78" t="s">
        <v>28</v>
      </c>
      <c r="F36" s="79" t="s">
        <v>15</v>
      </c>
      <c r="G36" s="22"/>
      <c r="H36" s="22" t="str">
        <f>IF($B36="","",IF($B36="TRANSCARNES","ACTIVO",IF(COUNTIF(RETIROS!E:E,$B36)=1,"PENDIENTE ELIMINAR",IF(COUNTIFS(ASIGNACIONES!$D:$D,$B36,ASIGNACIONES!$I:$I,E36,ASIGNACIONES!$H:$H,$D36,ASIGNACIONES!$K:$K,$F36)=0,"NUEVO","ACTIVO"))))</f>
        <v>ACTIVO</v>
      </c>
    </row>
    <row r="37" spans="1:8" ht="18">
      <c r="A37" s="75" t="s">
        <v>123</v>
      </c>
      <c r="B37" s="80" t="s">
        <v>340</v>
      </c>
      <c r="C37" s="77" t="s">
        <v>341</v>
      </c>
      <c r="D37" s="78" t="s">
        <v>38</v>
      </c>
      <c r="E37" s="78" t="s">
        <v>97</v>
      </c>
      <c r="F37" s="79" t="s">
        <v>15</v>
      </c>
      <c r="G37" s="22"/>
      <c r="H37" s="22" t="str">
        <f>IF($B37="","",IF($B37="TRANSCARNES","ACTIVO",IF(COUNTIF(RETIROS!E:E,$B37)=1,"PENDIENTE ELIMINAR",IF(COUNTIFS(ASIGNACIONES!$D:$D,$B37,ASIGNACIONES!$I:$I,E37,ASIGNACIONES!$H:$H,$D37,ASIGNACIONES!$K:$K,$F37)=0,"NUEVO","ACTIVO"))))</f>
        <v>ACTIVO</v>
      </c>
    </row>
    <row r="38" spans="1:8" ht="18">
      <c r="A38" s="75"/>
      <c r="B38" s="76"/>
      <c r="C38" s="77"/>
      <c r="D38" s="78"/>
      <c r="E38" s="78"/>
      <c r="F38" s="79"/>
      <c r="G38" s="22"/>
      <c r="H38" s="22"/>
    </row>
    <row r="39" spans="1:8" ht="18">
      <c r="A39" s="75" t="s">
        <v>676</v>
      </c>
      <c r="B39" s="76" t="s">
        <v>670</v>
      </c>
      <c r="C39" s="77" t="s">
        <v>671</v>
      </c>
      <c r="D39" s="78" t="s">
        <v>38</v>
      </c>
      <c r="E39" s="78" t="s">
        <v>30</v>
      </c>
      <c r="F39" s="79" t="s">
        <v>15</v>
      </c>
      <c r="G39" s="22"/>
      <c r="H39" s="22" t="str">
        <f>IF($B39="","",IF($B39="TRANSCARNES","ACTIVO",IF(COUNTIF(RETIROS!E:E,$B39)=1,"PENDIENTE ELIMINAR",IF(COUNTIFS(ASIGNACIONES!$D:$D,$B39,ASIGNACIONES!$I:$I,E39,ASIGNACIONES!$H:$H,$D39,ASIGNACIONES!$K:$K,$F39)=0,"NUEVO","ACTIVO"))))</f>
        <v>ACTIVO</v>
      </c>
    </row>
    <row r="40" spans="1:8" ht="18">
      <c r="A40" s="75" t="s">
        <v>2202</v>
      </c>
      <c r="B40" s="80" t="s">
        <v>916</v>
      </c>
      <c r="C40" s="77" t="s">
        <v>917</v>
      </c>
      <c r="D40" s="78" t="s">
        <v>67</v>
      </c>
      <c r="E40" s="78" t="s">
        <v>30</v>
      </c>
      <c r="F40" s="79" t="s">
        <v>15</v>
      </c>
      <c r="G40" s="22"/>
      <c r="H40" s="22" t="str">
        <f>IF($B40="","",IF($B40="TRANSCARNES","ACTIVO",IF(COUNTIF(RETIROS!E:E,$B40)=1,"PENDIENTE ELIMINAR",IF(COUNTIFS(ASIGNACIONES!$D:$D,$B40,ASIGNACIONES!$I:$I,E40,ASIGNACIONES!$H:$H,$D40,ASIGNACIONES!$K:$K,$F40)=0,"NUEVO","ACTIVO"))))</f>
        <v>ACTIVO</v>
      </c>
    </row>
    <row r="41" spans="1:8" ht="18">
      <c r="A41" s="75" t="s">
        <v>861</v>
      </c>
      <c r="B41" s="76" t="s">
        <v>281</v>
      </c>
      <c r="C41" s="77">
        <v>91506805</v>
      </c>
      <c r="D41" s="78" t="s">
        <v>67</v>
      </c>
      <c r="E41" s="78" t="s">
        <v>30</v>
      </c>
      <c r="F41" s="79" t="s">
        <v>15</v>
      </c>
      <c r="G41" s="22"/>
      <c r="H41" s="22" t="str">
        <f>IF($B41="","",IF($B41="TRANSCARNES","ACTIVO",IF(COUNTIF(RETIROS!E:E,$B41)=1,"PENDIENTE ELIMINAR",IF(COUNTIFS(ASIGNACIONES!$D:$D,$B41,ASIGNACIONES!$I:$I,E41,ASIGNACIONES!$H:$H,$D41,ASIGNACIONES!$K:$K,$F41)=0,"NUEVO","ACTIVO"))))</f>
        <v>ACTIVO</v>
      </c>
    </row>
    <row r="42" spans="1:8" ht="18">
      <c r="A42" s="75" t="s">
        <v>313</v>
      </c>
      <c r="B42" s="80" t="s">
        <v>754</v>
      </c>
      <c r="C42" s="77" t="s">
        <v>755</v>
      </c>
      <c r="D42" s="78" t="s">
        <v>90</v>
      </c>
      <c r="E42" s="78" t="s">
        <v>716</v>
      </c>
      <c r="F42" s="79" t="s">
        <v>12</v>
      </c>
      <c r="G42" s="22"/>
      <c r="H42" s="22" t="str">
        <f>IF($B42="","",IF($B42="TRANSCARNES","ACTIVO",IF(COUNTIF(RETIROS!E:E,$B42)=1,"PENDIENTE ELIMINAR",IF(COUNTIFS(ASIGNACIONES!$D:$D,$B42,ASIGNACIONES!$I:$I,E42,ASIGNACIONES!$H:$H,$D42,ASIGNACIONES!$K:$K,$F42)=0,"NUEVO","ACTIVO"))))</f>
        <v>ACTIVO</v>
      </c>
    </row>
    <row r="43" spans="1:8" ht="18">
      <c r="A43" s="75"/>
      <c r="B43" s="80"/>
      <c r="C43" s="77"/>
      <c r="D43" s="78"/>
      <c r="E43" s="78"/>
      <c r="F43" s="79"/>
      <c r="G43" s="22"/>
      <c r="H43" s="22"/>
    </row>
    <row r="44" spans="1:8" ht="18">
      <c r="A44" s="75" t="s">
        <v>2203</v>
      </c>
      <c r="B44" s="80" t="s">
        <v>356</v>
      </c>
      <c r="C44" s="77" t="s">
        <v>358</v>
      </c>
      <c r="D44" s="78" t="s">
        <v>67</v>
      </c>
      <c r="E44" s="78" t="s">
        <v>30</v>
      </c>
      <c r="F44" s="79" t="s">
        <v>15</v>
      </c>
      <c r="G44" s="22"/>
      <c r="H44" s="22" t="str">
        <f>IF($B44="","",IF($B44="TRANSCARNES","ACTIVO",IF(COUNTIF(RETIROS!E:E,$B44)=1,"PENDIENTE ELIMINAR",IF(COUNTIFS(ASIGNACIONES!$D:$D,$B44,ASIGNACIONES!$I:$I,E44,ASIGNACIONES!$H:$H,$D44,ASIGNACIONES!$K:$K,$F44)=0,"NUEVO","ACTIVO"))))</f>
        <v>ACTIVO</v>
      </c>
    </row>
    <row r="45" spans="1:8" ht="18">
      <c r="A45" s="75" t="s">
        <v>134</v>
      </c>
      <c r="B45" s="76" t="s">
        <v>743</v>
      </c>
      <c r="C45" s="77" t="s">
        <v>745</v>
      </c>
      <c r="D45" s="78" t="s">
        <v>67</v>
      </c>
      <c r="E45" s="78" t="s">
        <v>716</v>
      </c>
      <c r="F45" s="79" t="s">
        <v>15</v>
      </c>
      <c r="G45" s="22"/>
      <c r="H45" s="22" t="str">
        <f>IF($B45="","",IF($B45="TRANSCARNES","ACTIVO",IF(COUNTIF(RETIROS!E:E,$B45)=1,"PENDIENTE ELIMINAR",IF(COUNTIFS(ASIGNACIONES!$D:$D,$B45,ASIGNACIONES!$I:$I,E45,ASIGNACIONES!$H:$H,$D45,ASIGNACIONES!$K:$K,$F45)=0,"NUEVO","ACTIVO"))))</f>
        <v>ACTIVO</v>
      </c>
    </row>
    <row r="46" spans="1:8" ht="18">
      <c r="A46" s="75" t="s">
        <v>2204</v>
      </c>
      <c r="B46" s="76" t="s">
        <v>243</v>
      </c>
      <c r="C46" s="77" t="s">
        <v>249</v>
      </c>
      <c r="D46" s="78" t="s">
        <v>67</v>
      </c>
      <c r="E46" s="78" t="s">
        <v>97</v>
      </c>
      <c r="F46" s="79" t="s">
        <v>15</v>
      </c>
      <c r="G46" s="22"/>
      <c r="H46" s="22" t="str">
        <f>IF($B46="","",IF($B46="TRANSCARNES","ACTIVO",IF(COUNTIF(RETIROS!E:E,$B46)=1,"PENDIENTE ELIMINAR",IF(COUNTIFS(ASIGNACIONES!$D:$D,$B46,ASIGNACIONES!$I:$I,E46,ASIGNACIONES!$H:$H,$D46,ASIGNACIONES!$K:$K,$F46)=0,"NUEVO","ACTIVO"))))</f>
        <v>ACTIVO</v>
      </c>
    </row>
    <row r="47" spans="1:8" ht="18">
      <c r="A47" s="75" t="s">
        <v>408</v>
      </c>
      <c r="B47" s="76" t="s">
        <v>576</v>
      </c>
      <c r="C47" s="77" t="s">
        <v>577</v>
      </c>
      <c r="D47" s="78" t="s">
        <v>67</v>
      </c>
      <c r="E47" s="78" t="s">
        <v>28</v>
      </c>
      <c r="F47" s="79" t="s">
        <v>15</v>
      </c>
      <c r="G47" s="22"/>
      <c r="H47" s="22" t="str">
        <f>IF($B47="","",IF($B47="TRANSCARNES","ACTIVO",IF(COUNTIF(RETIROS!E:E,$B47)=1,"PENDIENTE ELIMINAR",IF(COUNTIFS(ASIGNACIONES!$D:$D,$B47,ASIGNACIONES!$I:$I,E47,ASIGNACIONES!$H:$H,$D47,ASIGNACIONES!$K:$K,$F47)=0,"NUEVO","ACTIVO"))))</f>
        <v>ACTIVO</v>
      </c>
    </row>
    <row r="48" spans="1:8" ht="18">
      <c r="A48" s="75" t="s">
        <v>2206</v>
      </c>
      <c r="B48" s="84" t="s">
        <v>303</v>
      </c>
      <c r="C48" s="77" t="s">
        <v>305</v>
      </c>
      <c r="D48" s="78" t="s">
        <v>38</v>
      </c>
      <c r="E48" s="78" t="s">
        <v>48</v>
      </c>
      <c r="F48" s="79" t="s">
        <v>15</v>
      </c>
      <c r="G48" s="22"/>
      <c r="H48" s="22" t="str">
        <f>IF($B48="","",IF($B48="TRANSCARNES","ACTIVO",IF(COUNTIF(RETIROS!E:E,$B48)=1,"PENDIENTE ELIMINAR",IF(COUNTIFS(ASIGNACIONES!$D:$D,$B48,ASIGNACIONES!$I:$I,E48,ASIGNACIONES!$H:$H,$D48,ASIGNACIONES!$K:$K,$F48)=0,"NUEVO","ACTIVO"))))</f>
        <v>ACTIVO</v>
      </c>
    </row>
    <row r="49" spans="1:8" ht="18">
      <c r="A49" s="75" t="s">
        <v>1261</v>
      </c>
      <c r="B49" s="80" t="s">
        <v>564</v>
      </c>
      <c r="C49" s="77" t="s">
        <v>567</v>
      </c>
      <c r="D49" s="78" t="s">
        <v>38</v>
      </c>
      <c r="E49" s="78" t="s">
        <v>30</v>
      </c>
      <c r="F49" s="79" t="s">
        <v>12</v>
      </c>
      <c r="G49" s="22"/>
      <c r="H49" s="22" t="str">
        <f>IF($B49="","",IF($B49="TRANSCARNES","ACTIVO",IF(COUNTIF(RETIROS!E:E,$B49)=1,"PENDIENTE ELIMINAR",IF(COUNTIFS(ASIGNACIONES!$D:$D,$B49,ASIGNACIONES!$I:$I,E49,ASIGNACIONES!$H:$H,$D49,ASIGNACIONES!$K:$K,$F49)=0,"NUEVO","ACTIVO"))))</f>
        <v>ACTIVO</v>
      </c>
    </row>
    <row r="50" spans="1:8" ht="18">
      <c r="A50" s="75" t="s">
        <v>2207</v>
      </c>
      <c r="B50" s="76" t="s">
        <v>862</v>
      </c>
      <c r="C50" s="77" t="s">
        <v>863</v>
      </c>
      <c r="D50" s="78" t="s">
        <v>67</v>
      </c>
      <c r="E50" s="78" t="s">
        <v>28</v>
      </c>
      <c r="F50" s="79" t="s">
        <v>15</v>
      </c>
      <c r="G50" s="22"/>
      <c r="H50" s="22" t="str">
        <f>IF($B50="","",IF($B50="TRANSCARNES","ACTIVO",IF(COUNTIF(RETIROS!E:E,$B50)=1,"PENDIENTE ELIMINAR",IF(COUNTIFS(ASIGNACIONES!$D:$D,$B50,ASIGNACIONES!$I:$I,E50,ASIGNACIONES!$H:$H,$D50,ASIGNACIONES!$K:$K,$F50)=0,"NUEVO","ACTIVO"))))</f>
        <v>ACTIVO</v>
      </c>
    </row>
    <row r="51" spans="1:8" ht="18">
      <c r="A51" s="75" t="s">
        <v>974</v>
      </c>
      <c r="B51" s="76" t="s">
        <v>965</v>
      </c>
      <c r="C51" s="77" t="s">
        <v>421</v>
      </c>
      <c r="D51" s="78" t="s">
        <v>604</v>
      </c>
      <c r="E51" s="78" t="s">
        <v>421</v>
      </c>
      <c r="F51" s="79" t="s">
        <v>15</v>
      </c>
      <c r="G51" s="22"/>
      <c r="H51" s="22" t="str">
        <f>IF($B51="","",IF($B51="TRANSCARNES","ACTIVO",IF(COUNTIF(RETIROS!E:E,$B51)=1,"PENDIENTE ELIMINAR",IF(COUNTIFS(ASIGNACIONES!$D:$D,$B51,ASIGNACIONES!$I:$I,E51,ASIGNACIONES!$H:$H,$D51,ASIGNACIONES!$K:$K,$F51)=0,"NUEVO","ACTIVO"))))</f>
        <v>ACTIVO</v>
      </c>
    </row>
    <row r="52" spans="1:8" ht="18">
      <c r="A52" s="75" t="s">
        <v>866</v>
      </c>
      <c r="B52" s="80" t="s">
        <v>461</v>
      </c>
      <c r="C52" s="77" t="s">
        <v>474</v>
      </c>
      <c r="D52" s="78" t="s">
        <v>38</v>
      </c>
      <c r="E52" s="78" t="s">
        <v>28</v>
      </c>
      <c r="F52" s="79" t="s">
        <v>15</v>
      </c>
      <c r="G52" s="22"/>
      <c r="H52" s="22" t="str">
        <f>IF($B52="","",IF($B52="TRANSCARNES","ACTIVO",IF(COUNTIF(RETIROS!E:E,$B52)=1,"PENDIENTE ELIMINAR",IF(COUNTIFS(ASIGNACIONES!$D:$D,$B52,ASIGNACIONES!$I:$I,E52,ASIGNACIONES!$H:$H,$D52,ASIGNACIONES!$K:$K,$F52)=0,"NUEVO","ACTIVO"))))</f>
        <v>ACTIVO</v>
      </c>
    </row>
    <row r="53" spans="1:8" ht="18">
      <c r="A53" s="75" t="s">
        <v>2208</v>
      </c>
      <c r="B53" s="76" t="s">
        <v>1192</v>
      </c>
      <c r="C53" s="77">
        <v>1042436560</v>
      </c>
      <c r="D53" s="78" t="s">
        <v>38</v>
      </c>
      <c r="E53" s="78" t="s">
        <v>28</v>
      </c>
      <c r="F53" s="79" t="s">
        <v>15</v>
      </c>
      <c r="G53" s="22"/>
      <c r="H53" s="22" t="str">
        <f>IF($B53="","",IF($B53="TRANSCARNES","ACTIVO",IF(COUNTIF(RETIROS!E:E,$B53)=1,"PENDIENTE ELIMINAR",IF(COUNTIFS(ASIGNACIONES!$D:$D,$B53,ASIGNACIONES!$I:$I,E53,ASIGNACIONES!$H:$H,$D53,ASIGNACIONES!$K:$K,$F53)=0,"NUEVO","ACTIVO"))))</f>
        <v>ACTIVO</v>
      </c>
    </row>
    <row r="54" spans="1:8" ht="18">
      <c r="A54" s="75" t="s">
        <v>2209</v>
      </c>
      <c r="B54" s="76" t="s">
        <v>1111</v>
      </c>
      <c r="C54" s="77">
        <v>1092671213</v>
      </c>
      <c r="D54" s="78" t="s">
        <v>38</v>
      </c>
      <c r="E54" s="78" t="s">
        <v>28</v>
      </c>
      <c r="F54" s="79" t="s">
        <v>15</v>
      </c>
      <c r="G54" s="22"/>
      <c r="H54" s="22" t="str">
        <f>IF($B54="","",IF($B54="TRANSCARNES","ACTIVO",IF(COUNTIF(RETIROS!E:E,$B54)=1,"PENDIENTE ELIMINAR",IF(COUNTIFS(ASIGNACIONES!$D:$D,$B54,ASIGNACIONES!$I:$I,E54,ASIGNACIONES!$H:$H,$D54,ASIGNACIONES!$K:$K,$F54)=0,"NUEVO","ACTIVO"))))</f>
        <v>ACTIVO</v>
      </c>
    </row>
    <row r="55" spans="1:8" ht="18">
      <c r="A55" s="75" t="s">
        <v>2210</v>
      </c>
      <c r="B55" s="76" t="s">
        <v>1061</v>
      </c>
      <c r="C55" s="77">
        <v>1005449415</v>
      </c>
      <c r="D55" s="78" t="s">
        <v>46</v>
      </c>
      <c r="E55" s="78" t="s">
        <v>30</v>
      </c>
      <c r="F55" s="79" t="s">
        <v>15</v>
      </c>
      <c r="G55" s="22"/>
      <c r="H55" s="22" t="str">
        <f>IF($B55="","",IF($B55="TRANSCARNES","ACTIVO",IF(COUNTIF(RETIROS!E:E,$B55)=1,"PENDIENTE ELIMINAR",IF(COUNTIFS(ASIGNACIONES!$D:$D,$B55,ASIGNACIONES!$I:$I,E55,ASIGNACIONES!$H:$H,$D55,ASIGNACIONES!$K:$K,$F55)=0,"NUEVO","ACTIVO"))))</f>
        <v>ACTIVO</v>
      </c>
    </row>
    <row r="56" spans="1:8" ht="18">
      <c r="A56" s="75" t="s">
        <v>2211</v>
      </c>
      <c r="B56" s="80" t="s">
        <v>1442</v>
      </c>
      <c r="C56" s="77">
        <v>1098740267</v>
      </c>
      <c r="D56" s="78" t="s">
        <v>46</v>
      </c>
      <c r="E56" s="78" t="s">
        <v>48</v>
      </c>
      <c r="F56" s="79" t="s">
        <v>15</v>
      </c>
      <c r="G56" s="22"/>
      <c r="H56" s="22" t="str">
        <f>IF($B56="","",IF($B56="TRANSCARNES","ACTIVO",IF(COUNTIF(RETIROS!E:E,$B56)=1,"PENDIENTE ELIMINAR",IF(COUNTIFS(ASIGNACIONES!$D:$D,$B56,ASIGNACIONES!$I:$I,E56,ASIGNACIONES!$H:$H,$D56,ASIGNACIONES!$K:$K,$F56)=0,"NUEVO","ACTIVO"))))</f>
        <v>ACTIVO</v>
      </c>
    </row>
    <row r="57" spans="1:8" ht="18">
      <c r="A57" s="75" t="s">
        <v>44</v>
      </c>
      <c r="B57" s="76" t="s">
        <v>799</v>
      </c>
      <c r="C57" s="77" t="s">
        <v>801</v>
      </c>
      <c r="D57" s="78" t="s">
        <v>90</v>
      </c>
      <c r="E57" s="78" t="s">
        <v>28</v>
      </c>
      <c r="F57" s="79" t="s">
        <v>12</v>
      </c>
      <c r="G57" s="22"/>
      <c r="H57" s="22" t="str">
        <f>IF($B57="","",IF($B57="TRANSCARNES","ACTIVO",IF(COUNTIF(RETIROS!E:E,$B57)=1,"PENDIENTE ELIMINAR",IF(COUNTIFS(ASIGNACIONES!$D:$D,$B57,ASIGNACIONES!$I:$I,E57,ASIGNACIONES!$H:$H,$D57,ASIGNACIONES!$K:$K,$F57)=0,"NUEVO","ACTIVO"))))</f>
        <v>ACTIVO</v>
      </c>
    </row>
    <row r="58" spans="1:8" ht="18">
      <c r="A58" s="75" t="s">
        <v>141</v>
      </c>
      <c r="B58" s="80" t="s">
        <v>875</v>
      </c>
      <c r="C58" s="77" t="s">
        <v>876</v>
      </c>
      <c r="D58" s="78" t="s">
        <v>67</v>
      </c>
      <c r="E58" s="78" t="s">
        <v>30</v>
      </c>
      <c r="F58" s="79" t="s">
        <v>15</v>
      </c>
      <c r="G58" s="22"/>
      <c r="H58" s="22" t="str">
        <f>IF($B58="","",IF($B58="TRANSCARNES","ACTIVO",IF(COUNTIF(RETIROS!E:E,$B58)=1,"PENDIENTE ELIMINAR",IF(COUNTIFS(ASIGNACIONES!$D:$D,$B58,ASIGNACIONES!$I:$I,E58,ASIGNACIONES!$H:$H,$D58,ASIGNACIONES!$K:$K,$F58)=0,"NUEVO","ACTIVO"))))</f>
        <v>ACTIVO</v>
      </c>
    </row>
    <row r="59" spans="1:8" ht="18">
      <c r="A59" s="75" t="s">
        <v>1823</v>
      </c>
      <c r="B59" s="76" t="s">
        <v>653</v>
      </c>
      <c r="C59" s="77" t="s">
        <v>654</v>
      </c>
      <c r="D59" s="78" t="s">
        <v>38</v>
      </c>
      <c r="E59" s="78" t="s">
        <v>48</v>
      </c>
      <c r="F59" s="79" t="s">
        <v>15</v>
      </c>
      <c r="G59" s="22"/>
      <c r="H59" s="22" t="str">
        <f>IF($B59="","",IF($B59="TRANSCARNES","ACTIVO",IF(COUNTIF(RETIROS!E:E,$B59)=1,"PENDIENTE ELIMINAR",IF(COUNTIFS(ASIGNACIONES!$D:$D,$B59,ASIGNACIONES!$I:$I,E59,ASIGNACIONES!$H:$H,$D59,ASIGNACIONES!$K:$K,$F59)=0,"NUEVO","ACTIVO"))))</f>
        <v>ACTIVO</v>
      </c>
    </row>
    <row r="60" spans="1:8" ht="18">
      <c r="A60" s="75" t="s">
        <v>1861</v>
      </c>
      <c r="B60" s="80" t="s">
        <v>899</v>
      </c>
      <c r="C60" s="77" t="s">
        <v>421</v>
      </c>
      <c r="D60" s="78" t="s">
        <v>47</v>
      </c>
      <c r="E60" s="78" t="s">
        <v>30</v>
      </c>
      <c r="F60" s="79" t="s">
        <v>12</v>
      </c>
      <c r="G60" s="22"/>
      <c r="H60" s="22" t="str">
        <f>IF($B60="","",IF($B60="TRANSCARNES","ACTIVO",IF(COUNTIF(RETIROS!E:E,$B60)=1,"PENDIENTE ELIMINAR",IF(COUNTIFS(ASIGNACIONES!$D:$D,$B60,ASIGNACIONES!$I:$I,E60,ASIGNACIONES!$H:$H,$D60,ASIGNACIONES!$K:$K,$F60)=0,"NUEVO","ACTIVO"))))</f>
        <v>ACTIVO</v>
      </c>
    </row>
    <row r="61" spans="1:8" ht="18">
      <c r="A61" s="75" t="s">
        <v>2212</v>
      </c>
      <c r="B61" s="84" t="s">
        <v>272</v>
      </c>
      <c r="C61" s="77" t="s">
        <v>274</v>
      </c>
      <c r="D61" s="78" t="s">
        <v>38</v>
      </c>
      <c r="E61" s="78" t="s">
        <v>30</v>
      </c>
      <c r="F61" s="79" t="s">
        <v>15</v>
      </c>
      <c r="G61" s="22"/>
      <c r="H61" s="22" t="str">
        <f>IF($B61="","",IF($B61="TRANSCARNES","ACTIVO",IF(COUNTIF(RETIROS!E:E,$B61)=1,"PENDIENTE ELIMINAR",IF(COUNTIFS(ASIGNACIONES!$D:$D,$B61,ASIGNACIONES!$I:$I,E61,ASIGNACIONES!$H:$H,$D61,ASIGNACIONES!$K:$K,$F61)=0,"NUEVO","ACTIVO"))))</f>
        <v>ACTIVO</v>
      </c>
    </row>
    <row r="62" spans="1:8" ht="18">
      <c r="A62" s="75"/>
      <c r="B62" s="80"/>
      <c r="C62" s="77"/>
      <c r="D62" s="78"/>
      <c r="E62" s="78"/>
      <c r="F62" s="79"/>
      <c r="G62" s="22"/>
      <c r="H62" s="22"/>
    </row>
    <row r="63" spans="1:8" ht="18">
      <c r="A63" s="75" t="s">
        <v>2216</v>
      </c>
      <c r="B63" s="76" t="s">
        <v>682</v>
      </c>
      <c r="C63" s="77" t="s">
        <v>685</v>
      </c>
      <c r="D63" s="78" t="s">
        <v>90</v>
      </c>
      <c r="E63" s="78" t="s">
        <v>28</v>
      </c>
      <c r="F63" s="79" t="s">
        <v>31</v>
      </c>
      <c r="G63" s="22"/>
      <c r="H63" s="22" t="str">
        <f>IF($B63="","",IF($B63="TRANSCARNES","ACTIVO",IF(COUNTIF(RETIROS!E:E,$B63)=1,"PENDIENTE ELIMINAR",IF(COUNTIFS(ASIGNACIONES!$D:$D,$B63,ASIGNACIONES!$I:$I,E63,ASIGNACIONES!$H:$H,$D63,ASIGNACIONES!$K:$K,$F63)=0,"NUEVO","ACTIVO"))))</f>
        <v>ACTIVO</v>
      </c>
    </row>
    <row r="64" spans="1:8" ht="18">
      <c r="A64" s="75" t="s">
        <v>2217</v>
      </c>
      <c r="B64" s="76" t="s">
        <v>1282</v>
      </c>
      <c r="C64" s="77">
        <v>1005539482</v>
      </c>
      <c r="D64" s="78" t="s">
        <v>149</v>
      </c>
      <c r="E64" s="78" t="s">
        <v>30</v>
      </c>
      <c r="F64" s="79" t="s">
        <v>15</v>
      </c>
      <c r="G64" s="22"/>
      <c r="H64" s="22" t="str">
        <f>IF($B64="","",IF($B64="TRANSCARNES","ACTIVO",IF(COUNTIF(RETIROS!E:E,$B64)=1,"PENDIENTE ELIMINAR",IF(COUNTIFS(ASIGNACIONES!$D:$D,$B64,ASIGNACIONES!$I:$I,E64,ASIGNACIONES!$H:$H,$D64,ASIGNACIONES!$K:$K,$F64)=0,"NUEVO","ACTIVO"))))</f>
        <v>ACTIVO</v>
      </c>
    </row>
    <row r="65" spans="1:8" ht="18">
      <c r="A65" s="75" t="s">
        <v>2218</v>
      </c>
      <c r="B65" s="76" t="s">
        <v>1242</v>
      </c>
      <c r="C65" s="77">
        <v>1095914235</v>
      </c>
      <c r="D65" s="78" t="s">
        <v>67</v>
      </c>
      <c r="E65" s="78" t="s">
        <v>28</v>
      </c>
      <c r="F65" s="79" t="s">
        <v>15</v>
      </c>
      <c r="G65" s="22"/>
      <c r="H65" s="22" t="str">
        <f>IF($B65="","",IF($B65="TRANSCARNES","ACTIVO",IF(COUNTIF(RETIROS!E:E,$B65)=1,"PENDIENTE ELIMINAR",IF(COUNTIFS(ASIGNACIONES!$D:$D,$B65,ASIGNACIONES!$I:$I,E65,ASIGNACIONES!$H:$H,$D65,ASIGNACIONES!$K:$K,$F65)=0,"NUEVO","ACTIVO"))))</f>
        <v>ACTIVO</v>
      </c>
    </row>
    <row r="66" spans="1:8" ht="18">
      <c r="A66" s="75"/>
      <c r="B66" s="76"/>
      <c r="C66" s="77"/>
      <c r="D66" s="78"/>
      <c r="E66" s="78"/>
      <c r="F66" s="79"/>
      <c r="G66" s="22"/>
      <c r="H66" s="22"/>
    </row>
    <row r="67" spans="1:8" ht="18">
      <c r="A67" s="75"/>
      <c r="B67" s="80"/>
      <c r="C67" s="77"/>
      <c r="D67" s="78"/>
      <c r="E67" s="78"/>
      <c r="F67" s="79"/>
      <c r="G67" s="22"/>
      <c r="H67" s="22"/>
    </row>
    <row r="68" spans="1:8" ht="18">
      <c r="A68" s="75"/>
      <c r="B68" s="76"/>
      <c r="C68" s="77"/>
      <c r="D68" s="78"/>
      <c r="E68" s="78"/>
      <c r="F68" s="79"/>
      <c r="G68" s="22"/>
      <c r="H68" s="22"/>
    </row>
    <row r="69" spans="1:8" ht="18">
      <c r="A69" s="75"/>
      <c r="B69" s="76"/>
      <c r="C69" s="77"/>
      <c r="D69" s="78"/>
      <c r="E69" s="78"/>
      <c r="F69" s="79"/>
      <c r="G69" s="22"/>
      <c r="H69" s="22"/>
    </row>
    <row r="70" spans="1:8" ht="18">
      <c r="A70" s="75"/>
      <c r="B70" s="80"/>
      <c r="C70" s="77"/>
      <c r="D70" s="78"/>
      <c r="E70" s="78"/>
      <c r="F70" s="79"/>
      <c r="G70" s="22"/>
      <c r="H70" s="22"/>
    </row>
    <row r="71" spans="1:8" ht="18">
      <c r="A71" s="75"/>
      <c r="B71" s="76"/>
      <c r="C71" s="77"/>
      <c r="D71" s="78"/>
      <c r="E71" s="78"/>
      <c r="F71" s="79"/>
      <c r="G71" s="22"/>
      <c r="H71" s="22"/>
    </row>
    <row r="72" spans="1:8" ht="18">
      <c r="A72" s="75" t="s">
        <v>2219</v>
      </c>
      <c r="B72" s="80" t="s">
        <v>1420</v>
      </c>
      <c r="C72" s="77">
        <v>1100340174</v>
      </c>
      <c r="D72" s="78" t="s">
        <v>46</v>
      </c>
      <c r="E72" s="78" t="s">
        <v>30</v>
      </c>
      <c r="F72" s="79" t="s">
        <v>15</v>
      </c>
      <c r="G72" s="22"/>
      <c r="H72" s="22" t="str">
        <f>IF($B72="","",IF($B72="TRANSCARNES","ACTIVO",IF(COUNTIF(RETIROS!E:E,$B72)=1,"PENDIENTE ELIMINAR",IF(COUNTIFS(ASIGNACIONES!$D:$D,$B72,ASIGNACIONES!$I:$I,E72,ASIGNACIONES!$H:$H,$D72,ASIGNACIONES!$K:$K,$F72)=0,"NUEVO","ACTIVO"))))</f>
        <v>ACTIVO</v>
      </c>
    </row>
    <row r="73" spans="1:8" ht="18">
      <c r="A73" s="75"/>
      <c r="B73" s="76"/>
      <c r="C73" s="77"/>
      <c r="D73" s="78"/>
      <c r="E73" s="78"/>
      <c r="F73" s="79"/>
      <c r="G73" s="22"/>
      <c r="H73" s="22"/>
    </row>
    <row r="74" spans="1:8" ht="18">
      <c r="A74" s="75" t="s">
        <v>2220</v>
      </c>
      <c r="B74" s="76" t="s">
        <v>1503</v>
      </c>
      <c r="C74" s="77">
        <v>1005157454</v>
      </c>
      <c r="D74" s="78" t="s">
        <v>67</v>
      </c>
      <c r="E74" s="78" t="s">
        <v>28</v>
      </c>
      <c r="F74" s="79" t="s">
        <v>15</v>
      </c>
      <c r="G74" s="22"/>
      <c r="H74" s="22" t="str">
        <f>IF($B74="","",IF($B74="TRANSCARNES","ACTIVO",IF(COUNTIF(RETIROS!E:E,$B74)=1,"PENDIENTE ELIMINAR",IF(COUNTIFS(ASIGNACIONES!$D:$D,$B74,ASIGNACIONES!$I:$I,E74,ASIGNACIONES!$H:$H,$D74,ASIGNACIONES!$K:$K,$F74)=0,"NUEVO","ACTIVO"))))</f>
        <v>ACTIVO</v>
      </c>
    </row>
    <row r="75" spans="1:8" ht="18">
      <c r="A75" s="75" t="s">
        <v>2221</v>
      </c>
      <c r="B75" s="76" t="s">
        <v>1292</v>
      </c>
      <c r="C75" s="77">
        <v>1005156867</v>
      </c>
      <c r="D75" s="78" t="s">
        <v>38</v>
      </c>
      <c r="E75" s="78" t="s">
        <v>30</v>
      </c>
      <c r="F75" s="79" t="s">
        <v>15</v>
      </c>
      <c r="G75" s="22"/>
      <c r="H75" s="22" t="str">
        <f>IF($B75="","",IF($B75="TRANSCARNES","ACTIVO",IF(COUNTIF(RETIROS!E:E,$B75)=1,"PENDIENTE ELIMINAR",IF(COUNTIFS(ASIGNACIONES!$D:$D,$B75,ASIGNACIONES!$I:$I,E75,ASIGNACIONES!$H:$H,$D75,ASIGNACIONES!$K:$K,$F75)=0,"NUEVO","ACTIVO"))))</f>
        <v>ACTIVO</v>
      </c>
    </row>
    <row r="76" spans="1:8" ht="18">
      <c r="A76" s="75" t="s">
        <v>620</v>
      </c>
      <c r="B76" s="84" t="s">
        <v>290</v>
      </c>
      <c r="C76" s="77" t="s">
        <v>292</v>
      </c>
      <c r="D76" s="78" t="s">
        <v>38</v>
      </c>
      <c r="E76" s="78" t="s">
        <v>28</v>
      </c>
      <c r="F76" s="79" t="s">
        <v>15</v>
      </c>
      <c r="G76" s="22"/>
      <c r="H76" s="22" t="str">
        <f>IF($B76="","",IF($B76="TRANSCARNES","ACTIVO",IF(COUNTIF(RETIROS!E:E,$B76)=1,"PENDIENTE ELIMINAR",IF(COUNTIFS(ASIGNACIONES!$D:$D,$B76,ASIGNACIONES!$I:$I,E76,ASIGNACIONES!$H:$H,$D76,ASIGNACIONES!$K:$K,$F76)=0,"NUEVO","ACTIVO"))))</f>
        <v>ACTIVO</v>
      </c>
    </row>
    <row r="77" spans="1:8" ht="18">
      <c r="A77" s="75" t="s">
        <v>2222</v>
      </c>
      <c r="B77" s="76" t="s">
        <v>1275</v>
      </c>
      <c r="C77" s="77">
        <v>5005845</v>
      </c>
      <c r="D77" s="78" t="s">
        <v>67</v>
      </c>
      <c r="E77" s="78" t="s">
        <v>28</v>
      </c>
      <c r="F77" s="79" t="s">
        <v>15</v>
      </c>
      <c r="G77" s="22"/>
      <c r="H77" s="22" t="str">
        <f>IF($B77="","",IF($B77="TRANSCARNES","ACTIVO",IF(COUNTIF(RETIROS!E:E,$B77)=1,"PENDIENTE ELIMINAR",IF(COUNTIFS(ASIGNACIONES!$D:$D,$B77,ASIGNACIONES!$I:$I,E77,ASIGNACIONES!$H:$H,$D77,ASIGNACIONES!$K:$K,$F77)=0,"NUEVO","ACTIVO"))))</f>
        <v>ACTIVO</v>
      </c>
    </row>
    <row r="78" spans="1:8" ht="18">
      <c r="A78" s="75"/>
      <c r="B78" s="76"/>
      <c r="C78" s="77"/>
      <c r="D78" s="78"/>
      <c r="E78" s="78"/>
      <c r="F78" s="79"/>
      <c r="G78" s="22"/>
      <c r="H78" s="22"/>
    </row>
    <row r="79" spans="1:8" ht="18">
      <c r="A79" s="75" t="s">
        <v>2223</v>
      </c>
      <c r="B79" s="76" t="s">
        <v>984</v>
      </c>
      <c r="C79" s="77" t="s">
        <v>985</v>
      </c>
      <c r="D79" s="78" t="s">
        <v>46</v>
      </c>
      <c r="E79" s="78" t="s">
        <v>28</v>
      </c>
      <c r="F79" s="79" t="s">
        <v>15</v>
      </c>
      <c r="G79" s="22"/>
      <c r="H79" s="22" t="str">
        <f>IF($B79="","",IF($B79="TRANSCARNES","ACTIVO",IF(COUNTIF(RETIROS!E:E,$B79)=1,"PENDIENTE ELIMINAR",IF(COUNTIFS(ASIGNACIONES!$D:$D,$B79,ASIGNACIONES!$I:$I,E79,ASIGNACIONES!$H:$H,$D79,ASIGNACIONES!$K:$K,$F79)=0,"NUEVO","ACTIVO"))))</f>
        <v>ACTIVO</v>
      </c>
    </row>
    <row r="80" spans="1:8" ht="18">
      <c r="A80" s="75" t="s">
        <v>873</v>
      </c>
      <c r="B80" s="80" t="s">
        <v>322</v>
      </c>
      <c r="C80" s="77" t="s">
        <v>324</v>
      </c>
      <c r="D80" s="78" t="s">
        <v>38</v>
      </c>
      <c r="E80" s="78" t="s">
        <v>97</v>
      </c>
      <c r="F80" s="79" t="s">
        <v>15</v>
      </c>
      <c r="G80" s="22"/>
      <c r="H80" s="22" t="str">
        <f>IF($B80="","",IF($B80="TRANSCARNES","ACTIVO",IF(COUNTIF(RETIROS!E:E,$B80)=1,"PENDIENTE ELIMINAR",IF(COUNTIFS(ASIGNACIONES!$D:$D,$B80,ASIGNACIONES!$I:$I,E80,ASIGNACIONES!$H:$H,$D80,ASIGNACIONES!$K:$K,$F80)=0,"NUEVO","ACTIVO"))))</f>
        <v>ACTIVO</v>
      </c>
    </row>
    <row r="81" spans="1:8" ht="18">
      <c r="A81" s="75" t="s">
        <v>2224</v>
      </c>
      <c r="B81" s="76" t="s">
        <v>1522</v>
      </c>
      <c r="C81" s="77">
        <v>1098754943</v>
      </c>
      <c r="D81" s="78" t="s">
        <v>38</v>
      </c>
      <c r="E81" s="78" t="s">
        <v>28</v>
      </c>
      <c r="F81" s="79" t="s">
        <v>15</v>
      </c>
      <c r="G81" s="22"/>
      <c r="H81" s="22" t="str">
        <f>IF($B81="","",IF($B81="TRANSCARNES","ACTIVO",IF(COUNTIF(RETIROS!E:E,$B81)=1,"PENDIENTE ELIMINAR",IF(COUNTIFS(ASIGNACIONES!$D:$D,$B81,ASIGNACIONES!$I:$I,E81,ASIGNACIONES!$H:$H,$D81,ASIGNACIONES!$K:$K,$F81)=0,"NUEVO","ACTIVO"))))</f>
        <v>ACTIVO</v>
      </c>
    </row>
    <row r="82" spans="1:8" ht="18">
      <c r="A82" s="75"/>
      <c r="B82" s="76"/>
      <c r="C82" s="77"/>
      <c r="D82" s="78"/>
      <c r="E82" s="78"/>
      <c r="F82" s="79"/>
      <c r="G82" s="22"/>
      <c r="H82" s="22"/>
    </row>
    <row r="83" spans="1:8" ht="18">
      <c r="A83" s="75"/>
      <c r="B83" s="76"/>
      <c r="C83" s="77"/>
      <c r="D83" s="78"/>
      <c r="E83" s="78"/>
      <c r="F83" s="79"/>
      <c r="G83" s="22"/>
      <c r="H83" s="22"/>
    </row>
    <row r="84" spans="1:8" ht="18">
      <c r="A84" s="75" t="s">
        <v>2225</v>
      </c>
      <c r="B84" s="76" t="s">
        <v>1135</v>
      </c>
      <c r="C84" s="77">
        <v>1065240729</v>
      </c>
      <c r="D84" s="78" t="s">
        <v>38</v>
      </c>
      <c r="E84" s="78" t="s">
        <v>28</v>
      </c>
      <c r="F84" s="79" t="s">
        <v>15</v>
      </c>
      <c r="G84" s="22"/>
      <c r="H84" s="22" t="str">
        <f>IF($B84="","",IF($B84="TRANSCARNES","ACTIVO",IF(COUNTIF(RETIROS!E:E,$B84)=1,"PENDIENTE ELIMINAR",IF(COUNTIFS(ASIGNACIONES!$D:$D,$B84,ASIGNACIONES!$I:$I,E84,ASIGNACIONES!$H:$H,$D84,ASIGNACIONES!$K:$K,$F84)=0,"NUEVO","ACTIVO"))))</f>
        <v>ACTIVO</v>
      </c>
    </row>
    <row r="85" spans="1:8" ht="18">
      <c r="A85" s="75" t="s">
        <v>1333</v>
      </c>
      <c r="B85" s="76" t="s">
        <v>601</v>
      </c>
      <c r="C85" s="77" t="s">
        <v>421</v>
      </c>
      <c r="D85" s="78" t="s">
        <v>604</v>
      </c>
      <c r="E85" s="78" t="s">
        <v>28</v>
      </c>
      <c r="F85" s="79" t="s">
        <v>15</v>
      </c>
      <c r="G85" s="22"/>
      <c r="H85" s="22" t="str">
        <f>IF($B85="","",IF($B85="TRANSCARNES","ACTIVO",IF(COUNTIF(RETIROS!E:E,$B85)=1,"PENDIENTE ELIMINAR",IF(COUNTIFS(ASIGNACIONES!$D:$D,$B85,ASIGNACIONES!$I:$I,E85,ASIGNACIONES!$H:$H,$D85,ASIGNACIONES!$K:$K,$F85)=0,"NUEVO","ACTIVO"))))</f>
        <v>ACTIVO</v>
      </c>
    </row>
    <row r="86" spans="1:8" ht="18">
      <c r="A86" s="87" t="s">
        <v>2226</v>
      </c>
      <c r="B86" s="76" t="s">
        <v>1073</v>
      </c>
      <c r="C86" s="77">
        <v>1095913856</v>
      </c>
      <c r="D86" s="78" t="s">
        <v>67</v>
      </c>
      <c r="E86" s="78" t="s">
        <v>48</v>
      </c>
      <c r="F86" s="79" t="s">
        <v>15</v>
      </c>
      <c r="G86" s="22"/>
      <c r="H86" s="22" t="str">
        <f>IF($B86="","",IF($B86="TRANSCARNES","ACTIVO",IF(COUNTIF(RETIROS!E:E,$B86)=1,"PENDIENTE ELIMINAR",IF(COUNTIFS(ASIGNACIONES!$D:$D,$B86,ASIGNACIONES!$I:$I,E86,ASIGNACIONES!$H:$H,$D86,ASIGNACIONES!$K:$K,$F86)=0,"NUEVO","ACTIVO"))))</f>
        <v>ACTIVO</v>
      </c>
    </row>
    <row r="87" spans="1:8" ht="18">
      <c r="A87" s="75" t="s">
        <v>240</v>
      </c>
      <c r="B87" s="80" t="s">
        <v>888</v>
      </c>
      <c r="C87" s="77" t="s">
        <v>421</v>
      </c>
      <c r="D87" s="78" t="s">
        <v>604</v>
      </c>
      <c r="E87" s="78" t="s">
        <v>30</v>
      </c>
      <c r="F87" s="79" t="s">
        <v>15</v>
      </c>
      <c r="G87" s="22"/>
      <c r="H87" s="22" t="str">
        <f>IF($B87="","",IF($B87="TRANSCARNES","ACTIVO",IF(COUNTIF(RETIROS!E:E,$B87)=1,"PENDIENTE ELIMINAR",IF(COUNTIFS(ASIGNACIONES!$D:$D,$B87,ASIGNACIONES!$I:$I,E87,ASIGNACIONES!$H:$H,$D87,ASIGNACIONES!$K:$K,$F87)=0,"NUEVO","ACTIVO"))))</f>
        <v>ACTIVO</v>
      </c>
    </row>
    <row r="88" spans="1:8" ht="18">
      <c r="A88" s="75"/>
      <c r="B88" s="76"/>
      <c r="C88" s="77"/>
      <c r="D88" s="78"/>
      <c r="E88" s="78"/>
      <c r="F88" s="79"/>
      <c r="G88" s="22"/>
      <c r="H88" s="22"/>
    </row>
    <row r="89" spans="1:8" ht="18">
      <c r="A89" s="75"/>
      <c r="B89" s="80"/>
      <c r="C89" s="77"/>
      <c r="D89" s="78"/>
      <c r="E89" s="78"/>
      <c r="F89" s="79"/>
      <c r="G89" s="22"/>
      <c r="H89" s="22"/>
    </row>
    <row r="90" spans="1:8" ht="18">
      <c r="A90" s="75" t="s">
        <v>2227</v>
      </c>
      <c r="B90" s="76" t="s">
        <v>1567</v>
      </c>
      <c r="C90" s="77">
        <v>1020467674</v>
      </c>
      <c r="D90" s="78" t="s">
        <v>38</v>
      </c>
      <c r="E90" s="78" t="s">
        <v>28</v>
      </c>
      <c r="F90" s="79" t="s">
        <v>15</v>
      </c>
      <c r="G90" s="22"/>
      <c r="H90" s="22" t="str">
        <f>IF($B90="","",IF($B90="TRANSCARNES","ACTIVO",IF(COUNTIF(RETIROS!E:E,$B90)=1,"PENDIENTE ELIMINAR",IF(COUNTIFS(ASIGNACIONES!$D:$D,$B90,ASIGNACIONES!$I:$I,E90,ASIGNACIONES!$H:$H,$D90,ASIGNACIONES!$K:$K,$F90)=0,"NUEVO","ACTIVO"))))</f>
        <v>ACTIVO</v>
      </c>
    </row>
    <row r="91" spans="1:8" ht="18">
      <c r="A91" s="75"/>
      <c r="B91" s="76"/>
      <c r="C91" s="77"/>
      <c r="D91" s="78"/>
      <c r="E91" s="78"/>
      <c r="F91" s="79"/>
      <c r="G91" s="22"/>
      <c r="H91" s="22"/>
    </row>
    <row r="92" spans="1:8" ht="18">
      <c r="A92" s="75" t="s">
        <v>2228</v>
      </c>
      <c r="B92" s="76" t="s">
        <v>1089</v>
      </c>
      <c r="C92" s="77">
        <v>1095940311</v>
      </c>
      <c r="D92" s="78" t="s">
        <v>27</v>
      </c>
      <c r="E92" s="78" t="s">
        <v>48</v>
      </c>
      <c r="F92" s="79" t="s">
        <v>12</v>
      </c>
      <c r="G92" s="22"/>
      <c r="H92" s="22" t="str">
        <f>IF($B92="","",IF($B92="TRANSCARNES","ACTIVO",IF(COUNTIF(RETIROS!E:E,$B92)=1,"PENDIENTE ELIMINAR",IF(COUNTIFS(ASIGNACIONES!$D:$D,$B92,ASIGNACIONES!$I:$I,E92,ASIGNACIONES!$H:$H,$D92,ASIGNACIONES!$K:$K,$F92)=0,"NUEVO","ACTIVO"))))</f>
        <v>ACTIVO</v>
      </c>
    </row>
    <row r="93" spans="1:8" ht="18">
      <c r="A93" s="75" t="s">
        <v>1167</v>
      </c>
      <c r="B93" s="80" t="s">
        <v>331</v>
      </c>
      <c r="C93" s="77" t="s">
        <v>332</v>
      </c>
      <c r="D93" s="78" t="s">
        <v>38</v>
      </c>
      <c r="E93" s="78" t="s">
        <v>28</v>
      </c>
      <c r="F93" s="79" t="s">
        <v>15</v>
      </c>
      <c r="G93" s="22"/>
      <c r="H93" s="22" t="str">
        <f>IF($B93="","",IF($B93="TRANSCARNES","ACTIVO",IF(COUNTIF(RETIROS!E:E,$B93)=1,"PENDIENTE ELIMINAR",IF(COUNTIFS(ASIGNACIONES!$D:$D,$B93,ASIGNACIONES!$I:$I,E93,ASIGNACIONES!$H:$H,$D93,ASIGNACIONES!$K:$K,$F93)=0,"NUEVO","ACTIVO"))))</f>
        <v>ACTIVO</v>
      </c>
    </row>
    <row r="94" spans="1:8" ht="18">
      <c r="A94" s="75" t="s">
        <v>2229</v>
      </c>
      <c r="B94" s="76" t="s">
        <v>1510</v>
      </c>
      <c r="C94" s="77">
        <v>1093590970</v>
      </c>
      <c r="D94" s="78" t="s">
        <v>38</v>
      </c>
      <c r="E94" s="78" t="s">
        <v>28</v>
      </c>
      <c r="F94" s="79" t="s">
        <v>15</v>
      </c>
      <c r="G94" s="22"/>
      <c r="H94" s="22" t="str">
        <f>IF($B94="","",IF($B94="TRANSCARNES","ACTIVO",IF(COUNTIF(RETIROS!E:E,$B94)=1,"PENDIENTE ELIMINAR",IF(COUNTIFS(ASIGNACIONES!$D:$D,$B94,ASIGNACIONES!$I:$I,E94,ASIGNACIONES!$H:$H,$D94,ASIGNACIONES!$K:$K,$F94)=0,"NUEVO","ACTIVO"))))</f>
        <v>ACTIVO</v>
      </c>
    </row>
    <row r="95" spans="1:8" ht="18">
      <c r="A95" s="75"/>
      <c r="B95" s="84"/>
      <c r="C95" s="77"/>
      <c r="D95" s="78"/>
      <c r="E95" s="78"/>
      <c r="F95" s="79"/>
      <c r="G95" s="22"/>
      <c r="H95" s="22"/>
    </row>
    <row r="96" spans="1:8" ht="18">
      <c r="A96" s="75"/>
      <c r="B96" s="76"/>
      <c r="C96" s="77"/>
      <c r="D96" s="78"/>
      <c r="E96" s="78"/>
      <c r="F96" s="79"/>
      <c r="G96" s="22"/>
      <c r="H96" s="22"/>
    </row>
    <row r="97" spans="1:8" ht="18">
      <c r="A97" s="75" t="s">
        <v>2230</v>
      </c>
      <c r="B97" s="76" t="s">
        <v>1236</v>
      </c>
      <c r="C97" s="77">
        <v>4932955</v>
      </c>
      <c r="D97" s="78" t="s">
        <v>67</v>
      </c>
      <c r="E97" s="78" t="s">
        <v>97</v>
      </c>
      <c r="F97" s="79" t="s">
        <v>15</v>
      </c>
      <c r="G97" s="22"/>
      <c r="H97" s="22" t="str">
        <f>IF($B97="","",IF($B97="TRANSCARNES","ACTIVO",IF(COUNTIF(RETIROS!E:E,$B97)=1,"PENDIENTE ELIMINAR",IF(COUNTIFS(ASIGNACIONES!$D:$D,$B97,ASIGNACIONES!$I:$I,E97,ASIGNACIONES!$H:$H,$D97,ASIGNACIONES!$K:$K,$F97)=0,"NUEVO","ACTIVO"))))</f>
        <v>ACTIVO</v>
      </c>
    </row>
    <row r="98" spans="1:8" ht="18">
      <c r="A98" s="75" t="s">
        <v>2231</v>
      </c>
      <c r="B98" s="76" t="s">
        <v>1370</v>
      </c>
      <c r="C98" s="77">
        <v>1005183907</v>
      </c>
      <c r="D98" s="78" t="s">
        <v>595</v>
      </c>
      <c r="E98" s="78" t="s">
        <v>28</v>
      </c>
      <c r="F98" s="79" t="s">
        <v>12</v>
      </c>
      <c r="G98" s="22"/>
      <c r="H98" s="22" t="str">
        <f>IF($B98="","",IF($B98="TRANSCARNES","ACTIVO",IF(COUNTIF(RETIROS!E:E,$B98)=1,"PENDIENTE ELIMINAR",IF(COUNTIFS(ASIGNACIONES!$D:$D,$B98,ASIGNACIONES!$I:$I,E98,ASIGNACIONES!$H:$H,$D98,ASIGNACIONES!$K:$K,$F98)=0,"NUEVO","ACTIVO"))))</f>
        <v>ACTIVO</v>
      </c>
    </row>
    <row r="99" spans="1:8" ht="18">
      <c r="A99" s="75" t="s">
        <v>2232</v>
      </c>
      <c r="B99" s="76" t="s">
        <v>1230</v>
      </c>
      <c r="C99" s="77">
        <v>1101211012</v>
      </c>
      <c r="D99" s="78" t="s">
        <v>38</v>
      </c>
      <c r="E99" s="78" t="s">
        <v>28</v>
      </c>
      <c r="F99" s="79" t="s">
        <v>15</v>
      </c>
      <c r="G99" s="22"/>
      <c r="H99" s="22" t="str">
        <f>IF($B99="","",IF($B99="TRANSCARNES","ACTIVO",IF(COUNTIF(RETIROS!E:E,$B99)=1,"PENDIENTE ELIMINAR",IF(COUNTIFS(ASIGNACIONES!$D:$D,$B99,ASIGNACIONES!$I:$I,E99,ASIGNACIONES!$H:$H,$D99,ASIGNACIONES!$K:$K,$F99)=0,"NUEVO","ACTIVO"))))</f>
        <v>ACTIVO</v>
      </c>
    </row>
    <row r="100" spans="1:8" ht="18">
      <c r="A100" s="75" t="s">
        <v>2233</v>
      </c>
      <c r="B100" s="76" t="s">
        <v>814</v>
      </c>
      <c r="C100" s="77" t="s">
        <v>817</v>
      </c>
      <c r="D100" s="78" t="s">
        <v>46</v>
      </c>
      <c r="E100" s="78" t="s">
        <v>28</v>
      </c>
      <c r="F100" s="79" t="s">
        <v>15</v>
      </c>
      <c r="G100" s="22"/>
      <c r="H100" s="22" t="str">
        <f>IF($B100="","",IF($B100="TRANSCARNES","ACTIVO",IF(COUNTIF(RETIROS!E:E,$B100)=1,"PENDIENTE ELIMINAR",IF(COUNTIFS(ASIGNACIONES!$D:$D,$B100,ASIGNACIONES!$I:$I,E100,ASIGNACIONES!$H:$H,$D100,ASIGNACIONES!$K:$K,$F100)=0,"NUEVO","ACTIVO"))))</f>
        <v>ACTIVO</v>
      </c>
    </row>
    <row r="101" spans="1:8" ht="18">
      <c r="A101" s="75" t="s">
        <v>2234</v>
      </c>
      <c r="B101" s="84" t="s">
        <v>1033</v>
      </c>
      <c r="C101" s="77">
        <v>1100888638</v>
      </c>
      <c r="D101" s="78" t="s">
        <v>46</v>
      </c>
      <c r="E101" s="78" t="s">
        <v>28</v>
      </c>
      <c r="F101" s="79" t="s">
        <v>15</v>
      </c>
      <c r="G101" s="22"/>
      <c r="H101" s="22" t="str">
        <f>IF($B101="","",IF($B101="TRANSCARNES","ACTIVO",IF(COUNTIF(RETIROS!E:E,$B101)=1,"PENDIENTE ELIMINAR",IF(COUNTIFS(ASIGNACIONES!$D:$D,$B101,ASIGNACIONES!$I:$I,E101,ASIGNACIONES!$H:$H,$D101,ASIGNACIONES!$K:$K,$F101)=0,"NUEVO","ACTIVO"))))</f>
        <v>ACTIVO</v>
      </c>
    </row>
    <row r="102" spans="1:8" ht="18">
      <c r="A102" s="75" t="s">
        <v>2235</v>
      </c>
      <c r="B102" s="80" t="s">
        <v>1247</v>
      </c>
      <c r="C102" s="77">
        <v>1401664</v>
      </c>
      <c r="D102" s="78" t="s">
        <v>67</v>
      </c>
      <c r="E102" s="78" t="s">
        <v>28</v>
      </c>
      <c r="F102" s="79" t="s">
        <v>15</v>
      </c>
      <c r="G102" s="22"/>
      <c r="H102" s="22" t="str">
        <f>IF($B102="","",IF($B102="TRANSCARNES","ACTIVO",IF(COUNTIF(RETIROS!E:E,$B102)=1,"PENDIENTE ELIMINAR",IF(COUNTIFS(ASIGNACIONES!$D:$D,$B102,ASIGNACIONES!$I:$I,E102,ASIGNACIONES!$H:$H,$D102,ASIGNACIONES!$K:$K,$F102)=0,"NUEVO","ACTIVO"))))</f>
        <v>ACTIVO</v>
      </c>
    </row>
    <row r="103" spans="1:8" ht="18">
      <c r="A103" s="75" t="s">
        <v>2236</v>
      </c>
      <c r="B103" s="76" t="s">
        <v>692</v>
      </c>
      <c r="C103" s="77" t="s">
        <v>696</v>
      </c>
      <c r="D103" s="78" t="s">
        <v>149</v>
      </c>
      <c r="E103" s="78" t="s">
        <v>30</v>
      </c>
      <c r="F103" s="79" t="s">
        <v>15</v>
      </c>
      <c r="G103" s="22"/>
      <c r="H103" s="22" t="str">
        <f>IF($B103="","",IF($B103="TRANSCARNES","ACTIVO",IF(COUNTIF(RETIROS!E:E,$B103)=1,"PENDIENTE ELIMINAR",IF(COUNTIFS(ASIGNACIONES!$D:$D,$B103,ASIGNACIONES!$I:$I,E103,ASIGNACIONES!$H:$H,$D103,ASIGNACIONES!$K:$K,$F103)=0,"NUEVO","ACTIVO"))))</f>
        <v>ACTIVO</v>
      </c>
    </row>
    <row r="104" spans="1:8" ht="18">
      <c r="A104" s="75" t="s">
        <v>2237</v>
      </c>
      <c r="B104" s="76" t="s">
        <v>717</v>
      </c>
      <c r="C104" s="77" t="s">
        <v>719</v>
      </c>
      <c r="D104" s="78" t="s">
        <v>67</v>
      </c>
      <c r="E104" s="78" t="s">
        <v>28</v>
      </c>
      <c r="F104" s="79" t="s">
        <v>31</v>
      </c>
      <c r="G104" s="22"/>
      <c r="H104" s="22" t="str">
        <f>IF($B104="","",IF($B104="TRANSCARNES","ACTIVO",IF(COUNTIF(RETIROS!E:E,$B104)=1,"PENDIENTE ELIMINAR",IF(COUNTIFS(ASIGNACIONES!$D:$D,$B104,ASIGNACIONES!$I:$I,E104,ASIGNACIONES!$H:$H,$D104,ASIGNACIONES!$K:$K,$F104)=0,"NUEVO","ACTIVO"))))</f>
        <v>ACTIVO</v>
      </c>
    </row>
    <row r="105" spans="1:8" ht="18">
      <c r="A105" s="75"/>
      <c r="B105" s="76"/>
      <c r="C105" s="77"/>
      <c r="D105" s="78"/>
      <c r="E105" s="78"/>
      <c r="F105" s="79"/>
      <c r="G105" s="22"/>
      <c r="H105" s="22"/>
    </row>
    <row r="106" spans="1:8" ht="18">
      <c r="A106" s="75" t="s">
        <v>2238</v>
      </c>
      <c r="B106" s="84" t="s">
        <v>1451</v>
      </c>
      <c r="C106" s="77">
        <v>1072752876</v>
      </c>
      <c r="D106" s="78" t="s">
        <v>90</v>
      </c>
      <c r="E106" s="78" t="s">
        <v>716</v>
      </c>
      <c r="F106" s="79" t="s">
        <v>12</v>
      </c>
      <c r="G106" s="22"/>
      <c r="H106" s="22" t="str">
        <f>IF($B106="","",IF($B106="TRANSCARNES","ACTIVO",IF(COUNTIF(RETIROS!E:E,$B106)=1,"PENDIENTE ELIMINAR",IF(COUNTIFS(ASIGNACIONES!$D:$D,$B106,ASIGNACIONES!$I:$I,E106,ASIGNACIONES!$H:$H,$D106,ASIGNACIONES!$K:$K,$F106)=0,"NUEVO","ACTIVO"))))</f>
        <v>ACTIVO</v>
      </c>
    </row>
    <row r="107" spans="1:8" ht="18">
      <c r="A107" s="75" t="s">
        <v>2239</v>
      </c>
      <c r="B107" s="76" t="s">
        <v>1103</v>
      </c>
      <c r="C107" s="77">
        <v>4925589</v>
      </c>
      <c r="D107" s="78" t="s">
        <v>46</v>
      </c>
      <c r="E107" s="78" t="s">
        <v>30</v>
      </c>
      <c r="F107" s="79" t="s">
        <v>15</v>
      </c>
      <c r="G107" s="22"/>
      <c r="H107" s="22" t="str">
        <f>IF($B107="","",IF($B107="TRANSCARNES","ACTIVO",IF(COUNTIF(RETIROS!E:E,$B107)=1,"PENDIENTE ELIMINAR",IF(COUNTIFS(ASIGNACIONES!$D:$D,$B107,ASIGNACIONES!$I:$I,E107,ASIGNACIONES!$H:$H,$D107,ASIGNACIONES!$K:$K,$F107)=0,"NUEVO","ACTIVO"))))</f>
        <v>ACTIVO</v>
      </c>
    </row>
    <row r="108" spans="1:8" ht="18">
      <c r="A108" s="75" t="s">
        <v>2240</v>
      </c>
      <c r="B108" s="76" t="s">
        <v>926</v>
      </c>
      <c r="C108" s="77" t="s">
        <v>927</v>
      </c>
      <c r="D108" s="78" t="s">
        <v>67</v>
      </c>
      <c r="E108" s="78" t="s">
        <v>30</v>
      </c>
      <c r="F108" s="79" t="s">
        <v>15</v>
      </c>
      <c r="G108" s="22"/>
      <c r="H108" s="22" t="str">
        <f>IF($B108="","",IF($B108="TRANSCARNES","ACTIVO",IF(COUNTIF(RETIROS!E:E,$B108)=1,"PENDIENTE ELIMINAR",IF(COUNTIFS(ASIGNACIONES!$D:$D,$B108,ASIGNACIONES!$I:$I,E108,ASIGNACIONES!$H:$H,$D108,ASIGNACIONES!$K:$K,$F108)=0,"NUEVO","ACTIVO"))))</f>
        <v>ACTIVO</v>
      </c>
    </row>
    <row r="109" spans="1:8" ht="18">
      <c r="A109" s="75"/>
      <c r="B109" s="76"/>
      <c r="C109" s="77"/>
      <c r="D109" s="78"/>
      <c r="E109" s="78"/>
      <c r="F109" s="79"/>
      <c r="G109" s="22"/>
      <c r="H109" s="22"/>
    </row>
    <row r="110" spans="1:8" ht="18">
      <c r="A110" s="75" t="s">
        <v>2241</v>
      </c>
      <c r="B110" s="76" t="s">
        <v>1268</v>
      </c>
      <c r="C110" s="77">
        <v>1056908061</v>
      </c>
      <c r="D110" s="78" t="s">
        <v>90</v>
      </c>
      <c r="E110" s="78" t="s">
        <v>48</v>
      </c>
      <c r="F110" s="79" t="s">
        <v>31</v>
      </c>
      <c r="G110" s="22"/>
      <c r="H110" s="22" t="str">
        <f>IF($B110="","",IF($B110="TRANSCARNES","ACTIVO",IF(COUNTIF(RETIROS!E:E,$B110)=1,"PENDIENTE ELIMINAR",IF(COUNTIFS(ASIGNACIONES!$D:$D,$B110,ASIGNACIONES!$I:$I,E110,ASIGNACIONES!$H:$H,$D110,ASIGNACIONES!$K:$K,$F110)=0,"NUEVO","ACTIVO"))))</f>
        <v>ACTIVO</v>
      </c>
    </row>
    <row r="111" spans="1:8" ht="18">
      <c r="A111" s="75"/>
      <c r="B111" s="76"/>
      <c r="C111" s="77"/>
      <c r="D111" s="78"/>
      <c r="E111" s="78"/>
      <c r="F111" s="79"/>
      <c r="G111" s="22"/>
      <c r="H111" s="22"/>
    </row>
    <row r="112" spans="1:8" ht="18">
      <c r="A112" s="75" t="s">
        <v>2242</v>
      </c>
      <c r="B112" s="80" t="s">
        <v>436</v>
      </c>
      <c r="C112" s="77" t="s">
        <v>439</v>
      </c>
      <c r="D112" s="78" t="s">
        <v>90</v>
      </c>
      <c r="E112" s="78" t="s">
        <v>48</v>
      </c>
      <c r="F112" s="79" t="s">
        <v>12</v>
      </c>
      <c r="G112" s="22"/>
      <c r="H112" s="22" t="str">
        <f>IF($B112="","",IF($B112="TRANSCARNES","ACTIVO",IF(COUNTIF(RETIROS!E:E,$B112)=1,"PENDIENTE ELIMINAR",IF(COUNTIFS(ASIGNACIONES!$D:$D,$B112,ASIGNACIONES!$I:$I,E112,ASIGNACIONES!$H:$H,$D112,ASIGNACIONES!$K:$K,$F112)=0,"NUEVO","ACTIVO"))))</f>
        <v>ACTIVO</v>
      </c>
    </row>
    <row r="113" spans="1:8" ht="18">
      <c r="A113" s="75" t="s">
        <v>2243</v>
      </c>
      <c r="B113" s="80" t="s">
        <v>1119</v>
      </c>
      <c r="C113" s="77">
        <v>1005386544</v>
      </c>
      <c r="D113" s="78" t="s">
        <v>38</v>
      </c>
      <c r="E113" s="78" t="s">
        <v>28</v>
      </c>
      <c r="F113" s="79" t="s">
        <v>15</v>
      </c>
      <c r="G113" s="22"/>
      <c r="H113" s="22" t="str">
        <f>IF($B113="","",IF($B113="TRANSCARNES","ACTIVO",IF(COUNTIF(RETIROS!E:E,$B113)=1,"PENDIENTE ELIMINAR",IF(COUNTIFS(ASIGNACIONES!$D:$D,$B113,ASIGNACIONES!$I:$I,E113,ASIGNACIONES!$H:$H,$D113,ASIGNACIONES!$K:$K,$F113)=0,"NUEVO","ACTIVO"))))</f>
        <v>ACTIVO</v>
      </c>
    </row>
    <row r="114" spans="1:8" ht="18">
      <c r="A114" s="75" t="s">
        <v>2244</v>
      </c>
      <c r="B114" s="76" t="s">
        <v>1153</v>
      </c>
      <c r="C114" s="77">
        <v>1007412982</v>
      </c>
      <c r="D114" s="78" t="s">
        <v>38</v>
      </c>
      <c r="E114" s="78" t="s">
        <v>28</v>
      </c>
      <c r="F114" s="79" t="s">
        <v>15</v>
      </c>
      <c r="G114" s="22"/>
      <c r="H114" s="22" t="str">
        <f>IF($B114="","",IF($B114="TRANSCARNES","ACTIVO",IF(COUNTIF(RETIROS!E:E,$B114)=1,"PENDIENTE ELIMINAR",IF(COUNTIFS(ASIGNACIONES!$D:$D,$B114,ASIGNACIONES!$I:$I,E114,ASIGNACIONES!$H:$H,$D114,ASIGNACIONES!$K:$K,$F114)=0,"NUEVO","ACTIVO"))))</f>
        <v>ACTIVO</v>
      </c>
    </row>
    <row r="115" spans="1:8" ht="18">
      <c r="A115" s="75" t="s">
        <v>2245</v>
      </c>
      <c r="B115" s="76" t="s">
        <v>640</v>
      </c>
      <c r="C115" s="77" t="s">
        <v>643</v>
      </c>
      <c r="D115" s="78" t="s">
        <v>46</v>
      </c>
      <c r="E115" s="78" t="s">
        <v>30</v>
      </c>
      <c r="F115" s="79" t="s">
        <v>15</v>
      </c>
      <c r="G115" s="22"/>
      <c r="H115" s="22" t="str">
        <f>IF($B115="","",IF($B115="TRANSCARNES","ACTIVO",IF(COUNTIF(RETIROS!E:E,$B115)=1,"PENDIENTE ELIMINAR",IF(COUNTIFS(ASIGNACIONES!$D:$D,$B115,ASIGNACIONES!$I:$I,E115,ASIGNACIONES!$H:$H,$D115,ASIGNACIONES!$K:$K,$F115)=0,"NUEVO","ACTIVO"))))</f>
        <v>ACTIVO</v>
      </c>
    </row>
    <row r="116" spans="1:8" ht="18">
      <c r="A116" s="75" t="s">
        <v>2246</v>
      </c>
      <c r="B116" s="80" t="s">
        <v>524</v>
      </c>
      <c r="C116" s="77" t="s">
        <v>527</v>
      </c>
      <c r="D116" s="78" t="s">
        <v>38</v>
      </c>
      <c r="E116" s="78" t="s">
        <v>30</v>
      </c>
      <c r="F116" s="79" t="s">
        <v>15</v>
      </c>
      <c r="G116" s="22"/>
      <c r="H116" s="22" t="str">
        <f>IF($B116="","",IF($B116="TRANSCARNES","ACTIVO",IF(COUNTIF(RETIROS!E:E,$B116)=1,"PENDIENTE ELIMINAR",IF(COUNTIFS(ASIGNACIONES!$D:$D,$B116,ASIGNACIONES!$I:$I,E116,ASIGNACIONES!$H:$H,$D116,ASIGNACIONES!$K:$K,$F116)=0,"NUEVO","ACTIVO"))))</f>
        <v>ACTIVO</v>
      </c>
    </row>
    <row r="117" spans="1:8" ht="18">
      <c r="A117" s="75" t="s">
        <v>2247</v>
      </c>
      <c r="B117" s="76" t="s">
        <v>975</v>
      </c>
      <c r="C117" s="77" t="s">
        <v>976</v>
      </c>
      <c r="D117" s="78" t="s">
        <v>67</v>
      </c>
      <c r="E117" s="78" t="s">
        <v>28</v>
      </c>
      <c r="F117" s="79" t="s">
        <v>15</v>
      </c>
      <c r="G117" s="22"/>
      <c r="H117" s="22" t="str">
        <f>IF($B117="","",IF($B117="TRANSCARNES","ACTIVO",IF(COUNTIF(RETIROS!E:E,$B117)=1,"PENDIENTE ELIMINAR",IF(COUNTIFS(ASIGNACIONES!$D:$D,$B117,ASIGNACIONES!$I:$I,E117,ASIGNACIONES!$H:$H,$D117,ASIGNACIONES!$K:$K,$F117)=0,"NUEVO","ACTIVO"))))</f>
        <v>ACTIVO</v>
      </c>
    </row>
    <row r="118" spans="1:8" ht="18">
      <c r="A118" s="87" t="s">
        <v>2248</v>
      </c>
      <c r="B118" s="76" t="s">
        <v>1142</v>
      </c>
      <c r="C118" s="77">
        <v>1005565551</v>
      </c>
      <c r="D118" s="78" t="s">
        <v>67</v>
      </c>
      <c r="E118" s="78" t="s">
        <v>48</v>
      </c>
      <c r="F118" s="79" t="s">
        <v>15</v>
      </c>
      <c r="G118" s="22"/>
      <c r="H118" s="22" t="str">
        <f>IF($B118="","",IF($B118="TRANSCARNES","ACTIVO",IF(COUNTIF(RETIROS!E:E,$B118)=1,"PENDIENTE ELIMINAR",IF(COUNTIFS(ASIGNACIONES!$D:$D,$B118,ASIGNACIONES!$I:$I,E118,ASIGNACIONES!$H:$H,$D118,ASIGNACIONES!$K:$K,$F118)=0,"NUEVO","ACTIVO"))))</f>
        <v>ACTIVO</v>
      </c>
    </row>
    <row r="119" spans="1:8" ht="18">
      <c r="A119" s="75" t="s">
        <v>2249</v>
      </c>
      <c r="B119" s="76" t="s">
        <v>841</v>
      </c>
      <c r="C119" s="77" t="s">
        <v>843</v>
      </c>
      <c r="D119" s="78" t="s">
        <v>38</v>
      </c>
      <c r="E119" s="78" t="s">
        <v>28</v>
      </c>
      <c r="F119" s="79" t="s">
        <v>15</v>
      </c>
      <c r="G119" s="22"/>
      <c r="H119" s="22" t="str">
        <f>IF($B119="","",IF($B119="TRANSCARNES","ACTIVO",IF(COUNTIF(RETIROS!E:E,$B119)=1,"PENDIENTE ELIMINAR",IF(COUNTIFS(ASIGNACIONES!$D:$D,$B119,ASIGNACIONES!$I:$I,E119,ASIGNACIONES!$H:$H,$D119,ASIGNACIONES!$K:$K,$F119)=0,"NUEVO","ACTIVO"))))</f>
        <v>ACTIVO</v>
      </c>
    </row>
    <row r="120" spans="1:8" ht="18">
      <c r="A120" s="75" t="s">
        <v>2250</v>
      </c>
      <c r="B120" s="76" t="s">
        <v>772</v>
      </c>
      <c r="C120" s="77" t="s">
        <v>774</v>
      </c>
      <c r="D120" s="78" t="s">
        <v>38</v>
      </c>
      <c r="E120" s="78" t="s">
        <v>48</v>
      </c>
      <c r="F120" s="79" t="s">
        <v>15</v>
      </c>
      <c r="G120" s="22"/>
      <c r="H120" s="22" t="str">
        <f>IF($B120="","",IF($B120="TRANSCARNES","ACTIVO",IF(COUNTIF(RETIROS!E:E,$B120)=1,"PENDIENTE ELIMINAR",IF(COUNTIFS(ASIGNACIONES!$D:$D,$B120,ASIGNACIONES!$I:$I,E120,ASIGNACIONES!$H:$H,$D120,ASIGNACIONES!$K:$K,$F120)=0,"NUEVO","ACTIVO"))))</f>
        <v>ACTIVO</v>
      </c>
    </row>
    <row r="121" spans="1:8" ht="18">
      <c r="A121" s="75" t="s">
        <v>2251</v>
      </c>
      <c r="B121" s="76" t="s">
        <v>993</v>
      </c>
      <c r="C121" s="77" t="s">
        <v>994</v>
      </c>
      <c r="D121" s="78" t="s">
        <v>67</v>
      </c>
      <c r="E121" s="78" t="s">
        <v>30</v>
      </c>
      <c r="F121" s="79" t="s">
        <v>15</v>
      </c>
      <c r="G121" s="22"/>
      <c r="H121" s="22" t="str">
        <f>IF($B121="","",IF($B121="TRANSCARNES","ACTIVO",IF(COUNTIF(RETIROS!E:E,$B121)=1,"PENDIENTE ELIMINAR",IF(COUNTIFS(ASIGNACIONES!$D:$D,$B121,ASIGNACIONES!$I:$I,E121,ASIGNACIONES!$H:$H,$D121,ASIGNACIONES!$K:$K,$F121)=0,"NUEVO","ACTIVO"))))</f>
        <v>ACTIVO</v>
      </c>
    </row>
    <row r="122" spans="1:8" ht="18">
      <c r="A122" s="75"/>
      <c r="B122" s="76"/>
      <c r="C122" s="77"/>
      <c r="D122" s="78"/>
      <c r="E122" s="78"/>
      <c r="F122" s="79"/>
      <c r="G122" s="22"/>
      <c r="H122" s="22"/>
    </row>
    <row r="123" spans="1:8" ht="18">
      <c r="A123" s="75" t="s">
        <v>180</v>
      </c>
      <c r="B123" s="76" t="s">
        <v>401</v>
      </c>
      <c r="C123" s="77" t="s">
        <v>403</v>
      </c>
      <c r="D123" s="78" t="s">
        <v>67</v>
      </c>
      <c r="E123" s="78" t="s">
        <v>28</v>
      </c>
      <c r="F123" s="79" t="s">
        <v>15</v>
      </c>
      <c r="G123" s="22"/>
      <c r="H123" s="22" t="str">
        <f>IF($B123="","",IF($B123="TRANSCARNES","ACTIVO",IF(COUNTIF(RETIROS!E:E,$B123)=1,"PENDIENTE ELIMINAR",IF(COUNTIFS(ASIGNACIONES!$D:$D,$B123,ASIGNACIONES!$I:$I,E123,ASIGNACIONES!$H:$H,$D123,ASIGNACIONES!$K:$K,$F123)=0,"NUEVO","ACTIVO"))))</f>
        <v>ACTIVO</v>
      </c>
    </row>
    <row r="124" spans="1:8" ht="18">
      <c r="A124" s="75"/>
      <c r="B124" s="76"/>
      <c r="C124" s="77"/>
      <c r="D124" s="78"/>
      <c r="E124" s="78"/>
      <c r="F124" s="79"/>
      <c r="G124" s="22"/>
      <c r="H124" s="22"/>
    </row>
    <row r="125" spans="1:8" ht="18">
      <c r="A125" s="75"/>
      <c r="B125" s="76"/>
      <c r="C125" s="77"/>
      <c r="D125" s="78"/>
      <c r="E125" s="78"/>
      <c r="F125" s="79"/>
      <c r="G125" s="22"/>
      <c r="H125" s="22"/>
    </row>
    <row r="126" spans="1:8" ht="18">
      <c r="A126" s="75" t="s">
        <v>2252</v>
      </c>
      <c r="B126" s="84" t="s">
        <v>261</v>
      </c>
      <c r="C126" s="77" t="s">
        <v>264</v>
      </c>
      <c r="D126" s="78" t="s">
        <v>38</v>
      </c>
      <c r="E126" s="78" t="s">
        <v>28</v>
      </c>
      <c r="F126" s="79" t="s">
        <v>15</v>
      </c>
      <c r="G126" s="22"/>
      <c r="H126" s="22" t="str">
        <f>IF($B126="","",IF($B126="TRANSCARNES","ACTIVO",IF(COUNTIF(RETIROS!E:E,$B126)=1,"PENDIENTE ELIMINAR",IF(COUNTIFS(ASIGNACIONES!$D:$D,$B126,ASIGNACIONES!$I:$I,E126,ASIGNACIONES!$H:$H,$D126,ASIGNACIONES!$K:$K,$F126)=0,"NUEVO","ACTIVO"))))</f>
        <v>ACTIVO</v>
      </c>
    </row>
    <row r="127" spans="1:8" ht="18">
      <c r="A127" s="75"/>
      <c r="B127" s="76"/>
      <c r="C127" s="77"/>
      <c r="D127" s="78"/>
      <c r="E127" s="78"/>
      <c r="F127" s="79"/>
      <c r="G127" s="22"/>
      <c r="H127" s="22"/>
    </row>
    <row r="128" spans="1:8" ht="18">
      <c r="A128" s="75"/>
      <c r="B128" s="76"/>
      <c r="C128" s="77"/>
      <c r="D128" s="78"/>
      <c r="E128" s="78"/>
      <c r="F128" s="79"/>
      <c r="G128" s="22"/>
      <c r="H128" s="22"/>
    </row>
    <row r="129" spans="1:8" ht="18">
      <c r="A129" s="75"/>
      <c r="B129" s="80"/>
      <c r="C129" s="77"/>
      <c r="D129" s="78"/>
      <c r="E129" s="78"/>
      <c r="F129" s="79"/>
      <c r="G129" s="22"/>
      <c r="H129" s="22"/>
    </row>
    <row r="130" spans="1:8" ht="18">
      <c r="A130" s="75" t="s">
        <v>2253</v>
      </c>
      <c r="B130" s="76" t="s">
        <v>2143</v>
      </c>
      <c r="C130" s="77">
        <v>91542227</v>
      </c>
      <c r="D130" s="78" t="s">
        <v>46</v>
      </c>
      <c r="E130" s="78" t="s">
        <v>28</v>
      </c>
      <c r="F130" s="79" t="s">
        <v>15</v>
      </c>
      <c r="G130" s="22"/>
      <c r="H130" s="22" t="str">
        <f>IF($B130="","",IF($B130="TRANSCARNES","ACTIVO",IF(COUNTIF(RETIROS!E:E,$B130)=1,"PENDIENTE ELIMINAR",IF(COUNTIFS(ASIGNACIONES!$D:$D,$B130,ASIGNACIONES!$I:$I,E130,ASIGNACIONES!$H:$H,$D130,ASIGNACIONES!$K:$K,$F130)=0,"NUEVO","ACTIVO"))))</f>
        <v>PENDIENTE ELIMINAR</v>
      </c>
    </row>
    <row r="131" spans="1:8" ht="18">
      <c r="A131" s="75"/>
      <c r="B131" s="80"/>
      <c r="C131" s="77"/>
      <c r="D131" s="78"/>
      <c r="E131" s="78"/>
      <c r="F131" s="79"/>
      <c r="G131" s="22"/>
      <c r="H131" s="22"/>
    </row>
    <row r="132" spans="1:8" ht="18">
      <c r="A132" s="75" t="s">
        <v>2254</v>
      </c>
      <c r="B132" s="76" t="s">
        <v>1653</v>
      </c>
      <c r="C132" s="77">
        <v>1095936888</v>
      </c>
      <c r="D132" s="78" t="s">
        <v>46</v>
      </c>
      <c r="E132" s="78" t="s">
        <v>48</v>
      </c>
      <c r="F132" s="79" t="s">
        <v>15</v>
      </c>
      <c r="G132" s="22"/>
      <c r="H132" s="22" t="str">
        <f>IF($B132="","",IF($B132="TRANSCARNES","ACTIVO",IF(COUNTIF(RETIROS!E:E,$B132)=1,"PENDIENTE ELIMINAR",IF(COUNTIFS(ASIGNACIONES!$D:$D,$B132,ASIGNACIONES!$I:$I,E132,ASIGNACIONES!$H:$H,$D132,ASIGNACIONES!$K:$K,$F132)=0,"NUEVO","ACTIVO"))))</f>
        <v>PENDIENTE ELIMINAR</v>
      </c>
    </row>
    <row r="133" spans="1:8" ht="18">
      <c r="A133" s="75" t="s">
        <v>325</v>
      </c>
      <c r="B133" s="80" t="s">
        <v>497</v>
      </c>
      <c r="C133" s="77" t="s">
        <v>503</v>
      </c>
      <c r="D133" s="78" t="s">
        <v>38</v>
      </c>
      <c r="E133" s="78" t="s">
        <v>28</v>
      </c>
      <c r="F133" s="79" t="s">
        <v>15</v>
      </c>
      <c r="G133" s="22"/>
      <c r="H133" s="22" t="str">
        <f>IF($B133="","",IF($B133="TRANSCARNES","ACTIVO",IF(COUNTIF(RETIROS!E:E,$B133)=1,"PENDIENTE ELIMINAR",IF(COUNTIFS(ASIGNACIONES!$D:$D,$B133,ASIGNACIONES!$I:$I,E133,ASIGNACIONES!$H:$H,$D133,ASIGNACIONES!$K:$K,$F133)=0,"NUEVO","ACTIVO"))))</f>
        <v>ACTIVO</v>
      </c>
    </row>
    <row r="134" spans="1:8" ht="18">
      <c r="A134" s="75" t="s">
        <v>2255</v>
      </c>
      <c r="B134" s="76" t="s">
        <v>1495</v>
      </c>
      <c r="C134" s="77">
        <v>5446735</v>
      </c>
      <c r="D134" s="78" t="s">
        <v>46</v>
      </c>
      <c r="E134" s="78" t="s">
        <v>28</v>
      </c>
      <c r="F134" s="79" t="s">
        <v>15</v>
      </c>
      <c r="G134" s="22"/>
      <c r="H134" s="22" t="str">
        <f>IF($B134="","",IF($B134="TRANSCARNES","ACTIVO",IF(COUNTIF(RETIROS!E:E,$B134)=1,"PENDIENTE ELIMINAR",IF(COUNTIFS(ASIGNACIONES!$D:$D,$B134,ASIGNACIONES!$I:$I,E134,ASIGNACIONES!$H:$H,$D134,ASIGNACIONES!$K:$K,$F134)=0,"NUEVO","ACTIVO"))))</f>
        <v>ACTIVO</v>
      </c>
    </row>
    <row r="135" spans="1:8" ht="18">
      <c r="A135" s="75" t="s">
        <v>2256</v>
      </c>
      <c r="B135" s="76" t="s">
        <v>1026</v>
      </c>
      <c r="C135" s="77" t="s">
        <v>1027</v>
      </c>
      <c r="D135" s="78" t="s">
        <v>38</v>
      </c>
      <c r="E135" s="78" t="s">
        <v>28</v>
      </c>
      <c r="F135" s="79" t="s">
        <v>15</v>
      </c>
      <c r="G135" s="22"/>
      <c r="H135" s="22" t="str">
        <f>IF($B135="","",IF($B135="TRANSCARNES","ACTIVO",IF(COUNTIF(RETIROS!E:E,$B135)=1,"PENDIENTE ELIMINAR",IF(COUNTIFS(ASIGNACIONES!$D:$D,$B135,ASIGNACIONES!$I:$I,E135,ASIGNACIONES!$H:$H,$D135,ASIGNACIONES!$K:$K,$F135)=0,"NUEVO","ACTIVO"))))</f>
        <v>ACTIVO</v>
      </c>
    </row>
    <row r="136" spans="1:8" ht="18">
      <c r="A136" s="75" t="s">
        <v>2257</v>
      </c>
      <c r="B136" s="76" t="s">
        <v>415</v>
      </c>
      <c r="C136" s="77" t="s">
        <v>418</v>
      </c>
      <c r="D136" s="78" t="s">
        <v>67</v>
      </c>
      <c r="E136" s="78" t="s">
        <v>30</v>
      </c>
      <c r="F136" s="79" t="s">
        <v>15</v>
      </c>
      <c r="G136" s="22"/>
      <c r="H136" s="22" t="str">
        <f>IF($B136="","",IF($B136="TRANSCARNES","ACTIVO",IF(COUNTIF(RETIROS!E:E,$B136)=1,"PENDIENTE ELIMINAR",IF(COUNTIFS(ASIGNACIONES!$D:$D,$B136,ASIGNACIONES!$I:$I,E136,ASIGNACIONES!$H:$H,$D136,ASIGNACIONES!$K:$K,$F136)=0,"NUEVO","ACTIVO"))))</f>
        <v>ACTIVO</v>
      </c>
    </row>
    <row r="137" spans="1:8" ht="18">
      <c r="A137" s="75" t="s">
        <v>2258</v>
      </c>
      <c r="B137" s="76" t="s">
        <v>1578</v>
      </c>
      <c r="C137" s="77">
        <v>1005154090</v>
      </c>
      <c r="D137" s="78" t="s">
        <v>46</v>
      </c>
      <c r="E137" s="78" t="s">
        <v>48</v>
      </c>
      <c r="F137" s="79" t="s">
        <v>15</v>
      </c>
      <c r="G137" s="22"/>
      <c r="H137" s="22" t="str">
        <f>IF($B137="","",IF($B137="TRANSCARNES","ACTIVO",IF(COUNTIF(RETIROS!E:E,$B137)=1,"PENDIENTE ELIMINAR",IF(COUNTIFS(ASIGNACIONES!$D:$D,$B137,ASIGNACIONES!$I:$I,E137,ASIGNACIONES!$H:$H,$D137,ASIGNACIONES!$K:$K,$F137)=0,"NUEVO","ACTIVO"))))</f>
        <v>ACTIVO</v>
      </c>
    </row>
    <row r="138" spans="1:8" ht="18">
      <c r="A138" s="75" t="s">
        <v>2259</v>
      </c>
      <c r="B138" s="76" t="s">
        <v>1407</v>
      </c>
      <c r="C138" s="77">
        <v>1098773861</v>
      </c>
      <c r="D138" s="78" t="s">
        <v>38</v>
      </c>
      <c r="E138" s="78" t="s">
        <v>28</v>
      </c>
      <c r="F138" s="79" t="s">
        <v>15</v>
      </c>
      <c r="G138" s="22"/>
      <c r="H138" s="22" t="str">
        <f>IF($B138="","",IF($B138="TRANSCARNES","ACTIVO",IF(COUNTIF(RETIROS!E:E,$B138)=1,"PENDIENTE ELIMINAR",IF(COUNTIFS(ASIGNACIONES!$D:$D,$B138,ASIGNACIONES!$I:$I,E138,ASIGNACIONES!$H:$H,$D138,ASIGNACIONES!$K:$K,$F138)=0,"NUEVO","ACTIVO"))))</f>
        <v>ACTIVO</v>
      </c>
    </row>
    <row r="139" spans="1:8" ht="18">
      <c r="A139" s="75"/>
      <c r="B139" s="76"/>
      <c r="C139" s="77"/>
      <c r="D139" s="78"/>
      <c r="E139" s="78"/>
      <c r="F139" s="79"/>
      <c r="G139" s="22"/>
      <c r="H139" s="22"/>
    </row>
    <row r="140" spans="1:8" ht="18">
      <c r="A140" s="75"/>
      <c r="B140" s="76"/>
      <c r="C140" s="77"/>
      <c r="D140" s="78"/>
      <c r="E140" s="78"/>
      <c r="F140" s="79"/>
      <c r="G140" s="22"/>
      <c r="H140" s="22"/>
    </row>
    <row r="141" spans="1:8" ht="18">
      <c r="A141" s="75" t="s">
        <v>2260</v>
      </c>
      <c r="B141" s="88" t="s">
        <v>1317</v>
      </c>
      <c r="C141" s="77">
        <v>1104071452</v>
      </c>
      <c r="D141" s="78" t="s">
        <v>67</v>
      </c>
      <c r="E141" s="78" t="s">
        <v>28</v>
      </c>
      <c r="F141" s="79" t="s">
        <v>15</v>
      </c>
      <c r="G141" s="22"/>
      <c r="H141" s="22" t="str">
        <f>IF($B141="","",IF($B141="TRANSCARNES","ACTIVO",IF(COUNTIF(RETIROS!E:E,$B141)=1,"PENDIENTE ELIMINAR",IF(COUNTIFS(ASIGNACIONES!$D:$D,$B141,ASIGNACIONES!$I:$I,E141,ASIGNACIONES!$H:$H,$D141,ASIGNACIONES!$K:$K,$F141)=0,"NUEVO","ACTIVO"))))</f>
        <v>ACTIVO</v>
      </c>
    </row>
    <row r="142" spans="1:8" ht="18">
      <c r="A142" s="75"/>
      <c r="B142" s="76"/>
      <c r="C142" s="77"/>
      <c r="D142" s="78"/>
      <c r="E142" s="78"/>
      <c r="F142" s="79"/>
      <c r="G142" s="22"/>
      <c r="H142" s="22"/>
    </row>
    <row r="143" spans="1:8" ht="18">
      <c r="A143" s="75" t="s">
        <v>2261</v>
      </c>
      <c r="B143" s="76" t="s">
        <v>1341</v>
      </c>
      <c r="C143" s="77">
        <v>1098721083</v>
      </c>
      <c r="D143" s="78" t="s">
        <v>46</v>
      </c>
      <c r="E143" s="78" t="s">
        <v>30</v>
      </c>
      <c r="F143" s="79" t="s">
        <v>15</v>
      </c>
      <c r="G143" s="22"/>
      <c r="H143" s="22" t="str">
        <f>IF($B143="","",IF($B143="TRANSCARNES","ACTIVO",IF(COUNTIF(RETIROS!E:E,$B143)=1,"PENDIENTE ELIMINAR",IF(COUNTIFS(ASIGNACIONES!$D:$D,$B143,ASIGNACIONES!$I:$I,E143,ASIGNACIONES!$H:$H,$D143,ASIGNACIONES!$K:$K,$F143)=0,"NUEVO","ACTIVO"))))</f>
        <v>ACTIVO</v>
      </c>
    </row>
    <row r="144" spans="1:8" ht="18">
      <c r="A144" s="75" t="s">
        <v>2262</v>
      </c>
      <c r="B144" s="76" t="s">
        <v>989</v>
      </c>
      <c r="C144" s="77" t="s">
        <v>990</v>
      </c>
      <c r="D144" s="78" t="s">
        <v>67</v>
      </c>
      <c r="E144" s="78" t="s">
        <v>30</v>
      </c>
      <c r="F144" s="79" t="s">
        <v>15</v>
      </c>
      <c r="G144" s="22"/>
      <c r="H144" s="22" t="str">
        <f>IF($B144="","",IF($B144="TRANSCARNES","ACTIVO",IF(COUNTIF(RETIROS!E:E,$B144)=1,"PENDIENTE ELIMINAR",IF(COUNTIFS(ASIGNACIONES!$D:$D,$B144,ASIGNACIONES!$I:$I,E144,ASIGNACIONES!$H:$H,$D144,ASIGNACIONES!$K:$K,$F144)=0,"NUEVO","ACTIVO"))))</f>
        <v>ACTIVO</v>
      </c>
    </row>
    <row r="145" spans="1:8" ht="18">
      <c r="A145" s="75" t="s">
        <v>2263</v>
      </c>
      <c r="B145" s="76" t="s">
        <v>1256</v>
      </c>
      <c r="C145" s="77">
        <v>1397200</v>
      </c>
      <c r="D145" s="78" t="s">
        <v>38</v>
      </c>
      <c r="E145" s="78" t="s">
        <v>28</v>
      </c>
      <c r="F145" s="79" t="s">
        <v>15</v>
      </c>
      <c r="G145" s="22"/>
      <c r="H145" s="22" t="str">
        <f>IF($B145="","",IF($B145="TRANSCARNES","ACTIVO",IF(COUNTIF(RETIROS!E:E,$B145)=1,"PENDIENTE ELIMINAR",IF(COUNTIFS(ASIGNACIONES!$D:$D,$B145,ASIGNACIONES!$I:$I,E145,ASIGNACIONES!$H:$H,$D145,ASIGNACIONES!$K:$K,$F145)=0,"NUEVO","ACTIVO"))))</f>
        <v>ACTIVO</v>
      </c>
    </row>
    <row r="146" spans="1:8" ht="18">
      <c r="A146" s="75" t="s">
        <v>2264</v>
      </c>
      <c r="B146" s="76" t="s">
        <v>1298</v>
      </c>
      <c r="C146" s="77">
        <v>1102350072</v>
      </c>
      <c r="D146" s="78" t="s">
        <v>38</v>
      </c>
      <c r="E146" s="78" t="s">
        <v>28</v>
      </c>
      <c r="F146" s="79" t="s">
        <v>15</v>
      </c>
      <c r="G146" s="22"/>
      <c r="H146" s="22" t="str">
        <f>IF($B146="","",IF($B146="TRANSCARNES","ACTIVO",IF(COUNTIF(RETIROS!E:E,$B146)=1,"PENDIENTE ELIMINAR",IF(COUNTIFS(ASIGNACIONES!$D:$D,$B146,ASIGNACIONES!$I:$I,E146,ASIGNACIONES!$H:$H,$D146,ASIGNACIONES!$K:$K,$F146)=0,"NUEVO","ACTIVO"))))</f>
        <v>ACTIVO</v>
      </c>
    </row>
    <row r="147" spans="1:8" ht="18">
      <c r="A147" s="75" t="s">
        <v>2265</v>
      </c>
      <c r="B147" s="76" t="s">
        <v>1476</v>
      </c>
      <c r="C147" s="77">
        <v>91528922</v>
      </c>
      <c r="D147" s="78" t="s">
        <v>46</v>
      </c>
      <c r="E147" s="78" t="s">
        <v>97</v>
      </c>
      <c r="F147" s="79" t="s">
        <v>15</v>
      </c>
      <c r="G147" s="22"/>
      <c r="H147" s="22" t="str">
        <f>IF($B147="","",IF($B147="TRANSCARNES","ACTIVO",IF(COUNTIF(RETIROS!E:E,$B147)=1,"PENDIENTE ELIMINAR",IF(COUNTIFS(ASIGNACIONES!$D:$D,$B147,ASIGNACIONES!$I:$I,E147,ASIGNACIONES!$H:$H,$D147,ASIGNACIONES!$K:$K,$F147)=0,"NUEVO","ACTIVO"))))</f>
        <v>ACTIVO</v>
      </c>
    </row>
    <row r="148" spans="1:8" ht="18">
      <c r="A148" s="75" t="s">
        <v>2266</v>
      </c>
      <c r="B148" s="76" t="s">
        <v>1335</v>
      </c>
      <c r="C148" s="77">
        <v>1007439822</v>
      </c>
      <c r="D148" s="78" t="s">
        <v>67</v>
      </c>
      <c r="E148" s="78" t="s">
        <v>28</v>
      </c>
      <c r="F148" s="79" t="s">
        <v>15</v>
      </c>
      <c r="G148" s="22"/>
      <c r="H148" s="22" t="str">
        <f>IF($B148="","",IF($B148="TRANSCARNES","ACTIVO",IF(COUNTIF(RETIROS!E:E,$B148)=1,"PENDIENTE ELIMINAR",IF(COUNTIFS(ASIGNACIONES!$D:$D,$B148,ASIGNACIONES!$I:$I,E148,ASIGNACIONES!$H:$H,$D148,ASIGNACIONES!$K:$K,$F148)=0,"NUEVO","ACTIVO"))))</f>
        <v>ACTIVO</v>
      </c>
    </row>
    <row r="149" spans="1:8" ht="18">
      <c r="A149" s="75"/>
      <c r="B149" s="76"/>
      <c r="C149" s="77"/>
      <c r="D149" s="78"/>
      <c r="E149" s="78"/>
      <c r="F149" s="79"/>
      <c r="G149" s="22"/>
      <c r="H149" s="22"/>
    </row>
    <row r="150" spans="1:8" ht="18">
      <c r="A150" s="75"/>
      <c r="B150" s="76"/>
      <c r="C150" s="77"/>
      <c r="D150" s="78"/>
      <c r="E150" s="78"/>
      <c r="F150" s="79"/>
      <c r="G150" s="22"/>
      <c r="H150" s="22"/>
    </row>
    <row r="151" spans="1:8" ht="18">
      <c r="A151" s="75" t="s">
        <v>2270</v>
      </c>
      <c r="B151" s="76" t="s">
        <v>729</v>
      </c>
      <c r="C151" s="77" t="s">
        <v>731</v>
      </c>
      <c r="D151" s="78" t="s">
        <v>67</v>
      </c>
      <c r="E151" s="78" t="s">
        <v>48</v>
      </c>
      <c r="F151" s="79" t="s">
        <v>15</v>
      </c>
      <c r="G151" s="22"/>
      <c r="H151" s="22" t="str">
        <f>IF($B151="","",IF($B151="TRANSCARNES","ACTIVO",IF(COUNTIF(RETIROS!E:E,$B151)=1,"PENDIENTE ELIMINAR",IF(COUNTIFS(ASIGNACIONES!$D:$D,$B151,ASIGNACIONES!$I:$I,E151,ASIGNACIONES!$H:$H,$D151,ASIGNACIONES!$K:$K,$F151)=0,"NUEVO","ACTIVO"))))</f>
        <v>ACTIVO</v>
      </c>
    </row>
    <row r="152" spans="1:8" ht="18">
      <c r="A152" s="75" t="s">
        <v>2271</v>
      </c>
      <c r="B152" s="76" t="s">
        <v>1430</v>
      </c>
      <c r="C152" s="77">
        <v>6016865</v>
      </c>
      <c r="D152" s="78" t="s">
        <v>67</v>
      </c>
      <c r="E152" s="78" t="s">
        <v>28</v>
      </c>
      <c r="F152" s="79" t="s">
        <v>15</v>
      </c>
      <c r="G152" s="22"/>
      <c r="H152" s="22" t="str">
        <f>IF($B152="","",IF($B152="TRANSCARNES","ACTIVO",IF(COUNTIF(RETIROS!E:E,$B152)=1,"PENDIENTE ELIMINAR",IF(COUNTIFS(ASIGNACIONES!$D:$D,$B152,ASIGNACIONES!$I:$I,E152,ASIGNACIONES!$H:$H,$D152,ASIGNACIONES!$K:$K,$F152)=0,"NUEVO","ACTIVO"))))</f>
        <v>ACTIVO</v>
      </c>
    </row>
    <row r="153" spans="1:8" ht="18">
      <c r="A153" s="75" t="s">
        <v>2272</v>
      </c>
      <c r="B153" s="80" t="s">
        <v>1084</v>
      </c>
      <c r="C153" s="77">
        <v>1002599899</v>
      </c>
      <c r="D153" s="78" t="s">
        <v>46</v>
      </c>
      <c r="E153" s="78" t="s">
        <v>48</v>
      </c>
      <c r="F153" s="79" t="s">
        <v>15</v>
      </c>
      <c r="G153" s="22"/>
      <c r="H153" s="22" t="str">
        <f>IF($B153="","",IF($B153="TRANSCARNES","ACTIVO",IF(COUNTIF(RETIROS!E:E,$B153)=1,"PENDIENTE ELIMINAR",IF(COUNTIFS(ASIGNACIONES!$D:$D,$B153,ASIGNACIONES!$I:$I,E153,ASIGNACIONES!$H:$H,$D153,ASIGNACIONES!$K:$K,$F153)=0,"NUEVO","ACTIVO"))))</f>
        <v>ACTIVO</v>
      </c>
    </row>
    <row r="154" spans="1:8" ht="18">
      <c r="A154" s="75"/>
      <c r="B154" s="91"/>
      <c r="C154" s="77"/>
      <c r="D154" s="78"/>
      <c r="E154" s="78"/>
      <c r="F154" s="79"/>
      <c r="G154" s="22"/>
      <c r="H154" s="22"/>
    </row>
    <row r="155" spans="1:8" ht="18">
      <c r="A155" s="75"/>
      <c r="B155" s="76"/>
      <c r="C155" s="77"/>
      <c r="D155" s="78"/>
      <c r="E155" s="78"/>
      <c r="F155" s="79"/>
      <c r="G155" s="22"/>
      <c r="H155" s="22"/>
    </row>
    <row r="156" spans="1:8" ht="18">
      <c r="A156" s="75"/>
      <c r="B156" s="76"/>
      <c r="C156" s="77"/>
      <c r="D156" s="78"/>
      <c r="E156" s="78"/>
      <c r="F156" s="79"/>
      <c r="G156" s="22"/>
      <c r="H156" s="22"/>
    </row>
    <row r="157" spans="1:8" ht="18">
      <c r="A157" s="75"/>
      <c r="B157" s="76"/>
      <c r="C157" s="77"/>
      <c r="D157" s="78"/>
      <c r="E157" s="78"/>
      <c r="F157" s="79"/>
      <c r="G157" s="22"/>
      <c r="H157" s="22"/>
    </row>
    <row r="158" spans="1:8" ht="18">
      <c r="A158" s="75" t="s">
        <v>2273</v>
      </c>
      <c r="B158" s="76" t="s">
        <v>1545</v>
      </c>
      <c r="C158" s="77">
        <v>1095956697</v>
      </c>
      <c r="D158" s="78" t="s">
        <v>67</v>
      </c>
      <c r="E158" s="78" t="s">
        <v>28</v>
      </c>
      <c r="F158" s="79" t="s">
        <v>15</v>
      </c>
      <c r="G158" s="22"/>
      <c r="H158" s="22" t="str">
        <f>IF($B158="","",IF($B158="TRANSCARNES","ACTIVO",IF(COUNTIF(RETIROS!E:E,$B158)=1,"PENDIENTE ELIMINAR",IF(COUNTIFS(ASIGNACIONES!$D:$D,$B158,ASIGNACIONES!$I:$I,E158,ASIGNACIONES!$H:$H,$D158,ASIGNACIONES!$K:$K,$F158)=0,"NUEVO","ACTIVO"))))</f>
        <v>ACTIVO</v>
      </c>
    </row>
    <row r="159" spans="1:8" ht="18">
      <c r="A159" s="75" t="s">
        <v>2274</v>
      </c>
      <c r="B159" s="76" t="s">
        <v>780</v>
      </c>
      <c r="C159" s="77" t="s">
        <v>781</v>
      </c>
      <c r="D159" s="78" t="s">
        <v>149</v>
      </c>
      <c r="E159" s="78" t="s">
        <v>30</v>
      </c>
      <c r="F159" s="79" t="s">
        <v>15</v>
      </c>
      <c r="G159" s="22"/>
      <c r="H159" s="22" t="str">
        <f>IF($B159="","",IF($B159="TRANSCARNES","ACTIVO",IF(COUNTIF(RETIROS!E:E,$B159)=1,"PENDIENTE ELIMINAR",IF(COUNTIFS(ASIGNACIONES!$D:$D,$B159,ASIGNACIONES!$I:$I,E159,ASIGNACIONES!$H:$H,$D159,ASIGNACIONES!$K:$K,$F159)=0,"NUEVO","ACTIVO"))))</f>
        <v>ACTIVO</v>
      </c>
    </row>
    <row r="160" spans="1:8" ht="18">
      <c r="A160" s="75"/>
      <c r="B160" s="76"/>
      <c r="C160" s="77"/>
      <c r="D160" s="78"/>
      <c r="E160" s="78"/>
      <c r="F160" s="79"/>
      <c r="G160" s="22"/>
      <c r="H160" s="22"/>
    </row>
    <row r="161" spans="1:8" ht="18">
      <c r="A161" s="75" t="s">
        <v>2275</v>
      </c>
      <c r="B161" s="76" t="s">
        <v>1321</v>
      </c>
      <c r="C161" s="77">
        <v>1100893914</v>
      </c>
      <c r="D161" s="78" t="s">
        <v>67</v>
      </c>
      <c r="E161" s="78" t="s">
        <v>28</v>
      </c>
      <c r="F161" s="79" t="s">
        <v>15</v>
      </c>
      <c r="G161" s="22"/>
      <c r="H161" s="22" t="str">
        <f>IF($B161="","",IF($B161="TRANSCARNES","ACTIVO",IF(COUNTIF(RETIROS!E:E,$B161)=1,"PENDIENTE ELIMINAR",IF(COUNTIFS(ASIGNACIONES!$D:$D,$B161,ASIGNACIONES!$I:$I,E161,ASIGNACIONES!$H:$H,$D161,ASIGNACIONES!$K:$K,$F161)=0,"NUEVO","ACTIVO"))))</f>
        <v>ACTIVO</v>
      </c>
    </row>
    <row r="162" spans="1:8" ht="18">
      <c r="A162" s="75" t="s">
        <v>2276</v>
      </c>
      <c r="B162" s="91" t="s">
        <v>1491</v>
      </c>
      <c r="C162" s="77">
        <v>1005340980</v>
      </c>
      <c r="D162" s="78" t="s">
        <v>46</v>
      </c>
      <c r="E162" s="78" t="s">
        <v>30</v>
      </c>
      <c r="F162" s="79" t="s">
        <v>15</v>
      </c>
      <c r="G162" s="22"/>
      <c r="H162" s="22" t="str">
        <f>IF($B162="","",IF($B162="TRANSCARNES","ACTIVO",IF(COUNTIF(RETIROS!E:E,$B162)=1,"PENDIENTE ELIMINAR",IF(COUNTIFS(ASIGNACIONES!$D:$D,$B162,ASIGNACIONES!$I:$I,E162,ASIGNACIONES!$H:$H,$D162,ASIGNACIONES!$K:$K,$F162)=0,"NUEVO","ACTIVO"))))</f>
        <v>ACTIVO</v>
      </c>
    </row>
    <row r="163" spans="1:8" ht="18">
      <c r="A163" s="75" t="s">
        <v>2277</v>
      </c>
      <c r="B163" s="76" t="s">
        <v>1017</v>
      </c>
      <c r="C163" s="77" t="s">
        <v>1018</v>
      </c>
      <c r="D163" s="78" t="s">
        <v>46</v>
      </c>
      <c r="E163" s="78" t="s">
        <v>30</v>
      </c>
      <c r="F163" s="79" t="s">
        <v>15</v>
      </c>
      <c r="G163" s="22"/>
      <c r="H163" s="22" t="str">
        <f>IF($B163="","",IF($B163="TRANSCARNES","ACTIVO",IF(COUNTIF(RETIROS!E:E,$B163)=1,"PENDIENTE ELIMINAR",IF(COUNTIFS(ASIGNACIONES!$D:$D,$B163,ASIGNACIONES!$I:$I,E163,ASIGNACIONES!$H:$H,$D163,ASIGNACIONES!$K:$K,$F163)=0,"NUEVO","ACTIVO"))))</f>
        <v>ACTIVO</v>
      </c>
    </row>
    <row r="164" spans="1:8" ht="18">
      <c r="A164" s="75" t="s">
        <v>2278</v>
      </c>
      <c r="B164" s="76" t="s">
        <v>969</v>
      </c>
      <c r="C164" s="77" t="s">
        <v>970</v>
      </c>
      <c r="D164" s="78" t="s">
        <v>38</v>
      </c>
      <c r="E164" s="78" t="s">
        <v>28</v>
      </c>
      <c r="F164" s="79" t="s">
        <v>15</v>
      </c>
      <c r="G164" s="22"/>
      <c r="H164" s="22" t="str">
        <f>IF($B164="","",IF($B164="TRANSCARNES","ACTIVO",IF(COUNTIF(RETIROS!E:E,$B164)=1,"PENDIENTE ELIMINAR",IF(COUNTIFS(ASIGNACIONES!$D:$D,$B164,ASIGNACIONES!$I:$I,E164,ASIGNACIONES!$H:$H,$D164,ASIGNACIONES!$K:$K,$F164)=0,"NUEVO","ACTIVO"))))</f>
        <v>ACTIVO</v>
      </c>
    </row>
    <row r="165" spans="1:8" ht="18">
      <c r="A165" s="75" t="s">
        <v>2279</v>
      </c>
      <c r="B165" s="76" t="s">
        <v>1222</v>
      </c>
      <c r="C165" s="77">
        <v>1095298628</v>
      </c>
      <c r="D165" s="78" t="s">
        <v>67</v>
      </c>
      <c r="E165" s="78" t="s">
        <v>30</v>
      </c>
      <c r="F165" s="79" t="s">
        <v>15</v>
      </c>
      <c r="G165" s="22"/>
      <c r="H165" s="22" t="str">
        <f>IF($B165="","",IF($B165="TRANSCARNES","ACTIVO",IF(COUNTIF(RETIROS!E:E,$B165)=1,"PENDIENTE ELIMINAR",IF(COUNTIFS(ASIGNACIONES!$D:$D,$B165,ASIGNACIONES!$I:$I,E165,ASIGNACIONES!$H:$H,$D165,ASIGNACIONES!$K:$K,$F165)=0,"NUEVO","ACTIVO"))))</f>
        <v>ACTIVO</v>
      </c>
    </row>
    <row r="166" spans="1:8" ht="18">
      <c r="A166" s="75"/>
      <c r="B166" s="76"/>
      <c r="C166" s="77"/>
      <c r="D166" s="78"/>
      <c r="E166" s="78"/>
      <c r="F166" s="79"/>
      <c r="G166" s="22"/>
      <c r="H166" s="22"/>
    </row>
    <row r="167" spans="1:8" ht="18">
      <c r="A167" s="75" t="s">
        <v>2280</v>
      </c>
      <c r="B167" s="80" t="s">
        <v>1398</v>
      </c>
      <c r="C167" s="77">
        <v>1102392032</v>
      </c>
      <c r="D167" s="78" t="s">
        <v>149</v>
      </c>
      <c r="E167" s="78" t="s">
        <v>28</v>
      </c>
      <c r="F167" s="79" t="s">
        <v>15</v>
      </c>
      <c r="G167" s="22"/>
      <c r="H167" s="22" t="str">
        <f>IF($B167="","",IF($B167="TRANSCARNES","ACTIVO",IF(COUNTIF(RETIROS!E:E,$B167)=1,"PENDIENTE ELIMINAR",IF(COUNTIFS(ASIGNACIONES!$D:$D,$B167,ASIGNACIONES!$I:$I,E167,ASIGNACIONES!$H:$H,$D167,ASIGNACIONES!$K:$K,$F167)=0,"NUEVO","ACTIVO"))))</f>
        <v>ACTIVO</v>
      </c>
    </row>
    <row r="168" spans="1:8" ht="18">
      <c r="A168" s="75" t="s">
        <v>2281</v>
      </c>
      <c r="B168" s="76" t="s">
        <v>1378</v>
      </c>
      <c r="C168" s="77">
        <v>1085098049</v>
      </c>
      <c r="D168" s="78" t="s">
        <v>149</v>
      </c>
      <c r="E168" s="78" t="s">
        <v>28</v>
      </c>
      <c r="F168" s="79" t="s">
        <v>15</v>
      </c>
      <c r="G168" s="22"/>
      <c r="H168" s="22" t="str">
        <f>IF($B168="","",IF($B168="TRANSCARNES","ACTIVO",IF(COUNTIF(RETIROS!E:E,$B168)=1,"PENDIENTE ELIMINAR",IF(COUNTIFS(ASIGNACIONES!$D:$D,$B168,ASIGNACIONES!$I:$I,E168,ASIGNACIONES!$H:$H,$D168,ASIGNACIONES!$K:$K,$F168)=0,"NUEVO","ACTIVO"))))</f>
        <v>ACTIVO</v>
      </c>
    </row>
    <row r="169" spans="1:8" ht="18">
      <c r="A169" s="75"/>
      <c r="B169" s="76"/>
      <c r="C169" s="77"/>
      <c r="D169" s="78"/>
      <c r="E169" s="78"/>
      <c r="F169" s="79"/>
      <c r="G169" s="22"/>
      <c r="H169" s="22"/>
    </row>
    <row r="170" spans="1:8" ht="18">
      <c r="A170" s="75" t="s">
        <v>2282</v>
      </c>
      <c r="B170" s="76" t="s">
        <v>1186</v>
      </c>
      <c r="C170" s="77">
        <v>4883960</v>
      </c>
      <c r="D170" s="78" t="s">
        <v>38</v>
      </c>
      <c r="E170" s="78" t="s">
        <v>28</v>
      </c>
      <c r="F170" s="79" t="s">
        <v>15</v>
      </c>
      <c r="G170" s="22"/>
      <c r="H170" s="22" t="str">
        <f>IF($B170="","",IF($B170="TRANSCARNES","ACTIVO",IF(COUNTIF(RETIROS!E:E,$B170)=1,"PENDIENTE ELIMINAR",IF(COUNTIFS(ASIGNACIONES!$D:$D,$B170,ASIGNACIONES!$I:$I,E170,ASIGNACIONES!$H:$H,$D170,ASIGNACIONES!$K:$K,$F170)=0,"NUEVO","ACTIVO"))))</f>
        <v>ACTIVO</v>
      </c>
    </row>
    <row r="171" spans="1:8" ht="18">
      <c r="A171" s="75"/>
      <c r="B171" s="76"/>
      <c r="C171" s="77"/>
      <c r="D171" s="78"/>
      <c r="E171" s="78"/>
      <c r="F171" s="79"/>
      <c r="G171" s="22"/>
      <c r="H171" s="22"/>
    </row>
    <row r="172" spans="1:8" ht="18">
      <c r="A172" s="75"/>
      <c r="B172" s="76"/>
      <c r="C172" s="77"/>
      <c r="D172" s="78"/>
      <c r="E172" s="78"/>
      <c r="F172" s="79"/>
      <c r="G172" s="22"/>
      <c r="H172" s="22"/>
    </row>
    <row r="173" spans="1:8" ht="18">
      <c r="A173" s="75"/>
      <c r="B173" s="76"/>
      <c r="C173" s="77"/>
      <c r="D173" s="78"/>
      <c r="E173" s="78"/>
      <c r="F173" s="79"/>
      <c r="G173" s="22"/>
      <c r="H173" s="22"/>
    </row>
    <row r="174" spans="1:8" ht="18">
      <c r="A174" s="75"/>
      <c r="B174" s="80"/>
      <c r="C174" s="77"/>
      <c r="D174" s="78"/>
      <c r="E174" s="78"/>
      <c r="F174" s="79"/>
      <c r="G174" s="22"/>
      <c r="H174" s="22"/>
    </row>
    <row r="175" spans="1:8" ht="18">
      <c r="A175" s="75" t="s">
        <v>2283</v>
      </c>
      <c r="B175" s="76" t="s">
        <v>1483</v>
      </c>
      <c r="C175" s="77">
        <v>1005798910</v>
      </c>
      <c r="D175" s="78" t="s">
        <v>46</v>
      </c>
      <c r="E175" s="78" t="s">
        <v>30</v>
      </c>
      <c r="F175" s="79" t="s">
        <v>15</v>
      </c>
      <c r="G175" s="22"/>
      <c r="H175" s="22" t="str">
        <f>IF($B175="","",IF($B175="TRANSCARNES","ACTIVO",IF(COUNTIF(RETIROS!E:E,$B175)=1,"PENDIENTE ELIMINAR",IF(COUNTIFS(ASIGNACIONES!$D:$D,$B175,ASIGNACIONES!$I:$I,E175,ASIGNACIONES!$H:$H,$D175,ASIGNACIONES!$K:$K,$F175)=0,"NUEVO","ACTIVO"))))</f>
        <v>ACTIVO</v>
      </c>
    </row>
    <row r="176" spans="1:8" ht="18">
      <c r="A176" s="75"/>
      <c r="B176" s="76"/>
      <c r="C176" s="77"/>
      <c r="D176" s="78"/>
      <c r="E176" s="78"/>
      <c r="F176" s="79"/>
      <c r="G176" s="22"/>
      <c r="H176" s="22"/>
    </row>
    <row r="177" spans="1:8" ht="18">
      <c r="A177" s="75"/>
      <c r="B177" s="80"/>
      <c r="C177" s="77"/>
      <c r="D177" s="78"/>
      <c r="E177" s="78"/>
      <c r="F177" s="79"/>
      <c r="G177" s="22"/>
      <c r="H177" s="22"/>
    </row>
    <row r="178" spans="1:8" ht="18">
      <c r="A178" s="75" t="s">
        <v>2284</v>
      </c>
      <c r="B178" s="76" t="s">
        <v>1351</v>
      </c>
      <c r="C178" s="77">
        <v>1067036723</v>
      </c>
      <c r="D178" s="78" t="s">
        <v>46</v>
      </c>
      <c r="E178" s="78" t="s">
        <v>97</v>
      </c>
      <c r="F178" s="79" t="s">
        <v>15</v>
      </c>
      <c r="G178" s="22"/>
      <c r="H178" s="22" t="str">
        <f>IF($B178="","",IF($B178="TRANSCARNES","ACTIVO",IF(COUNTIF(RETIROS!E:E,$B178)=1,"PENDIENTE ELIMINAR",IF(COUNTIFS(ASIGNACIONES!$D:$D,$B178,ASIGNACIONES!$I:$I,E178,ASIGNACIONES!$H:$H,$D178,ASIGNACIONES!$K:$K,$F178)=0,"NUEVO","ACTIVO"))))</f>
        <v>ACTIVO</v>
      </c>
    </row>
    <row r="179" spans="1:8" ht="18">
      <c r="A179" s="75"/>
      <c r="B179" s="76"/>
      <c r="C179" s="77"/>
      <c r="D179" s="78"/>
      <c r="E179" s="78"/>
      <c r="F179" s="79"/>
      <c r="G179" s="22"/>
      <c r="H179" s="22"/>
    </row>
    <row r="180" spans="1:8" ht="18">
      <c r="A180" s="75"/>
      <c r="B180" s="76"/>
      <c r="C180" s="77"/>
      <c r="D180" s="78"/>
      <c r="E180" s="78"/>
      <c r="F180" s="79"/>
      <c r="G180" s="22"/>
      <c r="H180" s="22"/>
    </row>
    <row r="181" spans="1:8" ht="18">
      <c r="A181" s="75"/>
      <c r="B181" s="80"/>
      <c r="C181" s="77"/>
      <c r="D181" s="78"/>
      <c r="E181" s="78"/>
      <c r="F181" s="79"/>
      <c r="G181" s="22"/>
      <c r="H181" s="22"/>
    </row>
    <row r="182" spans="1:8" ht="18">
      <c r="A182" s="75"/>
      <c r="B182" s="76"/>
      <c r="C182" s="77"/>
      <c r="D182" s="78"/>
      <c r="E182" s="78"/>
      <c r="F182" s="79"/>
      <c r="G182" s="22"/>
      <c r="H182" s="22"/>
    </row>
    <row r="183" spans="1:8" ht="18">
      <c r="A183" s="75" t="s">
        <v>2285</v>
      </c>
      <c r="B183" s="76" t="s">
        <v>1414</v>
      </c>
      <c r="C183" s="77">
        <v>1100891232</v>
      </c>
      <c r="D183" s="78" t="s">
        <v>67</v>
      </c>
      <c r="E183" s="78" t="s">
        <v>30</v>
      </c>
      <c r="F183" s="79" t="s">
        <v>15</v>
      </c>
      <c r="G183" s="22"/>
      <c r="H183" s="22" t="str">
        <f>IF($B183="","",IF($B183="TRANSCARNES","ACTIVO",IF(COUNTIF(RETIROS!E:E,$B183)=1,"PENDIENTE ELIMINAR",IF(COUNTIFS(ASIGNACIONES!$D:$D,$B183,ASIGNACIONES!$I:$I,E183,ASIGNACIONES!$H:$H,$D183,ASIGNACIONES!$K:$K,$F183)=0,"NUEVO","ACTIVO"))))</f>
        <v>ACTIVO</v>
      </c>
    </row>
    <row r="184" spans="1:8" ht="18">
      <c r="A184" s="75" t="s">
        <v>2286</v>
      </c>
      <c r="B184" s="76" t="s">
        <v>1206</v>
      </c>
      <c r="C184" s="77">
        <v>1046426818</v>
      </c>
      <c r="D184" s="78" t="s">
        <v>38</v>
      </c>
      <c r="E184" s="78" t="s">
        <v>30</v>
      </c>
      <c r="F184" s="79" t="s">
        <v>15</v>
      </c>
      <c r="G184" s="22"/>
      <c r="H184" s="22" t="str">
        <f>IF($B184="","",IF($B184="TRANSCARNES","ACTIVO",IF(COUNTIF(RETIROS!E:E,$B184)=1,"PENDIENTE ELIMINAR",IF(COUNTIFS(ASIGNACIONES!$D:$D,$B184,ASIGNACIONES!$I:$I,E184,ASIGNACIONES!$H:$H,$D184,ASIGNACIONES!$K:$K,$F184)=0,"NUEVO","ACTIVO"))))</f>
        <v>ACTIVO</v>
      </c>
    </row>
    <row r="185" spans="1:8" ht="18">
      <c r="A185" s="75" t="s">
        <v>2287</v>
      </c>
      <c r="B185" s="76" t="s">
        <v>1528</v>
      </c>
      <c r="C185" s="77">
        <v>1234340676</v>
      </c>
      <c r="D185" s="78" t="s">
        <v>149</v>
      </c>
      <c r="E185" s="78" t="s">
        <v>28</v>
      </c>
      <c r="F185" s="79" t="s">
        <v>15</v>
      </c>
      <c r="G185" s="22"/>
      <c r="H185" s="22" t="str">
        <f>IF($B185="","",IF($B185="TRANSCARNES","ACTIVO",IF(COUNTIF(RETIROS!E:E,$B185)=1,"PENDIENTE ELIMINAR",IF(COUNTIFS(ASIGNACIONES!$D:$D,$B185,ASIGNACIONES!$I:$I,E185,ASIGNACIONES!$H:$H,$D185,ASIGNACIONES!$K:$K,$F185)=0,"NUEVO","ACTIVO"))))</f>
        <v>ACTIVO</v>
      </c>
    </row>
    <row r="186" spans="1:8" ht="18">
      <c r="A186" s="75"/>
      <c r="B186" s="76"/>
      <c r="C186" s="77"/>
      <c r="D186" s="78"/>
      <c r="E186" s="78"/>
      <c r="F186" s="79"/>
      <c r="G186" s="22"/>
      <c r="H186" s="22"/>
    </row>
    <row r="187" spans="1:8" ht="18">
      <c r="A187" s="75" t="s">
        <v>2288</v>
      </c>
      <c r="B187" s="80" t="s">
        <v>1001</v>
      </c>
      <c r="C187" s="77">
        <v>1095907137</v>
      </c>
      <c r="D187" s="78" t="s">
        <v>38</v>
      </c>
      <c r="E187" s="78" t="s">
        <v>28</v>
      </c>
      <c r="F187" s="79" t="s">
        <v>15</v>
      </c>
      <c r="G187" s="22"/>
      <c r="H187" s="22" t="str">
        <f>IF($B187="","",IF($B187="TRANSCARNES","ACTIVO",IF(COUNTIF(RETIROS!E:E,$B187)=1,"PENDIENTE ELIMINAR",IF(COUNTIFS(ASIGNACIONES!$D:$D,$B187,ASIGNACIONES!$I:$I,E187,ASIGNACIONES!$H:$H,$D187,ASIGNACIONES!$K:$K,$F187)=0,"NUEVO","ACTIVO"))))</f>
        <v>ACTIVO</v>
      </c>
    </row>
    <row r="188" spans="1:8" ht="18">
      <c r="A188" s="75"/>
      <c r="B188" s="76"/>
      <c r="C188" s="77"/>
      <c r="D188" s="78"/>
      <c r="E188" s="78"/>
      <c r="F188" s="79"/>
      <c r="G188" s="22"/>
      <c r="H188" s="22"/>
    </row>
    <row r="189" spans="1:8" ht="18">
      <c r="A189" s="75" t="s">
        <v>2289</v>
      </c>
      <c r="B189" s="80" t="s">
        <v>1458</v>
      </c>
      <c r="C189" s="77">
        <v>1116811061</v>
      </c>
      <c r="D189" s="78" t="s">
        <v>46</v>
      </c>
      <c r="E189" s="78" t="s">
        <v>716</v>
      </c>
      <c r="F189" s="79" t="s">
        <v>15</v>
      </c>
      <c r="G189" s="22"/>
      <c r="H189" s="22" t="str">
        <f>IF($B189="","",IF($B189="TRANSCARNES","ACTIVO",IF(COUNTIF(RETIROS!E:E,$B189)=1,"PENDIENTE ELIMINAR",IF(COUNTIFS(ASIGNACIONES!$D:$D,$B189,ASIGNACIONES!$I:$I,E189,ASIGNACIONES!$H:$H,$D189,ASIGNACIONES!$K:$K,$F189)=0,"NUEVO","ACTIVO"))))</f>
        <v>ACTIVO</v>
      </c>
    </row>
    <row r="190" spans="1:8" ht="18">
      <c r="A190" s="75" t="s">
        <v>2291</v>
      </c>
      <c r="B190" s="76" t="s">
        <v>2150</v>
      </c>
      <c r="C190" s="77">
        <v>1063625262</v>
      </c>
      <c r="D190" s="78" t="s">
        <v>46</v>
      </c>
      <c r="E190" s="78" t="s">
        <v>28</v>
      </c>
      <c r="F190" s="79" t="s">
        <v>12</v>
      </c>
      <c r="G190" s="22"/>
      <c r="H190" s="22" t="str">
        <f>IF($B190="","",IF($B190="TRANSCARNES","ACTIVO",IF(COUNTIF(RETIROS!E:E,$B190)=1,"PENDIENTE ELIMINAR",IF(COUNTIFS(ASIGNACIONES!$D:$D,$B190,ASIGNACIONES!$I:$I,E190,ASIGNACIONES!$H:$H,$D190,ASIGNACIONES!$K:$K,$F190)=0,"NUEVO","ACTIVO"))))</f>
        <v>PENDIENTE ELIMINAR</v>
      </c>
    </row>
    <row r="191" spans="1:8" ht="18">
      <c r="A191" s="75" t="s">
        <v>2292</v>
      </c>
      <c r="B191" s="76" t="s">
        <v>1515</v>
      </c>
      <c r="C191" s="77">
        <v>1007898456</v>
      </c>
      <c r="D191" s="78" t="s">
        <v>38</v>
      </c>
      <c r="E191" s="78" t="s">
        <v>28</v>
      </c>
      <c r="F191" s="79" t="s">
        <v>15</v>
      </c>
      <c r="G191" s="22"/>
      <c r="H191" s="22" t="str">
        <f>IF($B191="","",IF($B191="TRANSCARNES","ACTIVO",IF(COUNTIF(RETIROS!E:E,$B191)=1,"PENDIENTE ELIMINAR",IF(COUNTIFS(ASIGNACIONES!$D:$D,$B191,ASIGNACIONES!$I:$I,E191,ASIGNACIONES!$H:$H,$D191,ASIGNACIONES!$K:$K,$F191)=0,"NUEVO","ACTIVO"))))</f>
        <v>ACTIVO</v>
      </c>
    </row>
    <row r="192" spans="1:8" ht="18">
      <c r="A192" s="75"/>
      <c r="B192" s="80"/>
      <c r="C192" s="77"/>
      <c r="D192" s="78"/>
      <c r="E192" s="78"/>
      <c r="F192" s="79"/>
      <c r="G192" s="22"/>
      <c r="H192" s="22"/>
    </row>
    <row r="193" spans="1:8" ht="18">
      <c r="A193" s="75" t="s">
        <v>2293</v>
      </c>
      <c r="B193" s="93" t="s">
        <v>1466</v>
      </c>
      <c r="C193" s="77">
        <v>1095835855</v>
      </c>
      <c r="D193" s="78" t="s">
        <v>90</v>
      </c>
      <c r="E193" s="78" t="s">
        <v>30</v>
      </c>
      <c r="F193" s="79" t="s">
        <v>31</v>
      </c>
      <c r="G193" s="22"/>
      <c r="H193" s="22" t="str">
        <f>IF($B193="","",IF($B193="TRANSCARNES","ACTIVO",IF(COUNTIF(RETIROS!E:E,$B193)=1,"PENDIENTE ELIMINAR",IF(COUNTIFS(ASIGNACIONES!$D:$D,$B193,ASIGNACIONES!$I:$I,E193,ASIGNACIONES!$H:$H,$D193,ASIGNACIONES!$K:$K,$F193)=0,"NUEVO","ACTIVO"))))</f>
        <v>ACTIVO</v>
      </c>
    </row>
    <row r="194" spans="1:8" ht="18">
      <c r="A194" s="75"/>
      <c r="B194" s="76"/>
      <c r="C194" s="77"/>
      <c r="D194" s="78"/>
      <c r="E194" s="78"/>
      <c r="F194" s="79"/>
      <c r="G194" s="22"/>
      <c r="H194" s="22"/>
    </row>
    <row r="195" spans="1:8" ht="18">
      <c r="A195" s="75" t="s">
        <v>2299</v>
      </c>
      <c r="B195" s="76" t="s">
        <v>1169</v>
      </c>
      <c r="C195" s="77">
        <v>1067036744</v>
      </c>
      <c r="D195" s="78" t="s">
        <v>149</v>
      </c>
      <c r="E195" s="78" t="s">
        <v>28</v>
      </c>
      <c r="F195" s="79" t="s">
        <v>15</v>
      </c>
      <c r="G195" s="22"/>
      <c r="H195" s="22" t="str">
        <f>IF($B195="","",IF($B195="TRANSCARNES","ACTIVO",IF(COUNTIF(RETIROS!E:E,$B195)=1,"PENDIENTE ELIMINAR",IF(COUNTIFS(ASIGNACIONES!$D:$D,$B195,ASIGNACIONES!$I:$I,E195,ASIGNACIONES!$H:$H,$D195,ASIGNACIONES!$K:$K,$F195)=0,"NUEVO","ACTIVO"))))</f>
        <v>ACTIVO</v>
      </c>
    </row>
    <row r="196" spans="1:8" ht="18">
      <c r="A196" s="75" t="s">
        <v>2300</v>
      </c>
      <c r="B196" s="76" t="s">
        <v>1388</v>
      </c>
      <c r="C196" s="77">
        <v>1128449677</v>
      </c>
      <c r="D196" s="78" t="s">
        <v>38</v>
      </c>
      <c r="E196" s="78" t="s">
        <v>28</v>
      </c>
      <c r="F196" s="79" t="s">
        <v>15</v>
      </c>
      <c r="G196" s="22"/>
      <c r="H196" s="22" t="str">
        <f>IF($B196="","",IF($B196="TRANSCARNES","ACTIVO",IF(COUNTIF(RETIROS!E:E,$B196)=1,"PENDIENTE ELIMINAR",IF(COUNTIFS(ASIGNACIONES!$D:$D,$B196,ASIGNACIONES!$I:$I,E196,ASIGNACIONES!$H:$H,$D196,ASIGNACIONES!$K:$K,$F196)=0,"NUEVO","ACTIVO"))))</f>
        <v>ACTIVO</v>
      </c>
    </row>
    <row r="197" spans="1:8" ht="18">
      <c r="A197" s="75"/>
      <c r="B197" s="80"/>
      <c r="C197" s="77"/>
      <c r="D197" s="78"/>
      <c r="E197" s="78"/>
      <c r="F197" s="79"/>
      <c r="G197" s="22"/>
      <c r="H197" s="22"/>
    </row>
    <row r="198" spans="1:8" ht="18">
      <c r="A198" s="75"/>
      <c r="B198" s="80"/>
      <c r="C198" s="77"/>
      <c r="D198" s="78"/>
      <c r="E198" s="78"/>
      <c r="F198" s="79"/>
      <c r="G198" s="22"/>
      <c r="H198" s="22"/>
    </row>
    <row r="199" spans="1:8" ht="18">
      <c r="A199" s="87" t="s">
        <v>2301</v>
      </c>
      <c r="B199" s="76" t="s">
        <v>1639</v>
      </c>
      <c r="C199" s="77">
        <v>1005236253</v>
      </c>
      <c r="D199" s="78" t="s">
        <v>67</v>
      </c>
      <c r="E199" s="78" t="s">
        <v>48</v>
      </c>
      <c r="F199" s="79" t="s">
        <v>15</v>
      </c>
      <c r="G199" s="22"/>
      <c r="H199" s="22" t="str">
        <f>IF($B199="","",IF($B199="TRANSCARNES","ACTIVO",IF(COUNTIF(RETIROS!E:E,$B199)=1,"PENDIENTE ELIMINAR",IF(COUNTIFS(ASIGNACIONES!$D:$D,$B199,ASIGNACIONES!$I:$I,E199,ASIGNACIONES!$H:$H,$D199,ASIGNACIONES!$K:$K,$F199)=0,"NUEVO","ACTIVO"))))</f>
        <v>ACTIVO</v>
      </c>
    </row>
    <row r="200" spans="1:8" ht="18">
      <c r="A200" s="75" t="s">
        <v>2302</v>
      </c>
      <c r="B200" s="76" t="s">
        <v>1611</v>
      </c>
      <c r="C200" s="77">
        <v>1097912307</v>
      </c>
      <c r="D200" s="78" t="s">
        <v>38</v>
      </c>
      <c r="E200" s="78" t="s">
        <v>30</v>
      </c>
      <c r="F200" s="79" t="s">
        <v>15</v>
      </c>
      <c r="G200" s="22"/>
      <c r="H200" s="22" t="str">
        <f>IF($B200="","",IF($B200="TRANSCARNES","ACTIVO",IF(COUNTIF(RETIROS!E:E,$B200)=1,"PENDIENTE ELIMINAR",IF(COUNTIFS(ASIGNACIONES!$D:$D,$B200,ASIGNACIONES!$I:$I,E200,ASIGNACIONES!$H:$H,$D200,ASIGNACIONES!$K:$K,$F200)=0,"NUEVO","ACTIVO"))))</f>
        <v>ACTIVO</v>
      </c>
    </row>
    <row r="201" spans="1:8" ht="18">
      <c r="A201" s="75"/>
      <c r="B201" s="76"/>
      <c r="C201" s="77"/>
      <c r="D201" s="78"/>
      <c r="E201" s="78"/>
      <c r="F201" s="79"/>
      <c r="G201" s="22"/>
      <c r="H201" s="22"/>
    </row>
    <row r="202" spans="1:8" ht="18">
      <c r="A202" s="75" t="s">
        <v>2303</v>
      </c>
      <c r="B202" s="76" t="s">
        <v>1587</v>
      </c>
      <c r="C202" s="77">
        <v>1096199279</v>
      </c>
      <c r="D202" s="78" t="s">
        <v>38</v>
      </c>
      <c r="E202" s="78" t="s">
        <v>30</v>
      </c>
      <c r="F202" s="79" t="s">
        <v>15</v>
      </c>
      <c r="G202" s="22"/>
      <c r="H202" s="22" t="str">
        <f>IF($B202="","",IF($B202="TRANSCARNES","ACTIVO",IF(COUNTIF(RETIROS!E:E,$B202)=1,"PENDIENTE ELIMINAR",IF(COUNTIFS(ASIGNACIONES!$D:$D,$B202,ASIGNACIONES!$I:$I,E202,ASIGNACIONES!$H:$H,$D202,ASIGNACIONES!$K:$K,$F202)=0,"NUEVO","ACTIVO"))))</f>
        <v>ACTIVO</v>
      </c>
    </row>
    <row r="203" spans="1:8" ht="18">
      <c r="A203" s="75"/>
      <c r="B203" s="76"/>
      <c r="C203" s="77"/>
      <c r="D203" s="78"/>
      <c r="E203" s="78"/>
      <c r="F203" s="79"/>
      <c r="G203" s="22"/>
      <c r="H203" s="22"/>
    </row>
    <row r="204" spans="1:8" ht="18">
      <c r="A204" s="75"/>
      <c r="B204" s="76"/>
      <c r="C204" s="77"/>
      <c r="D204" s="78"/>
      <c r="E204" s="78"/>
      <c r="F204" s="79"/>
      <c r="G204" s="22"/>
      <c r="H204" s="22"/>
    </row>
    <row r="205" spans="1:8" ht="18">
      <c r="A205" s="75"/>
      <c r="B205" s="97"/>
      <c r="C205" s="77"/>
      <c r="D205" s="78"/>
      <c r="E205" s="78"/>
      <c r="F205" s="79"/>
      <c r="G205" s="22"/>
      <c r="H205" s="22"/>
    </row>
    <row r="206" spans="1:8" ht="18">
      <c r="A206" s="75" t="s">
        <v>2304</v>
      </c>
      <c r="B206" s="76" t="s">
        <v>1595</v>
      </c>
      <c r="C206" s="77">
        <v>5393615</v>
      </c>
      <c r="D206" s="78" t="s">
        <v>149</v>
      </c>
      <c r="E206" s="78" t="s">
        <v>28</v>
      </c>
      <c r="F206" s="79" t="s">
        <v>15</v>
      </c>
      <c r="G206" s="22"/>
      <c r="H206" s="22" t="str">
        <f>IF($B206="","",IF($B206="TRANSCARNES","ACTIVO",IF(COUNTIF(RETIROS!E:E,$B206)=1,"PENDIENTE ELIMINAR",IF(COUNTIFS(ASIGNACIONES!$D:$D,$B206,ASIGNACIONES!$I:$I,E206,ASIGNACIONES!$H:$H,$D206,ASIGNACIONES!$K:$K,$F206)=0,"NUEVO","ACTIVO"))))</f>
        <v>ACTIVO</v>
      </c>
    </row>
    <row r="207" spans="1:8" ht="18">
      <c r="A207" s="75"/>
      <c r="B207" s="76"/>
      <c r="C207" s="77"/>
      <c r="D207" s="78"/>
      <c r="E207" s="78"/>
      <c r="F207" s="79"/>
      <c r="G207" s="22"/>
      <c r="H207" s="22"/>
    </row>
    <row r="208" spans="1:8" ht="18">
      <c r="A208" s="75"/>
      <c r="B208" s="76"/>
      <c r="C208" s="77"/>
      <c r="D208" s="78"/>
      <c r="E208" s="78"/>
      <c r="F208" s="79"/>
      <c r="G208" s="22"/>
      <c r="H208" s="22"/>
    </row>
    <row r="209" spans="1:8" ht="18">
      <c r="A209" s="87" t="s">
        <v>2306</v>
      </c>
      <c r="B209" s="76" t="s">
        <v>1631</v>
      </c>
      <c r="C209" s="77">
        <v>1063971816</v>
      </c>
      <c r="D209" s="78" t="s">
        <v>46</v>
      </c>
      <c r="E209" s="78" t="s">
        <v>30</v>
      </c>
      <c r="F209" s="79" t="s">
        <v>15</v>
      </c>
      <c r="G209" s="22"/>
      <c r="H209" s="22" t="str">
        <f>IF($B209="","",IF($B209="TRANSCARNES","ACTIVO",IF(COUNTIF(RETIROS!E:E,$B209)=1,"PENDIENTE ELIMINAR",IF(COUNTIFS(ASIGNACIONES!$D:$D,$B209,ASIGNACIONES!$I:$I,E209,ASIGNACIONES!$H:$H,$D209,ASIGNACIONES!$K:$K,$F209)=0,"NUEVO","ACTIVO"))))</f>
        <v>ACTIVO</v>
      </c>
    </row>
    <row r="210" spans="1:8" ht="18">
      <c r="A210" s="75"/>
      <c r="B210" s="76"/>
      <c r="C210" s="77"/>
      <c r="D210" s="78"/>
      <c r="E210" s="78"/>
      <c r="F210" s="79"/>
      <c r="G210" s="22"/>
      <c r="H210" s="22"/>
    </row>
    <row r="211" spans="1:8" ht="18">
      <c r="A211" s="75" t="s">
        <v>2307</v>
      </c>
      <c r="B211" s="80" t="s">
        <v>1648</v>
      </c>
      <c r="C211" s="77">
        <v>1010032387</v>
      </c>
      <c r="D211" s="78" t="s">
        <v>90</v>
      </c>
      <c r="E211" s="78" t="s">
        <v>30</v>
      </c>
      <c r="F211" s="79" t="s">
        <v>12</v>
      </c>
      <c r="G211" s="22"/>
      <c r="H211" s="22" t="str">
        <f>IF($B211="","",IF($B211="TRANSCARNES","ACTIVO",IF(COUNTIF(RETIROS!E:E,$B211)=1,"PENDIENTE ELIMINAR",IF(COUNTIFS(ASIGNACIONES!$D:$D,$B211,ASIGNACIONES!$I:$I,E211,ASIGNACIONES!$H:$H,$D211,ASIGNACIONES!$K:$K,$F211)=0,"NUEVO","ACTIVO"))))</f>
        <v>ACTIVO</v>
      </c>
    </row>
    <row r="212" spans="1:8" ht="18">
      <c r="A212" s="75"/>
      <c r="B212" s="76"/>
      <c r="C212" s="77"/>
      <c r="D212" s="78"/>
      <c r="E212" s="78"/>
      <c r="F212" s="79"/>
      <c r="G212" s="22"/>
      <c r="H212" s="22"/>
    </row>
    <row r="213" spans="1:8" ht="18">
      <c r="A213" s="75" t="s">
        <v>2308</v>
      </c>
      <c r="B213" s="76" t="s">
        <v>2129</v>
      </c>
      <c r="C213" s="77">
        <v>1091676205</v>
      </c>
      <c r="D213" s="78" t="s">
        <v>38</v>
      </c>
      <c r="E213" s="78" t="s">
        <v>28</v>
      </c>
      <c r="F213" s="79" t="s">
        <v>15</v>
      </c>
      <c r="G213" s="22"/>
      <c r="H213" s="22" t="str">
        <f>IF($B213="","",IF($B213="TRANSCARNES","ACTIVO",IF(COUNTIF(RETIROS!E:E,$B213)=1,"PENDIENTE ELIMINAR",IF(COUNTIFS(ASIGNACIONES!$D:$D,$B213,ASIGNACIONES!$I:$I,E213,ASIGNACIONES!$H:$H,$D213,ASIGNACIONES!$K:$K,$F213)=0,"NUEVO","ACTIVO"))))</f>
        <v>PENDIENTE ELIMINAR</v>
      </c>
    </row>
    <row r="214" spans="1:8" ht="18">
      <c r="A214" s="75" t="s">
        <v>2311</v>
      </c>
      <c r="B214" s="76" t="s">
        <v>1671</v>
      </c>
      <c r="C214" s="77">
        <v>1004501556</v>
      </c>
      <c r="D214" s="78" t="s">
        <v>149</v>
      </c>
      <c r="E214" s="78" t="s">
        <v>28</v>
      </c>
      <c r="F214" s="79" t="s">
        <v>15</v>
      </c>
      <c r="G214" s="22"/>
      <c r="H214" s="22" t="str">
        <f>IF($B214="","",IF($B214="TRANSCARNES","ACTIVO",IF(COUNTIF(RETIROS!E:E,$B214)=1,"PENDIENTE ELIMINAR",IF(COUNTIFS(ASIGNACIONES!$D:$D,$B214,ASIGNACIONES!$I:$I,E214,ASIGNACIONES!$H:$H,$D214,ASIGNACIONES!$K:$K,$F214)=0,"NUEVO","ACTIVO"))))</f>
        <v>ACTIVO</v>
      </c>
    </row>
    <row r="215" spans="1:8" ht="18">
      <c r="A215" s="75" t="s">
        <v>2312</v>
      </c>
      <c r="B215" s="76" t="s">
        <v>1681</v>
      </c>
      <c r="C215" s="77">
        <v>91047085</v>
      </c>
      <c r="D215" s="78" t="s">
        <v>67</v>
      </c>
      <c r="E215" s="78" t="s">
        <v>48</v>
      </c>
      <c r="F215" s="79" t="s">
        <v>15</v>
      </c>
      <c r="G215" s="22"/>
      <c r="H215" s="22" t="str">
        <f>IF($B215="","",IF($B215="TRANSCARNES","ACTIVO",IF(COUNTIF(RETIROS!E:E,$B215)=1,"PENDIENTE ELIMINAR",IF(COUNTIFS(ASIGNACIONES!$D:$D,$B215,ASIGNACIONES!$I:$I,E215,ASIGNACIONES!$H:$H,$D215,ASIGNACIONES!$K:$K,$F215)=0,"NUEVO","ACTIVO"))))</f>
        <v>ACTIVO</v>
      </c>
    </row>
    <row r="216" spans="1:8" ht="18">
      <c r="A216" s="75" t="s">
        <v>2313</v>
      </c>
      <c r="B216" s="80" t="s">
        <v>1690</v>
      </c>
      <c r="C216" s="77">
        <v>91468085</v>
      </c>
      <c r="D216" s="78" t="s">
        <v>67</v>
      </c>
      <c r="E216" s="78" t="s">
        <v>30</v>
      </c>
      <c r="F216" s="79" t="s">
        <v>15</v>
      </c>
      <c r="G216" s="22"/>
      <c r="H216" s="22" t="str">
        <f>IF($B216="","",IF($B216="TRANSCARNES","ACTIVO",IF(COUNTIF(RETIROS!E:E,$B216)=1,"PENDIENTE ELIMINAR",IF(COUNTIFS(ASIGNACIONES!$D:$D,$B216,ASIGNACIONES!$I:$I,E216,ASIGNACIONES!$H:$H,$D216,ASIGNACIONES!$K:$K,$F216)=0,"NUEVO","ACTIVO"))))</f>
        <v>ACTIVO</v>
      </c>
    </row>
    <row r="217" spans="1:8" ht="18">
      <c r="A217" s="75"/>
      <c r="B217" s="76"/>
      <c r="C217" s="77"/>
      <c r="D217" s="78"/>
      <c r="E217" s="78"/>
      <c r="F217" s="79"/>
      <c r="G217" s="22"/>
      <c r="H217" s="22"/>
    </row>
    <row r="218" spans="1:8" ht="18">
      <c r="A218" s="87" t="s">
        <v>2314</v>
      </c>
      <c r="B218" s="76" t="s">
        <v>1706</v>
      </c>
      <c r="C218" s="77">
        <v>1127604257</v>
      </c>
      <c r="D218" s="78" t="s">
        <v>149</v>
      </c>
      <c r="E218" s="78" t="s">
        <v>48</v>
      </c>
      <c r="F218" s="79" t="s">
        <v>15</v>
      </c>
      <c r="G218" s="22"/>
      <c r="H218" s="22" t="str">
        <f>IF($B218="","",IF($B218="TRANSCARNES","ACTIVO",IF(COUNTIF(RETIROS!E:E,$B218)=1,"PENDIENTE ELIMINAR",IF(COUNTIFS(ASIGNACIONES!$D:$D,$B218,ASIGNACIONES!$I:$I,E218,ASIGNACIONES!$H:$H,$D218,ASIGNACIONES!$K:$K,$F218)=0,"NUEVO","ACTIVO"))))</f>
        <v>ACTIVO</v>
      </c>
    </row>
    <row r="219" spans="1:8" ht="18">
      <c r="A219" s="75"/>
      <c r="B219" s="76"/>
      <c r="C219" s="77"/>
      <c r="D219" s="78"/>
      <c r="E219" s="78"/>
      <c r="F219" s="79"/>
      <c r="G219" s="22"/>
      <c r="H219" s="22"/>
    </row>
    <row r="220" spans="1:8" ht="18">
      <c r="A220" s="75" t="s">
        <v>2315</v>
      </c>
      <c r="B220" s="76" t="s">
        <v>1736</v>
      </c>
      <c r="C220" s="77">
        <v>1100220410</v>
      </c>
      <c r="D220" s="78" t="s">
        <v>149</v>
      </c>
      <c r="E220" s="78" t="s">
        <v>97</v>
      </c>
      <c r="F220" s="79" t="s">
        <v>15</v>
      </c>
      <c r="G220" s="22"/>
      <c r="H220" s="22" t="str">
        <f>IF($B220="","",IF($B220="TRANSCARNES","ACTIVO",IF(COUNTIF(RETIROS!E:E,$B220)=1,"PENDIENTE ELIMINAR",IF(COUNTIFS(ASIGNACIONES!$D:$D,$B220,ASIGNACIONES!$I:$I,E220,ASIGNACIONES!$H:$H,$D220,ASIGNACIONES!$K:$K,$F220)=0,"NUEVO","ACTIVO"))))</f>
        <v>ACTIVO</v>
      </c>
    </row>
    <row r="221" spans="1:8" ht="18">
      <c r="A221" s="75"/>
      <c r="B221" s="76"/>
      <c r="C221" s="77"/>
      <c r="D221" s="78"/>
      <c r="E221" s="78"/>
      <c r="F221" s="79"/>
      <c r="G221" s="22"/>
      <c r="H221" s="22"/>
    </row>
    <row r="222" spans="1:8" ht="18">
      <c r="A222" s="75" t="s">
        <v>2316</v>
      </c>
      <c r="B222" s="76" t="s">
        <v>1722</v>
      </c>
      <c r="C222" s="77">
        <v>1097306118</v>
      </c>
      <c r="D222" s="78" t="s">
        <v>38</v>
      </c>
      <c r="E222" s="78" t="s">
        <v>28</v>
      </c>
      <c r="F222" s="79" t="s">
        <v>15</v>
      </c>
      <c r="G222" s="22"/>
      <c r="H222" s="22" t="str">
        <f>IF($B222="","",IF($B222="TRANSCARNES","ACTIVO",IF(COUNTIF(RETIROS!E:E,$B222)=1,"PENDIENTE ELIMINAR",IF(COUNTIFS(ASIGNACIONES!$D:$D,$B222,ASIGNACIONES!$I:$I,E222,ASIGNACIONES!$H:$H,$D222,ASIGNACIONES!$K:$K,$F222)=0,"NUEVO","ACTIVO"))))</f>
        <v>ACTIVO</v>
      </c>
    </row>
    <row r="223" spans="1:8" ht="18">
      <c r="A223" s="75"/>
      <c r="B223" s="76"/>
      <c r="C223" s="77"/>
      <c r="D223" s="78"/>
      <c r="E223" s="78"/>
      <c r="F223" s="79"/>
      <c r="G223" s="22"/>
      <c r="H223" s="22"/>
    </row>
    <row r="224" spans="1:8" ht="18">
      <c r="A224" s="75"/>
      <c r="B224" s="80"/>
      <c r="C224" s="77"/>
      <c r="D224" s="78"/>
      <c r="E224" s="78"/>
      <c r="F224" s="79"/>
      <c r="G224" s="22"/>
      <c r="H224" s="22"/>
    </row>
    <row r="225" spans="1:8" ht="18">
      <c r="A225" s="75"/>
      <c r="B225" s="76"/>
      <c r="C225" s="77"/>
      <c r="D225" s="78"/>
      <c r="E225" s="78"/>
      <c r="F225" s="79"/>
      <c r="G225" s="22"/>
      <c r="H225" s="22"/>
    </row>
    <row r="226" spans="1:8" ht="18">
      <c r="A226" s="75" t="s">
        <v>2317</v>
      </c>
      <c r="B226" s="76" t="s">
        <v>1751</v>
      </c>
      <c r="C226" s="77">
        <v>1116780001</v>
      </c>
      <c r="D226" s="78" t="s">
        <v>67</v>
      </c>
      <c r="E226" s="78" t="s">
        <v>28</v>
      </c>
      <c r="F226" s="79" t="s">
        <v>15</v>
      </c>
      <c r="G226" s="22"/>
      <c r="H226" s="22" t="str">
        <f>IF($B226="","",IF($B226="TRANSCARNES","ACTIVO",IF(COUNTIF(RETIROS!E:E,$B226)=1,"PENDIENTE ELIMINAR",IF(COUNTIFS(ASIGNACIONES!$D:$D,$B226,ASIGNACIONES!$I:$I,E226,ASIGNACIONES!$H:$H,$D226,ASIGNACIONES!$K:$K,$F226)=0,"NUEVO","ACTIVO"))))</f>
        <v>ACTIVO</v>
      </c>
    </row>
    <row r="227" spans="1:8" ht="18">
      <c r="A227" s="75"/>
      <c r="B227" s="76"/>
      <c r="C227" s="77"/>
      <c r="D227" s="78"/>
      <c r="E227" s="78"/>
      <c r="F227" s="79"/>
      <c r="G227" s="22"/>
      <c r="H227" s="22"/>
    </row>
    <row r="228" spans="1:8" ht="18">
      <c r="A228" s="75"/>
      <c r="B228" s="76"/>
      <c r="C228" s="77"/>
      <c r="D228" s="78"/>
      <c r="E228" s="78"/>
      <c r="F228" s="79"/>
      <c r="G228" s="22"/>
      <c r="H228" s="22"/>
    </row>
    <row r="229" spans="1:8" ht="18">
      <c r="A229" s="75" t="s">
        <v>2319</v>
      </c>
      <c r="B229" s="76" t="s">
        <v>1767</v>
      </c>
      <c r="C229" s="77">
        <v>1098637988</v>
      </c>
      <c r="D229" s="78" t="s">
        <v>38</v>
      </c>
      <c r="E229" s="78" t="s">
        <v>28</v>
      </c>
      <c r="F229" s="79" t="s">
        <v>15</v>
      </c>
      <c r="G229" s="22"/>
      <c r="H229" s="22" t="str">
        <f>IF($B229="","",IF($B229="TRANSCARNES","ACTIVO",IF(COUNTIF(RETIROS!E:E,$B229)=1,"PENDIENTE ELIMINAR",IF(COUNTIFS(ASIGNACIONES!$D:$D,$B229,ASIGNACIONES!$I:$I,E229,ASIGNACIONES!$H:$H,$D229,ASIGNACIONES!$K:$K,$F229)=0,"NUEVO","ACTIVO"))))</f>
        <v>ACTIVO</v>
      </c>
    </row>
    <row r="230" spans="1:8" ht="18">
      <c r="A230" s="75"/>
      <c r="B230" s="76"/>
      <c r="C230" s="77"/>
      <c r="D230" s="78"/>
      <c r="E230" s="78"/>
      <c r="F230" s="79"/>
      <c r="G230" s="22"/>
      <c r="H230" s="22"/>
    </row>
    <row r="231" spans="1:8" ht="18">
      <c r="A231" s="75"/>
      <c r="B231" s="80"/>
      <c r="C231" s="77"/>
      <c r="D231" s="78"/>
      <c r="E231" s="78"/>
      <c r="F231" s="79"/>
      <c r="G231" s="22"/>
      <c r="H231" s="22"/>
    </row>
    <row r="232" spans="1:8" ht="18">
      <c r="A232" s="75"/>
      <c r="B232" s="76"/>
      <c r="C232" s="77"/>
      <c r="D232" s="78"/>
      <c r="E232" s="78"/>
      <c r="F232" s="79"/>
      <c r="G232" s="22"/>
      <c r="H232" s="22"/>
    </row>
    <row r="233" spans="1:8" ht="18">
      <c r="A233" s="75" t="s">
        <v>2321</v>
      </c>
      <c r="B233" s="80" t="s">
        <v>1790</v>
      </c>
      <c r="C233" s="77">
        <v>1099367927</v>
      </c>
      <c r="D233" s="78" t="s">
        <v>38</v>
      </c>
      <c r="E233" s="78" t="s">
        <v>28</v>
      </c>
      <c r="F233" s="79" t="s">
        <v>15</v>
      </c>
      <c r="G233" s="22"/>
      <c r="H233" s="22" t="str">
        <f>IF($B233="","",IF($B233="TRANSCARNES","ACTIVO",IF(COUNTIF(RETIROS!E:E,$B233)=1,"PENDIENTE ELIMINAR",IF(COUNTIFS(ASIGNACIONES!$D:$D,$B233,ASIGNACIONES!$I:$I,E233,ASIGNACIONES!$H:$H,$D233,ASIGNACIONES!$K:$K,$F233)=0,"NUEVO","ACTIVO"))))</f>
        <v>ACTIVO</v>
      </c>
    </row>
    <row r="234" spans="1:8" ht="18">
      <c r="A234" s="75" t="s">
        <v>2322</v>
      </c>
      <c r="B234" s="76" t="s">
        <v>1779</v>
      </c>
      <c r="C234" s="77">
        <v>1005332438</v>
      </c>
      <c r="D234" s="78" t="s">
        <v>46</v>
      </c>
      <c r="E234" s="78" t="s">
        <v>30</v>
      </c>
      <c r="F234" s="79" t="s">
        <v>15</v>
      </c>
      <c r="G234" s="22"/>
      <c r="H234" s="22" t="str">
        <f>IF($B234="","",IF($B234="TRANSCARNES","ACTIVO",IF(COUNTIF(RETIROS!E:E,$B234)=1,"PENDIENTE ELIMINAR",IF(COUNTIFS(ASIGNACIONES!$D:$D,$B234,ASIGNACIONES!$I:$I,E234,ASIGNACIONES!$H:$H,$D234,ASIGNACIONES!$K:$K,$F234)=0,"NUEVO","ACTIVO"))))</f>
        <v>ACTIVO</v>
      </c>
    </row>
    <row r="235" spans="1:8" ht="18">
      <c r="A235" s="75" t="s">
        <v>2323</v>
      </c>
      <c r="B235" s="76" t="s">
        <v>1814</v>
      </c>
      <c r="C235" s="77">
        <v>1095942198</v>
      </c>
      <c r="D235" s="78" t="s">
        <v>38</v>
      </c>
      <c r="E235" s="78" t="s">
        <v>28</v>
      </c>
      <c r="F235" s="79" t="s">
        <v>15</v>
      </c>
      <c r="G235" s="22"/>
      <c r="H235" s="22" t="str">
        <f>IF($B235="","",IF($B235="TRANSCARNES","ACTIVO",IF(COUNTIF(RETIROS!E:E,$B235)=1,"PENDIENTE ELIMINAR",IF(COUNTIFS(ASIGNACIONES!$D:$D,$B235,ASIGNACIONES!$I:$I,E235,ASIGNACIONES!$H:$H,$D235,ASIGNACIONES!$K:$K,$F235)=0,"NUEVO","ACTIVO"))))</f>
        <v>ACTIVO</v>
      </c>
    </row>
    <row r="236" spans="1:8" ht="18">
      <c r="A236" s="75"/>
      <c r="B236" s="76"/>
      <c r="C236" s="77"/>
      <c r="D236" s="78"/>
      <c r="E236" s="78"/>
      <c r="F236" s="79"/>
      <c r="G236" s="22"/>
      <c r="H236" s="22"/>
    </row>
    <row r="237" spans="1:8" ht="18">
      <c r="A237" s="75" t="s">
        <v>2325</v>
      </c>
      <c r="B237" s="76" t="s">
        <v>1898</v>
      </c>
      <c r="C237" s="77">
        <v>1005969053</v>
      </c>
      <c r="D237" s="78" t="s">
        <v>90</v>
      </c>
      <c r="E237" s="78" t="s">
        <v>30</v>
      </c>
      <c r="F237" s="79" t="s">
        <v>15</v>
      </c>
      <c r="G237" s="22"/>
      <c r="H237" s="22" t="str">
        <f>IF($B237="","",IF($B237="TRANSCARNES","ACTIVO",IF(COUNTIF(RETIROS!E:E,$B237)=1,"PENDIENTE ELIMINAR",IF(COUNTIFS(ASIGNACIONES!$D:$D,$B237,ASIGNACIONES!$I:$I,E237,ASIGNACIONES!$H:$H,$D237,ASIGNACIONES!$K:$K,$F237)=0,"NUEVO","ACTIVO"))))</f>
        <v>ACTIVO</v>
      </c>
    </row>
    <row r="238" spans="1:8" ht="18">
      <c r="A238" s="75" t="s">
        <v>2328</v>
      </c>
      <c r="B238" s="84" t="s">
        <v>1849</v>
      </c>
      <c r="C238" s="77">
        <v>1004898102</v>
      </c>
      <c r="D238" s="78" t="s">
        <v>90</v>
      </c>
      <c r="E238" s="78" t="s">
        <v>28</v>
      </c>
      <c r="F238" s="79" t="s">
        <v>12</v>
      </c>
      <c r="G238" s="22"/>
      <c r="H238" s="22" t="str">
        <f>IF($B238="","",IF($B238="TRANSCARNES","ACTIVO",IF(COUNTIF(RETIROS!E:E,$B238)=1,"PENDIENTE ELIMINAR",IF(COUNTIFS(ASIGNACIONES!$D:$D,$B238,ASIGNACIONES!$I:$I,E238,ASIGNACIONES!$H:$H,$D238,ASIGNACIONES!$K:$K,$F238)=0,"NUEVO","ACTIVO"))))</f>
        <v>ACTIVO</v>
      </c>
    </row>
    <row r="239" spans="1:8" ht="18">
      <c r="A239" s="75"/>
      <c r="B239" s="76"/>
      <c r="C239" s="77"/>
      <c r="D239" s="78"/>
      <c r="E239" s="78"/>
      <c r="F239" s="79"/>
      <c r="G239" s="22"/>
      <c r="H239" s="22"/>
    </row>
    <row r="240" spans="1:8" ht="18">
      <c r="A240" s="75"/>
      <c r="B240" s="76"/>
      <c r="C240" s="77"/>
      <c r="D240" s="78"/>
      <c r="E240" s="78"/>
      <c r="F240" s="79"/>
      <c r="G240" s="22"/>
      <c r="H240" s="22"/>
    </row>
    <row r="241" spans="1:8" ht="18">
      <c r="A241" s="75" t="s">
        <v>2329</v>
      </c>
      <c r="B241" s="76" t="s">
        <v>1915</v>
      </c>
      <c r="C241" s="77">
        <v>1091662742</v>
      </c>
      <c r="D241" s="78" t="s">
        <v>149</v>
      </c>
      <c r="E241" s="78" t="s">
        <v>28</v>
      </c>
      <c r="F241" s="79" t="s">
        <v>15</v>
      </c>
      <c r="G241" s="22"/>
      <c r="H241" s="22" t="str">
        <f>IF($B241="","",IF($B241="TRANSCARNES","ACTIVO",IF(COUNTIF(RETIROS!E:E,$B241)=1,"PENDIENTE ELIMINAR",IF(COUNTIFS(ASIGNACIONES!$D:$D,$B241,ASIGNACIONES!$I:$I,E241,ASIGNACIONES!$H:$H,$D241,ASIGNACIONES!$K:$K,$F241)=0,"NUEVO","ACTIVO"))))</f>
        <v>ACTIVO</v>
      </c>
    </row>
    <row r="242" spans="1:8" ht="18">
      <c r="A242" s="75"/>
      <c r="B242" s="76"/>
      <c r="C242" s="77"/>
      <c r="D242" s="78"/>
      <c r="E242" s="78"/>
      <c r="F242" s="79"/>
      <c r="G242" s="22"/>
      <c r="H242" s="22"/>
    </row>
    <row r="243" spans="1:8" ht="18">
      <c r="A243" s="75" t="s">
        <v>2330</v>
      </c>
      <c r="B243" s="76" t="s">
        <v>1832</v>
      </c>
      <c r="C243" s="77">
        <v>1005221207</v>
      </c>
      <c r="D243" s="78" t="s">
        <v>67</v>
      </c>
      <c r="E243" s="78" t="s">
        <v>28</v>
      </c>
      <c r="F243" s="79" t="s">
        <v>15</v>
      </c>
      <c r="G243" s="22"/>
      <c r="H243" s="22" t="str">
        <f>IF($B243="","",IF($B243="TRANSCARNES","ACTIVO",IF(COUNTIF(RETIROS!E:E,$B243)=1,"PENDIENTE ELIMINAR",IF(COUNTIFS(ASIGNACIONES!$D:$D,$B243,ASIGNACIONES!$I:$I,E243,ASIGNACIONES!$H:$H,$D243,ASIGNACIONES!$K:$K,$F243)=0,"NUEVO","ACTIVO"))))</f>
        <v>ACTIVO</v>
      </c>
    </row>
    <row r="244" spans="1:8" ht="18">
      <c r="A244" s="75"/>
      <c r="B244" s="76"/>
      <c r="C244" s="77"/>
      <c r="D244" s="78"/>
      <c r="E244" s="78"/>
      <c r="F244" s="79"/>
      <c r="G244" s="22"/>
      <c r="H244" s="22"/>
    </row>
    <row r="245" spans="1:8" ht="18">
      <c r="A245" s="75" t="s">
        <v>2331</v>
      </c>
      <c r="B245" s="80" t="s">
        <v>1824</v>
      </c>
      <c r="C245" s="77">
        <v>2420173</v>
      </c>
      <c r="D245" s="78" t="s">
        <v>38</v>
      </c>
      <c r="E245" s="78" t="s">
        <v>28</v>
      </c>
      <c r="F245" s="79" t="s">
        <v>15</v>
      </c>
      <c r="G245" s="22"/>
      <c r="H245" s="22" t="str">
        <f>IF($B245="","",IF($B245="TRANSCARNES","ACTIVO",IF(COUNTIF(RETIROS!E:E,$B245)=1,"PENDIENTE ELIMINAR",IF(COUNTIFS(ASIGNACIONES!$D:$D,$B245,ASIGNACIONES!$I:$I,E245,ASIGNACIONES!$H:$H,$D245,ASIGNACIONES!$K:$K,$F245)=0,"NUEVO","ACTIVO"))))</f>
        <v>ACTIVO</v>
      </c>
    </row>
    <row r="246" spans="1:8" ht="18">
      <c r="A246" s="75" t="s">
        <v>2332</v>
      </c>
      <c r="B246" s="76" t="s">
        <v>2185</v>
      </c>
      <c r="C246" s="77">
        <v>1098679386</v>
      </c>
      <c r="D246" s="78" t="s">
        <v>46</v>
      </c>
      <c r="E246" s="78" t="s">
        <v>28</v>
      </c>
      <c r="F246" s="79" t="s">
        <v>15</v>
      </c>
      <c r="G246" s="22"/>
      <c r="H246" s="22" t="str">
        <f>IF($B246="","",IF($B246="TRANSCARNES","ACTIVO",IF(COUNTIF(RETIROS!E:E,$B246)=1,"PENDIENTE ELIMINAR",IF(COUNTIFS(ASIGNACIONES!$D:$D,$B246,ASIGNACIONES!$I:$I,E246,ASIGNACIONES!$H:$H,$D246,ASIGNACIONES!$K:$K,$F246)=0,"NUEVO","ACTIVO"))))</f>
        <v>ACTIVO</v>
      </c>
    </row>
    <row r="247" spans="1:8" ht="18">
      <c r="A247" s="87" t="s">
        <v>2333</v>
      </c>
      <c r="B247" s="76" t="s">
        <v>1839</v>
      </c>
      <c r="C247" s="77">
        <v>1104130881</v>
      </c>
      <c r="D247" s="78" t="s">
        <v>38</v>
      </c>
      <c r="E247" s="78" t="s">
        <v>28</v>
      </c>
      <c r="F247" s="79" t="s">
        <v>15</v>
      </c>
      <c r="G247" s="22"/>
      <c r="H247" s="22" t="str">
        <f>IF($B247="","",IF($B247="TRANSCARNES","ACTIVO",IF(COUNTIF(RETIROS!E:E,$B247)=1,"PENDIENTE ELIMINAR",IF(COUNTIFS(ASIGNACIONES!$D:$D,$B247,ASIGNACIONES!$I:$I,E247,ASIGNACIONES!$H:$H,$D247,ASIGNACIONES!$K:$K,$F247)=0,"NUEVO","ACTIVO"))))</f>
        <v>ACTIVO</v>
      </c>
    </row>
    <row r="248" spans="1:8" ht="18">
      <c r="A248" s="75" t="s">
        <v>2335</v>
      </c>
      <c r="B248" s="76" t="s">
        <v>1873</v>
      </c>
      <c r="C248" s="77">
        <v>1005109725</v>
      </c>
      <c r="D248" s="78" t="s">
        <v>38</v>
      </c>
      <c r="E248" s="78" t="s">
        <v>28</v>
      </c>
      <c r="F248" s="79" t="s">
        <v>15</v>
      </c>
      <c r="G248" s="22"/>
      <c r="H248" s="22" t="str">
        <f>IF($B248="","",IF($B248="TRANSCARNES","ACTIVO",IF(COUNTIF(RETIROS!E:E,$B248)=1,"PENDIENTE ELIMINAR",IF(COUNTIFS(ASIGNACIONES!$D:$D,$B248,ASIGNACIONES!$I:$I,E248,ASIGNACIONES!$H:$H,$D248,ASIGNACIONES!$K:$K,$F248)=0,"NUEVO","ACTIVO"))))</f>
        <v>ACTIVO</v>
      </c>
    </row>
    <row r="249" spans="1:8" ht="18">
      <c r="A249" s="75" t="s">
        <v>2336</v>
      </c>
      <c r="B249" s="76" t="s">
        <v>1881</v>
      </c>
      <c r="C249" s="77">
        <v>1096538224</v>
      </c>
      <c r="D249" s="78" t="s">
        <v>67</v>
      </c>
      <c r="E249" s="78" t="s">
        <v>28</v>
      </c>
      <c r="F249" s="79" t="s">
        <v>15</v>
      </c>
      <c r="G249" s="22"/>
      <c r="H249" s="22" t="str">
        <f>IF($B249="","",IF($B249="TRANSCARNES","ACTIVO",IF(COUNTIF(RETIROS!E:E,$B249)=1,"PENDIENTE ELIMINAR",IF(COUNTIFS(ASIGNACIONES!$D:$D,$B249,ASIGNACIONES!$I:$I,E249,ASIGNACIONES!$H:$H,$D249,ASIGNACIONES!$K:$K,$F249)=0,"NUEVO","ACTIVO"))))</f>
        <v>ACTIVO</v>
      </c>
    </row>
    <row r="250" spans="1:8" ht="18">
      <c r="A250" s="75"/>
      <c r="B250" s="76"/>
      <c r="C250" s="77"/>
      <c r="D250" s="78"/>
      <c r="E250" s="78"/>
      <c r="F250" s="79"/>
      <c r="G250" s="22"/>
      <c r="H250" s="22"/>
    </row>
    <row r="251" spans="1:8" ht="18">
      <c r="A251" s="75" t="s">
        <v>2337</v>
      </c>
      <c r="B251" s="76" t="s">
        <v>1890</v>
      </c>
      <c r="C251" s="77">
        <v>1098640052</v>
      </c>
      <c r="D251" s="78" t="s">
        <v>46</v>
      </c>
      <c r="E251" s="78" t="s">
        <v>30</v>
      </c>
      <c r="F251" s="79" t="s">
        <v>15</v>
      </c>
      <c r="G251" s="22"/>
      <c r="H251" s="22" t="str">
        <f>IF($B251="","",IF($B251="TRANSCARNES","ACTIVO",IF(COUNTIF(RETIROS!E:E,$B251)=1,"PENDIENTE ELIMINAR",IF(COUNTIFS(ASIGNACIONES!$D:$D,$B251,ASIGNACIONES!$I:$I,E251,ASIGNACIONES!$H:$H,$D251,ASIGNACIONES!$K:$K,$F251)=0,"NUEVO","ACTIVO"))))</f>
        <v>ACTIVO</v>
      </c>
    </row>
    <row r="252" spans="1:8" ht="18">
      <c r="A252" s="75" t="s">
        <v>2338</v>
      </c>
      <c r="B252" s="76" t="s">
        <v>1937</v>
      </c>
      <c r="C252" s="77">
        <v>1100891168</v>
      </c>
      <c r="D252" s="78" t="s">
        <v>38</v>
      </c>
      <c r="E252" s="78" t="s">
        <v>28</v>
      </c>
      <c r="F252" s="79" t="s">
        <v>15</v>
      </c>
      <c r="G252" s="22"/>
      <c r="H252" s="22" t="str">
        <f>IF($B252="","",IF($B252="TRANSCARNES","ACTIVO",IF(COUNTIF(RETIROS!E:E,$B252)=1,"PENDIENTE ELIMINAR",IF(COUNTIFS(ASIGNACIONES!$D:$D,$B252,ASIGNACIONES!$I:$I,E252,ASIGNACIONES!$H:$H,$D252,ASIGNACIONES!$K:$K,$F252)=0,"NUEVO","ACTIVO"))))</f>
        <v>ACTIVO</v>
      </c>
    </row>
    <row r="253" spans="1:8" ht="18">
      <c r="A253" s="75" t="s">
        <v>2339</v>
      </c>
      <c r="B253" s="76" t="s">
        <v>1928</v>
      </c>
      <c r="C253" s="77">
        <v>1096252867</v>
      </c>
      <c r="D253" s="78" t="s">
        <v>90</v>
      </c>
      <c r="E253" s="78" t="s">
        <v>28</v>
      </c>
      <c r="F253" s="79" t="s">
        <v>31</v>
      </c>
      <c r="G253" s="22"/>
      <c r="H253" s="22" t="str">
        <f>IF($B253="","",IF($B253="TRANSCARNES","ACTIVO",IF(COUNTIF(RETIROS!E:E,$B253)=1,"PENDIENTE ELIMINAR",IF(COUNTIFS(ASIGNACIONES!$D:$D,$B253,ASIGNACIONES!$I:$I,E253,ASIGNACIONES!$H:$H,$D253,ASIGNACIONES!$K:$K,$F253)=0,"NUEVO","ACTIVO"))))</f>
        <v>ACTIVO</v>
      </c>
    </row>
    <row r="254" spans="1:8" ht="18">
      <c r="A254" s="75" t="s">
        <v>2340</v>
      </c>
      <c r="B254" s="76" t="s">
        <v>1942</v>
      </c>
      <c r="C254" s="77">
        <v>1095302844</v>
      </c>
      <c r="D254" s="78" t="s">
        <v>149</v>
      </c>
      <c r="E254" s="78" t="s">
        <v>48</v>
      </c>
      <c r="F254" s="79" t="s">
        <v>15</v>
      </c>
      <c r="G254" s="22"/>
      <c r="H254" s="22" t="str">
        <f>IF($B254="","",IF($B254="TRANSCARNES","ACTIVO",IF(COUNTIF(RETIROS!E:E,$B254)=1,"PENDIENTE ELIMINAR",IF(COUNTIFS(ASIGNACIONES!$D:$D,$B254,ASIGNACIONES!$I:$I,E254,ASIGNACIONES!$H:$H,$D254,ASIGNACIONES!$K:$K,$F254)=0,"NUEVO","ACTIVO"))))</f>
        <v>ACTIVO</v>
      </c>
    </row>
    <row r="255" spans="1:8" ht="18">
      <c r="A255" s="75"/>
      <c r="B255" s="76"/>
      <c r="C255" s="77"/>
      <c r="D255" s="78"/>
      <c r="E255" s="78"/>
      <c r="F255" s="79"/>
      <c r="G255" s="22"/>
      <c r="H255" s="22"/>
    </row>
    <row r="256" spans="1:8" ht="18">
      <c r="A256" s="75" t="s">
        <v>2341</v>
      </c>
      <c r="B256" s="76" t="s">
        <v>1955</v>
      </c>
      <c r="C256" s="77">
        <v>1102635593</v>
      </c>
      <c r="D256" s="78" t="s">
        <v>67</v>
      </c>
      <c r="E256" s="78" t="s">
        <v>28</v>
      </c>
      <c r="F256" s="79" t="s">
        <v>15</v>
      </c>
      <c r="G256" s="22"/>
      <c r="H256" s="22" t="str">
        <f>IF($B256="","",IF($B256="TRANSCARNES","ACTIVO",IF(COUNTIF(RETIROS!E:E,$B256)=1,"PENDIENTE ELIMINAR",IF(COUNTIFS(ASIGNACIONES!$D:$D,$B256,ASIGNACIONES!$I:$I,E256,ASIGNACIONES!$H:$H,$D256,ASIGNACIONES!$K:$K,$F256)=0,"NUEVO","ACTIVO"))))</f>
        <v>ACTIVO</v>
      </c>
    </row>
    <row r="257" spans="1:8" ht="18">
      <c r="A257" s="75" t="s">
        <v>2342</v>
      </c>
      <c r="B257" s="76" t="s">
        <v>1963</v>
      </c>
      <c r="C257" s="77">
        <v>1096802472</v>
      </c>
      <c r="D257" s="78" t="s">
        <v>67</v>
      </c>
      <c r="E257" s="78" t="s">
        <v>28</v>
      </c>
      <c r="F257" s="79" t="s">
        <v>15</v>
      </c>
      <c r="G257" s="22"/>
      <c r="H257" s="22" t="str">
        <f>IF($B257="","",IF($B257="TRANSCARNES","ACTIVO",IF(COUNTIF(RETIROS!E:E,$B257)=1,"PENDIENTE ELIMINAR",IF(COUNTIFS(ASIGNACIONES!$D:$D,$B257,ASIGNACIONES!$I:$I,E257,ASIGNACIONES!$H:$H,$D257,ASIGNACIONES!$K:$K,$F257)=0,"NUEVO","ACTIVO"))))</f>
        <v>ACTIVO</v>
      </c>
    </row>
    <row r="258" spans="1:8" ht="18">
      <c r="A258" s="75" t="s">
        <v>2343</v>
      </c>
      <c r="B258" s="76" t="s">
        <v>2107</v>
      </c>
      <c r="C258" s="77">
        <v>1005335592</v>
      </c>
      <c r="D258" s="78" t="s">
        <v>46</v>
      </c>
      <c r="E258" s="78" t="s">
        <v>30</v>
      </c>
      <c r="F258" s="79" t="s">
        <v>15</v>
      </c>
      <c r="G258" s="22"/>
      <c r="H258" s="22" t="str">
        <f>IF($B258="","",IF($B258="TRANSCARNES","ACTIVO",IF(COUNTIF(RETIROS!E:E,$B258)=1,"PENDIENTE ELIMINAR",IF(COUNTIFS(ASIGNACIONES!$D:$D,$B258,ASIGNACIONES!$I:$I,E258,ASIGNACIONES!$H:$H,$D258,ASIGNACIONES!$K:$K,$F258)=0,"NUEVO","ACTIVO"))))</f>
        <v>ACTIVO</v>
      </c>
    </row>
    <row r="259" spans="1:8" ht="18">
      <c r="A259" s="75" t="s">
        <v>2344</v>
      </c>
      <c r="B259" s="76" t="s">
        <v>1973</v>
      </c>
      <c r="C259" s="77">
        <v>1003379286</v>
      </c>
      <c r="D259" s="78" t="s">
        <v>90</v>
      </c>
      <c r="E259" s="78" t="s">
        <v>28</v>
      </c>
      <c r="F259" s="79" t="s">
        <v>31</v>
      </c>
      <c r="G259" s="22"/>
      <c r="H259" s="22" t="str">
        <f>IF($B259="","",IF($B259="TRANSCARNES","ACTIVO",IF(COUNTIF(RETIROS!E:E,$B259)=1,"PENDIENTE ELIMINAR",IF(COUNTIFS(ASIGNACIONES!$D:$D,$B259,ASIGNACIONES!$I:$I,E259,ASIGNACIONES!$H:$H,$D259,ASIGNACIONES!$K:$K,$F259)=0,"NUEVO","ACTIVO"))))</f>
        <v>ACTIVO</v>
      </c>
    </row>
    <row r="260" spans="1:8" ht="18">
      <c r="A260" s="75"/>
      <c r="B260" s="76"/>
      <c r="C260" s="77"/>
      <c r="D260" s="78"/>
      <c r="E260" s="78"/>
      <c r="F260" s="79"/>
      <c r="G260" s="22"/>
      <c r="H260" s="22"/>
    </row>
    <row r="261" spans="1:8" ht="18">
      <c r="A261" s="75" t="s">
        <v>2345</v>
      </c>
      <c r="B261" s="76" t="s">
        <v>1979</v>
      </c>
      <c r="C261" s="77">
        <v>1098685092</v>
      </c>
      <c r="D261" s="78" t="s">
        <v>67</v>
      </c>
      <c r="E261" s="78" t="s">
        <v>30</v>
      </c>
      <c r="F261" s="79" t="s">
        <v>15</v>
      </c>
      <c r="G261" s="22"/>
      <c r="H261" s="22" t="str">
        <f>IF($B261="","",IF($B261="TRANSCARNES","ACTIVO",IF(COUNTIF(RETIROS!E:E,$B261)=1,"PENDIENTE ELIMINAR",IF(COUNTIFS(ASIGNACIONES!$D:$D,$B261,ASIGNACIONES!$I:$I,E261,ASIGNACIONES!$H:$H,$D261,ASIGNACIONES!$K:$K,$F261)=0,"NUEVO","ACTIVO"))))</f>
        <v>ACTIVO</v>
      </c>
    </row>
    <row r="262" spans="1:8" ht="18">
      <c r="A262" s="75"/>
      <c r="B262" s="76"/>
      <c r="C262" s="77"/>
      <c r="D262" s="78"/>
      <c r="E262" s="78"/>
      <c r="F262" s="79"/>
      <c r="G262" s="22"/>
      <c r="H262" s="22"/>
    </row>
    <row r="263" spans="1:8" ht="18">
      <c r="A263" s="75"/>
      <c r="B263" s="76"/>
      <c r="C263" s="77"/>
      <c r="D263" s="78"/>
      <c r="E263" s="78"/>
      <c r="F263" s="79"/>
      <c r="G263" s="22"/>
      <c r="H263" s="22"/>
    </row>
    <row r="264" spans="1:8" ht="18">
      <c r="A264" s="75" t="s">
        <v>2351</v>
      </c>
      <c r="B264" s="76" t="s">
        <v>1996</v>
      </c>
      <c r="C264" s="77">
        <v>1097493532</v>
      </c>
      <c r="D264" s="78" t="s">
        <v>38</v>
      </c>
      <c r="E264" s="78" t="s">
        <v>30</v>
      </c>
      <c r="F264" s="79" t="s">
        <v>15</v>
      </c>
      <c r="G264" s="22"/>
      <c r="H264" s="22" t="str">
        <f>IF($B264="","",IF($B264="TRANSCARNES","ACTIVO",IF(COUNTIF(RETIROS!E:E,$B264)=1,"PENDIENTE ELIMINAR",IF(COUNTIFS(ASIGNACIONES!$D:$D,$B264,ASIGNACIONES!$I:$I,E264,ASIGNACIONES!$H:$H,$D264,ASIGNACIONES!$K:$K,$F264)=0,"NUEVO","ACTIVO"))))</f>
        <v>ACTIVO</v>
      </c>
    </row>
    <row r="265" spans="1:8" ht="18">
      <c r="A265" s="75" t="s">
        <v>2352</v>
      </c>
      <c r="B265" s="76" t="s">
        <v>2122</v>
      </c>
      <c r="C265" s="77">
        <v>1097492731</v>
      </c>
      <c r="D265" s="78" t="s">
        <v>38</v>
      </c>
      <c r="E265" s="78" t="s">
        <v>30</v>
      </c>
      <c r="F265" s="79" t="s">
        <v>15</v>
      </c>
      <c r="G265" s="22"/>
      <c r="H265" s="22" t="str">
        <f>IF($B265="","",IF($B265="TRANSCARNES","ACTIVO",IF(COUNTIF(RETIROS!E:E,$B265)=1,"PENDIENTE ELIMINAR",IF(COUNTIFS(ASIGNACIONES!$D:$D,$B265,ASIGNACIONES!$I:$I,E265,ASIGNACIONES!$H:$H,$D265,ASIGNACIONES!$K:$K,$F265)=0,"NUEVO","ACTIVO"))))</f>
        <v>PENDIENTE ELIMINAR</v>
      </c>
    </row>
    <row r="266" spans="1:8" ht="18">
      <c r="A266" s="75" t="s">
        <v>2353</v>
      </c>
      <c r="B266" s="76" t="s">
        <v>2004</v>
      </c>
      <c r="C266" s="77">
        <v>1007582327</v>
      </c>
      <c r="D266" s="78" t="s">
        <v>38</v>
      </c>
      <c r="E266" s="78" t="s">
        <v>28</v>
      </c>
      <c r="F266" s="79" t="s">
        <v>15</v>
      </c>
      <c r="G266" s="22"/>
      <c r="H266" s="22" t="str">
        <f>IF($B266="","",IF($B266="TRANSCARNES","ACTIVO",IF(COUNTIF(RETIROS!E:E,$B266)=1,"PENDIENTE ELIMINAR",IF(COUNTIFS(ASIGNACIONES!$D:$D,$B266,ASIGNACIONES!$I:$I,E266,ASIGNACIONES!$H:$H,$D266,ASIGNACIONES!$K:$K,$F266)=0,"NUEVO","ACTIVO"))))</f>
        <v>ACTIVO</v>
      </c>
    </row>
    <row r="267" spans="1:8" ht="18">
      <c r="A267" s="75" t="s">
        <v>2354</v>
      </c>
      <c r="B267" s="76" t="s">
        <v>2010</v>
      </c>
      <c r="C267" s="77">
        <v>1095919789</v>
      </c>
      <c r="D267" s="78" t="s">
        <v>38</v>
      </c>
      <c r="E267" s="78" t="s">
        <v>28</v>
      </c>
      <c r="F267" s="79" t="s">
        <v>15</v>
      </c>
      <c r="G267" s="22"/>
      <c r="H267" s="22" t="str">
        <f>IF($B267="","",IF($B267="TRANSCARNES","ACTIVO",IF(COUNTIF(RETIROS!E:E,$B267)=1,"PENDIENTE ELIMINAR",IF(COUNTIFS(ASIGNACIONES!$D:$D,$B267,ASIGNACIONES!$I:$I,E267,ASIGNACIONES!$H:$H,$D267,ASIGNACIONES!$K:$K,$F267)=0,"NUEVO","ACTIVO"))))</f>
        <v>ACTIVO</v>
      </c>
    </row>
    <row r="268" spans="1:8" ht="18">
      <c r="A268" s="75" t="s">
        <v>2355</v>
      </c>
      <c r="B268" s="76" t="s">
        <v>2126</v>
      </c>
      <c r="C268" s="77">
        <v>1098700316</v>
      </c>
      <c r="D268" s="78" t="s">
        <v>67</v>
      </c>
      <c r="E268" s="78" t="s">
        <v>48</v>
      </c>
      <c r="F268" s="79" t="s">
        <v>15</v>
      </c>
      <c r="G268" s="22"/>
      <c r="H268" s="22" t="str">
        <f>IF($B268="","",IF($B268="TRANSCARNES","ACTIVO",IF(COUNTIF(RETIROS!E:E,$B268)=1,"PENDIENTE ELIMINAR",IF(COUNTIFS(ASIGNACIONES!$D:$D,$B268,ASIGNACIONES!$I:$I,E268,ASIGNACIONES!$H:$H,$D268,ASIGNACIONES!$K:$K,$F268)=0,"NUEVO","ACTIVO"))))</f>
        <v>PENDIENTE ELIMINAR</v>
      </c>
    </row>
    <row r="269" spans="1:8" ht="18">
      <c r="A269" s="75" t="s">
        <v>2356</v>
      </c>
      <c r="B269" s="76" t="s">
        <v>2021</v>
      </c>
      <c r="C269" s="77">
        <v>1007679223</v>
      </c>
      <c r="D269" s="78" t="s">
        <v>67</v>
      </c>
      <c r="E269" s="78" t="s">
        <v>97</v>
      </c>
      <c r="F269" s="79" t="s">
        <v>15</v>
      </c>
      <c r="G269" s="22"/>
      <c r="H269" s="22" t="str">
        <f>IF($B269="","",IF($B269="TRANSCARNES","ACTIVO",IF(COUNTIF(RETIROS!E:E,$B269)=1,"PENDIENTE ELIMINAR",IF(COUNTIFS(ASIGNACIONES!$D:$D,$B269,ASIGNACIONES!$I:$I,E269,ASIGNACIONES!$H:$H,$D269,ASIGNACIONES!$K:$K,$F269)=0,"NUEVO","ACTIVO"))))</f>
        <v>ACTIVO</v>
      </c>
    </row>
    <row r="270" spans="1:8" ht="18">
      <c r="A270" s="75" t="s">
        <v>2357</v>
      </c>
      <c r="B270" s="76" t="s">
        <v>2026</v>
      </c>
      <c r="C270" s="77">
        <v>1098740282</v>
      </c>
      <c r="D270" s="78" t="s">
        <v>67</v>
      </c>
      <c r="E270" s="78" t="s">
        <v>28</v>
      </c>
      <c r="F270" s="79" t="s">
        <v>15</v>
      </c>
      <c r="G270" s="22"/>
      <c r="H270" s="22" t="str">
        <f>IF($B270="","",IF($B270="TRANSCARNES","ACTIVO",IF(COUNTIF(RETIROS!E:E,$B270)=1,"PENDIENTE ELIMINAR",IF(COUNTIFS(ASIGNACIONES!$D:$D,$B270,ASIGNACIONES!$I:$I,E270,ASIGNACIONES!$H:$H,$D270,ASIGNACIONES!$K:$K,$F270)=0,"NUEVO","ACTIVO"))))</f>
        <v>ACTIVO</v>
      </c>
    </row>
    <row r="271" spans="1:8" ht="18">
      <c r="A271" s="75" t="s">
        <v>2358</v>
      </c>
      <c r="B271" s="76" t="s">
        <v>2039</v>
      </c>
      <c r="C271" s="77">
        <v>1005153016</v>
      </c>
      <c r="D271" s="78" t="s">
        <v>90</v>
      </c>
      <c r="E271" s="78" t="s">
        <v>97</v>
      </c>
      <c r="F271" s="79" t="s">
        <v>31</v>
      </c>
      <c r="G271" s="22"/>
      <c r="H271" s="22" t="str">
        <f>IF($B271="","",IF($B271="TRANSCARNES","ACTIVO",IF(COUNTIF(RETIROS!E:E,$B271)=1,"PENDIENTE ELIMINAR",IF(COUNTIFS(ASIGNACIONES!$D:$D,$B271,ASIGNACIONES!$I:$I,E271,ASIGNACIONES!$H:$H,$D271,ASIGNACIONES!$K:$K,$F271)=0,"NUEVO","ACTIVO"))))</f>
        <v>ACTIVO</v>
      </c>
    </row>
    <row r="272" spans="1:8" ht="18">
      <c r="A272" s="75"/>
      <c r="B272" s="76"/>
      <c r="C272" s="77"/>
      <c r="D272" s="78"/>
      <c r="E272" s="78"/>
      <c r="F272" s="79"/>
      <c r="G272" s="22"/>
      <c r="H272" s="22"/>
    </row>
    <row r="273" spans="1:8" ht="18">
      <c r="A273" s="75" t="s">
        <v>2359</v>
      </c>
      <c r="B273" s="76" t="s">
        <v>2046</v>
      </c>
      <c r="C273" s="77">
        <v>1098812761</v>
      </c>
      <c r="D273" s="78" t="s">
        <v>149</v>
      </c>
      <c r="E273" s="78" t="s">
        <v>28</v>
      </c>
      <c r="F273" s="79" t="s">
        <v>31</v>
      </c>
      <c r="G273" s="22"/>
      <c r="H273" s="22" t="str">
        <f>IF($B273="","",IF($B273="TRANSCARNES","ACTIVO",IF(COUNTIF(RETIROS!E:E,$B273)=1,"PENDIENTE ELIMINAR",IF(COUNTIFS(ASIGNACIONES!$D:$D,$B273,ASIGNACIONES!$I:$I,E273,ASIGNACIONES!$H:$H,$D273,ASIGNACIONES!$K:$K,$F273)=0,"NUEVO","ACTIVO"))))</f>
        <v>ACTIVO</v>
      </c>
    </row>
    <row r="274" spans="1:8" ht="18">
      <c r="A274" s="75" t="s">
        <v>2360</v>
      </c>
      <c r="B274" s="76" t="s">
        <v>2146</v>
      </c>
      <c r="C274" s="77">
        <v>1104126355</v>
      </c>
      <c r="D274" s="78" t="s">
        <v>38</v>
      </c>
      <c r="E274" s="78" t="s">
        <v>28</v>
      </c>
      <c r="F274" s="79" t="s">
        <v>15</v>
      </c>
      <c r="G274" s="22"/>
      <c r="H274" s="22" t="str">
        <f>IF($B274="","",IF($B274="TRANSCARNES","ACTIVO",IF(COUNTIF(RETIROS!E:E,$B274)=1,"PENDIENTE ELIMINAR",IF(COUNTIFS(ASIGNACIONES!$D:$D,$B274,ASIGNACIONES!$I:$I,E274,ASIGNACIONES!$H:$H,$D274,ASIGNACIONES!$K:$K,$F274)=0,"NUEVO","ACTIVO"))))</f>
        <v>PENDIENTE ELIMINAR</v>
      </c>
    </row>
    <row r="275" spans="1:8" ht="18">
      <c r="A275" s="75" t="s">
        <v>2361</v>
      </c>
      <c r="B275" s="76" t="s">
        <v>2153</v>
      </c>
      <c r="C275" s="77">
        <v>1097911323</v>
      </c>
      <c r="D275" s="78" t="s">
        <v>38</v>
      </c>
      <c r="E275" s="78" t="s">
        <v>28</v>
      </c>
      <c r="F275" s="79" t="s">
        <v>15</v>
      </c>
      <c r="G275" s="22"/>
      <c r="H275" s="22" t="str">
        <f>IF($B275="","",IF($B275="TRANSCARNES","ACTIVO",IF(COUNTIF(RETIROS!E:E,$B275)=1,"PENDIENTE ELIMINAR",IF(COUNTIFS(ASIGNACIONES!$D:$D,$B275,ASIGNACIONES!$I:$I,E275,ASIGNACIONES!$H:$H,$D275,ASIGNACIONES!$K:$K,$F275)=0,"NUEVO","ACTIVO"))))</f>
        <v>PENDIENTE ELIMINAR</v>
      </c>
    </row>
    <row r="276" spans="1:8" ht="18">
      <c r="A276" s="75" t="s">
        <v>2362</v>
      </c>
      <c r="B276" s="76" t="s">
        <v>2138</v>
      </c>
      <c r="C276" s="77">
        <v>1095921866</v>
      </c>
      <c r="D276" s="78" t="s">
        <v>67</v>
      </c>
      <c r="E276" s="78" t="s">
        <v>97</v>
      </c>
      <c r="F276" s="79" t="s">
        <v>15</v>
      </c>
      <c r="G276" s="22"/>
      <c r="H276" s="22" t="str">
        <f>IF($B276="","",IF($B276="TRANSCARNES","ACTIVO",IF(COUNTIF(RETIROS!E:E,$B276)=1,"PENDIENTE ELIMINAR",IF(COUNTIFS(ASIGNACIONES!$D:$D,$B276,ASIGNACIONES!$I:$I,E276,ASIGNACIONES!$H:$H,$D276,ASIGNACIONES!$K:$K,$F276)=0,"NUEVO","ACTIVO"))))</f>
        <v>PENDIENTE ELIMINAR</v>
      </c>
    </row>
    <row r="277" spans="1:8" ht="18">
      <c r="A277" s="75" t="s">
        <v>2363</v>
      </c>
      <c r="B277" s="76" t="s">
        <v>2075</v>
      </c>
      <c r="C277" s="77">
        <v>1124521232</v>
      </c>
      <c r="D277" s="78" t="s">
        <v>149</v>
      </c>
      <c r="E277" s="78" t="s">
        <v>30</v>
      </c>
      <c r="F277" s="79" t="s">
        <v>15</v>
      </c>
      <c r="G277" s="22"/>
      <c r="H277" s="22" t="str">
        <f>IF($B277="","",IF($B277="TRANSCARNES","ACTIVO",IF(COUNTIF(RETIROS!E:E,$B277)=1,"PENDIENTE ELIMINAR",IF(COUNTIFS(ASIGNACIONES!$D:$D,$B277,ASIGNACIONES!$I:$I,E277,ASIGNACIONES!$H:$H,$D277,ASIGNACIONES!$K:$K,$F277)=0,"NUEVO","ACTIVO"))))</f>
        <v>ACTIVO</v>
      </c>
    </row>
    <row r="278" spans="1:8" ht="18">
      <c r="A278" s="75" t="s">
        <v>2364</v>
      </c>
      <c r="B278" s="76" t="s">
        <v>2082</v>
      </c>
      <c r="C278" s="77">
        <v>1005029909</v>
      </c>
      <c r="D278" s="78" t="s">
        <v>149</v>
      </c>
      <c r="E278" s="78" t="s">
        <v>28</v>
      </c>
      <c r="F278" s="79" t="s">
        <v>15</v>
      </c>
      <c r="G278" s="22"/>
      <c r="H278" s="22" t="str">
        <f>IF($B278="","",IF($B278="TRANSCARNES","ACTIVO",IF(COUNTIF(RETIROS!E:E,$B278)=1,"PENDIENTE ELIMINAR",IF(COUNTIFS(ASIGNACIONES!$D:$D,$B278,ASIGNACIONES!$I:$I,E278,ASIGNACIONES!$H:$H,$D278,ASIGNACIONES!$K:$K,$F278)=0,"NUEVO","ACTIVO"))))</f>
        <v>ACTIVO</v>
      </c>
    </row>
    <row r="279" spans="1:8" ht="18">
      <c r="A279" s="75" t="s">
        <v>2365</v>
      </c>
      <c r="B279" s="76" t="s">
        <v>2091</v>
      </c>
      <c r="C279" s="77">
        <v>1098629701</v>
      </c>
      <c r="D279" s="78" t="s">
        <v>149</v>
      </c>
      <c r="E279" s="78" t="s">
        <v>28</v>
      </c>
      <c r="F279" s="79" t="s">
        <v>15</v>
      </c>
      <c r="G279" s="22"/>
      <c r="H279" s="22" t="str">
        <f>IF($B279="","",IF($B279="TRANSCARNES","ACTIVO",IF(COUNTIF(RETIROS!E:E,$B279)=1,"PENDIENTE ELIMINAR",IF(COUNTIFS(ASIGNACIONES!$D:$D,$B279,ASIGNACIONES!$I:$I,E279,ASIGNACIONES!$H:$H,$D279,ASIGNACIONES!$K:$K,$F279)=0,"NUEVO","ACTIVO"))))</f>
        <v>ACTIVO</v>
      </c>
    </row>
    <row r="280" spans="1:8" ht="18">
      <c r="A280" s="75" t="s">
        <v>2366</v>
      </c>
      <c r="B280" s="76" t="s">
        <v>2098</v>
      </c>
      <c r="C280" s="77">
        <v>1005288253</v>
      </c>
      <c r="D280" s="78" t="s">
        <v>27</v>
      </c>
      <c r="E280" s="78" t="s">
        <v>28</v>
      </c>
      <c r="F280" s="79" t="s">
        <v>12</v>
      </c>
      <c r="G280" s="22"/>
      <c r="H280" s="22" t="str">
        <f>IF($B280="","",IF($B280="TRANSCARNES","ACTIVO",IF(COUNTIF(RETIROS!E:E,$B280)=1,"PENDIENTE ELIMINAR",IF(COUNTIFS(ASIGNACIONES!$D:$D,$B280,ASIGNACIONES!$I:$I,E280,ASIGNACIONES!$H:$H,$D280,ASIGNACIONES!$K:$K,$F280)=0,"NUEVO","ACTIVO"))))</f>
        <v>ACTIVO</v>
      </c>
    </row>
    <row r="281" spans="1:8" ht="18">
      <c r="A281" s="75" t="s">
        <v>2367</v>
      </c>
      <c r="B281" s="76" t="s">
        <v>2178</v>
      </c>
      <c r="C281" s="77">
        <v>1098695515</v>
      </c>
      <c r="D281" s="78" t="s">
        <v>27</v>
      </c>
      <c r="E281" s="78" t="s">
        <v>28</v>
      </c>
      <c r="F281" s="79" t="s">
        <v>12</v>
      </c>
      <c r="G281" s="22"/>
      <c r="H281" s="22" t="str">
        <f>IF($B281="","",IF($B281="TRANSCARNES","ACTIVO",IF(COUNTIF(RETIROS!E:E,$B281)=1,"PENDIENTE ELIMINAR",IF(COUNTIFS(ASIGNACIONES!$D:$D,$B281,ASIGNACIONES!$I:$I,E281,ASIGNACIONES!$H:$H,$D281,ASIGNACIONES!$K:$K,$F281)=0,"NUEVO","ACTIVO"))))</f>
        <v>ACTIVO</v>
      </c>
    </row>
    <row r="282" spans="1:8" ht="18">
      <c r="A282" s="75" t="s">
        <v>2368</v>
      </c>
      <c r="B282" s="76" t="s">
        <v>2176</v>
      </c>
      <c r="C282" s="77">
        <v>1099367569</v>
      </c>
      <c r="D282" s="78" t="s">
        <v>67</v>
      </c>
      <c r="E282" s="78" t="s">
        <v>28</v>
      </c>
      <c r="F282" s="79" t="s">
        <v>15</v>
      </c>
      <c r="G282" s="22"/>
      <c r="H282" s="22" t="str">
        <f>IF($B282="","",IF($B282="TRANSCARNES","ACTIVO",IF(COUNTIF(RETIROS!E:E,$B282)=1,"PENDIENTE ELIMINAR",IF(COUNTIFS(ASIGNACIONES!$D:$D,$B282,ASIGNACIONES!$I:$I,E282,ASIGNACIONES!$H:$H,$D282,ASIGNACIONES!$K:$K,$F282)=0,"NUEVO","ACTIVO"))))</f>
        <v>ACTIVO</v>
      </c>
    </row>
    <row r="283" spans="1:8" ht="18">
      <c r="A283" s="75" t="s">
        <v>2369</v>
      </c>
      <c r="B283" s="76" t="s">
        <v>2180</v>
      </c>
      <c r="C283" s="77">
        <v>1005162143</v>
      </c>
      <c r="D283" s="78" t="s">
        <v>46</v>
      </c>
      <c r="E283" s="78" t="s">
        <v>48</v>
      </c>
      <c r="F283" s="79" t="s">
        <v>15</v>
      </c>
      <c r="G283" s="22"/>
      <c r="H283" s="22" t="str">
        <f>IF($B283="","",IF($B283="TRANSCARNES","ACTIVO",IF(COUNTIF(RETIROS!E:E,$B283)=1,"PENDIENTE ELIMINAR",IF(COUNTIFS(ASIGNACIONES!$D:$D,$B283,ASIGNACIONES!$I:$I,E283,ASIGNACIONES!$H:$H,$D283,ASIGNACIONES!$K:$K,$F283)=0,"NUEVO","ACTIVO"))))</f>
        <v>ACTIVO</v>
      </c>
    </row>
    <row r="284" spans="1:8" ht="18">
      <c r="A284" s="75" t="s">
        <v>2370</v>
      </c>
      <c r="B284" s="76" t="s">
        <v>2115</v>
      </c>
      <c r="C284" s="77">
        <v>1019047323</v>
      </c>
      <c r="D284" s="78" t="s">
        <v>149</v>
      </c>
      <c r="E284" s="78" t="s">
        <v>28</v>
      </c>
      <c r="F284" s="79" t="s">
        <v>15</v>
      </c>
      <c r="G284" s="22"/>
      <c r="H284" s="22" t="str">
        <f>IF($B284="","",IF($B284="TRANSCARNES","ACTIVO",IF(COUNTIF(RETIROS!E:E,$B284)=1,"PENDIENTE ELIMINAR",IF(COUNTIFS(ASIGNACIONES!$D:$D,$B284,ASIGNACIONES!$I:$I,E284,ASIGNACIONES!$H:$H,$D284,ASIGNACIONES!$K:$K,$F284)=0,"NUEVO","ACTIVO"))))</f>
        <v>ACTIVO</v>
      </c>
    </row>
    <row r="285" spans="1:8" ht="18">
      <c r="A285" s="75" t="s">
        <v>2371</v>
      </c>
      <c r="B285" s="76" t="s">
        <v>2123</v>
      </c>
      <c r="C285" s="77">
        <v>1073321214</v>
      </c>
      <c r="D285" s="78" t="s">
        <v>38</v>
      </c>
      <c r="E285" s="78" t="s">
        <v>28</v>
      </c>
      <c r="F285" s="79" t="s">
        <v>15</v>
      </c>
      <c r="G285" s="22"/>
      <c r="H285" s="22" t="str">
        <f>IF($B285="","",IF($B285="TRANSCARNES","ACTIVO",IF(COUNTIF(RETIROS!E:E,$B285)=1,"PENDIENTE ELIMINAR",IF(COUNTIFS(ASIGNACIONES!$D:$D,$B285,ASIGNACIONES!$I:$I,E285,ASIGNACIONES!$H:$H,$D285,ASIGNACIONES!$K:$K,$F285)=0,"NUEVO","ACTIVO"))))</f>
        <v>ACTIVO</v>
      </c>
    </row>
    <row r="286" spans="1:8" ht="18">
      <c r="A286" s="75" t="s">
        <v>2372</v>
      </c>
      <c r="B286" s="76" t="s">
        <v>2182</v>
      </c>
      <c r="C286" s="77">
        <v>91182404</v>
      </c>
      <c r="D286" s="78" t="s">
        <v>46</v>
      </c>
      <c r="E286" s="78" t="s">
        <v>716</v>
      </c>
      <c r="F286" s="79" t="s">
        <v>12</v>
      </c>
      <c r="G286" s="22"/>
      <c r="H286" s="22" t="str">
        <f>IF($B286="","",IF($B286="TRANSCARNES","ACTIVO",IF(COUNTIF(RETIROS!E:E,$B286)=1,"PENDIENTE ELIMINAR",IF(COUNTIFS(ASIGNACIONES!$D:$D,$B286,ASIGNACIONES!$I:$I,E286,ASIGNACIONES!$H:$H,$D286,ASIGNACIONES!$K:$K,$F286)=0,"NUEVO","ACTIVO"))))</f>
        <v>ACTIVO</v>
      </c>
    </row>
    <row r="287" spans="1:8" ht="18">
      <c r="A287" s="75" t="s">
        <v>2373</v>
      </c>
      <c r="B287" s="76" t="s">
        <v>2131</v>
      </c>
      <c r="C287" s="77">
        <v>1022380951</v>
      </c>
      <c r="D287" s="78" t="s">
        <v>38</v>
      </c>
      <c r="E287" s="78" t="s">
        <v>30</v>
      </c>
      <c r="F287" s="79" t="s">
        <v>15</v>
      </c>
      <c r="G287" s="22"/>
      <c r="H287" s="22" t="str">
        <f>IF($B287="","",IF($B287="TRANSCARNES","ACTIVO",IF(COUNTIF(RETIROS!E:E,$B287)=1,"PENDIENTE ELIMINAR",IF(COUNTIFS(ASIGNACIONES!$D:$D,$B287,ASIGNACIONES!$I:$I,E287,ASIGNACIONES!$H:$H,$D287,ASIGNACIONES!$K:$K,$F287)=0,"NUEVO","ACTIVO"))))</f>
        <v>ACTIVO</v>
      </c>
    </row>
    <row r="288" spans="1:8" ht="18">
      <c r="A288" s="75" t="s">
        <v>2374</v>
      </c>
      <c r="B288" s="76" t="s">
        <v>2140</v>
      </c>
      <c r="C288" s="77">
        <v>1066094330</v>
      </c>
      <c r="D288" s="78" t="s">
        <v>67</v>
      </c>
      <c r="E288" s="78" t="s">
        <v>30</v>
      </c>
      <c r="F288" s="79" t="s">
        <v>15</v>
      </c>
      <c r="G288" s="22"/>
      <c r="H288" s="22" t="str">
        <f>IF($B288="","",IF($B288="TRANSCARNES","ACTIVO",IF(COUNTIF(RETIROS!E:E,$B288)=1,"PENDIENTE ELIMINAR",IF(COUNTIFS(ASIGNACIONES!$D:$D,$B288,ASIGNACIONES!$I:$I,E288,ASIGNACIONES!$H:$H,$D288,ASIGNACIONES!$K:$K,$F288)=0,"NUEVO","ACTIVO"))))</f>
        <v>ACTIVO</v>
      </c>
    </row>
    <row r="289" spans="1:8" ht="18">
      <c r="A289" s="75" t="s">
        <v>2375</v>
      </c>
      <c r="B289" s="76" t="s">
        <v>2155</v>
      </c>
      <c r="C289" s="77">
        <v>1085168797</v>
      </c>
      <c r="D289" s="78" t="s">
        <v>67</v>
      </c>
      <c r="E289" s="78" t="s">
        <v>28</v>
      </c>
      <c r="F289" s="79" t="s">
        <v>15</v>
      </c>
      <c r="G289" s="22"/>
      <c r="H289" s="22" t="str">
        <f>IF($B289="","",IF($B289="TRANSCARNES","ACTIVO",IF(COUNTIF(RETIROS!E:E,$B289)=1,"PENDIENTE ELIMINAR",IF(COUNTIFS(ASIGNACIONES!$D:$D,$B289,ASIGNACIONES!$I:$I,E289,ASIGNACIONES!$H:$H,$D289,ASIGNACIONES!$K:$K,$F289)=0,"NUEVO","ACTIVO"))))</f>
        <v>ACTIVO</v>
      </c>
    </row>
    <row r="290" spans="1:8" ht="18">
      <c r="A290" s="75" t="s">
        <v>2376</v>
      </c>
      <c r="B290" s="76" t="s">
        <v>2148</v>
      </c>
      <c r="C290" s="77">
        <v>1098795600</v>
      </c>
      <c r="D290" s="78" t="s">
        <v>67</v>
      </c>
      <c r="E290" s="78" t="s">
        <v>30</v>
      </c>
      <c r="F290" s="79" t="s">
        <v>15</v>
      </c>
      <c r="G290" s="22"/>
      <c r="H290" s="22" t="str">
        <f>IF($B290="","",IF($B290="TRANSCARNES","ACTIVO",IF(COUNTIF(RETIROS!E:E,$B290)=1,"PENDIENTE ELIMINAR",IF(COUNTIFS(ASIGNACIONES!$D:$D,$B290,ASIGNACIONES!$I:$I,E290,ASIGNACIONES!$H:$H,$D290,ASIGNACIONES!$K:$K,$F290)=0,"NUEVO","ACTIVO"))))</f>
        <v>ACTIVO</v>
      </c>
    </row>
    <row r="291" spans="1:8" ht="18">
      <c r="A291" s="75" t="s">
        <v>2377</v>
      </c>
      <c r="B291" s="76" t="s">
        <v>2174</v>
      </c>
      <c r="C291" s="77">
        <v>1091073475</v>
      </c>
      <c r="D291" s="78" t="s">
        <v>67</v>
      </c>
      <c r="E291" s="78" t="s">
        <v>28</v>
      </c>
      <c r="F291" s="79" t="s">
        <v>15</v>
      </c>
      <c r="G291" s="22"/>
      <c r="H291" s="22" t="str">
        <f>IF($B291="","",IF($B291="TRANSCARNES","ACTIVO",IF(COUNTIF(RETIROS!E:E,$B291)=1,"PENDIENTE ELIMINAR",IF(COUNTIFS(ASIGNACIONES!$D:$D,$B291,ASIGNACIONES!$I:$I,E291,ASIGNACIONES!$H:$H,$D291,ASIGNACIONES!$K:$K,$F291)=0,"NUEVO","ACTIVO"))))</f>
        <v>ACTIVO</v>
      </c>
    </row>
    <row r="292" spans="1:8" ht="18">
      <c r="A292" s="75" t="s">
        <v>2378</v>
      </c>
      <c r="B292" s="76" t="s">
        <v>2164</v>
      </c>
      <c r="C292" s="77">
        <v>1095908902</v>
      </c>
      <c r="D292" s="78" t="s">
        <v>46</v>
      </c>
      <c r="E292" s="78" t="s">
        <v>28</v>
      </c>
      <c r="F292" s="79" t="s">
        <v>12</v>
      </c>
      <c r="G292" s="22"/>
      <c r="H292" s="22" t="str">
        <f>IF($B292="","",IF($B292="TRANSCARNES","ACTIVO",IF(COUNTIF(RETIROS!E:E,$B292)=1,"PENDIENTE ELIMINAR",IF(COUNTIFS(ASIGNACIONES!$D:$D,$B292,ASIGNACIONES!$I:$I,E292,ASIGNACIONES!$H:$H,$D292,ASIGNACIONES!$K:$K,$F292)=0,"NUEVO","ACTIVO"))))</f>
        <v>ACTIVO</v>
      </c>
    </row>
    <row r="293" spans="1:8" ht="18">
      <c r="A293" s="75" t="s">
        <v>2379</v>
      </c>
      <c r="B293" s="76" t="s">
        <v>2168</v>
      </c>
      <c r="C293" s="77">
        <v>1095953187</v>
      </c>
      <c r="D293" s="78" t="s">
        <v>38</v>
      </c>
      <c r="E293" s="78" t="s">
        <v>30</v>
      </c>
      <c r="F293" s="79" t="s">
        <v>15</v>
      </c>
      <c r="G293" s="22"/>
      <c r="H293" s="22" t="str">
        <f>IF($B293="","",IF($B293="TRANSCARNES","ACTIVO",IF(COUNTIF(RETIROS!E:E,$B293)=1,"PENDIENTE ELIMINAR",IF(COUNTIFS(ASIGNACIONES!$D:$D,$B293,ASIGNACIONES!$I:$I,E293,ASIGNACIONES!$H:$H,$D293,ASIGNACIONES!$K:$K,$F293)=0,"NUEVO","ACTIVO"))))</f>
        <v>ACTIVO</v>
      </c>
    </row>
    <row r="294" spans="1:8" ht="18">
      <c r="A294" s="75" t="s">
        <v>2380</v>
      </c>
      <c r="B294" s="76" t="s">
        <v>2170</v>
      </c>
      <c r="C294" s="77">
        <v>1002448543</v>
      </c>
      <c r="D294" s="78" t="s">
        <v>38</v>
      </c>
      <c r="E294" s="78" t="s">
        <v>28</v>
      </c>
      <c r="F294" s="79" t="s">
        <v>15</v>
      </c>
      <c r="G294" s="22"/>
      <c r="H294" s="22" t="str">
        <f>IF($B294="","",IF($B294="TRANSCARNES","ACTIVO",IF(COUNTIF(RETIROS!E:E,$B294)=1,"PENDIENTE ELIMINAR",IF(COUNTIFS(ASIGNACIONES!$D:$D,$B294,ASIGNACIONES!$I:$I,E294,ASIGNACIONES!$H:$H,$D294,ASIGNACIONES!$K:$K,$F294)=0,"NUEVO","ACTIVO"))))</f>
        <v>ACTIVO</v>
      </c>
    </row>
    <row r="295" spans="1:8" ht="18">
      <c r="A295" s="75" t="s">
        <v>2381</v>
      </c>
      <c r="B295" s="76" t="s">
        <v>2172</v>
      </c>
      <c r="C295" s="77">
        <v>1005281690</v>
      </c>
      <c r="D295" s="78" t="s">
        <v>149</v>
      </c>
      <c r="E295" s="78" t="s">
        <v>716</v>
      </c>
      <c r="F295" s="79" t="s">
        <v>15</v>
      </c>
      <c r="G295" s="22"/>
      <c r="H295" s="22" t="str">
        <f>IF($B295="","",IF($B295="TRANSCARNES","ACTIVO",IF(COUNTIF(RETIROS!E:E,$B295)=1,"PENDIENTE ELIMINAR",IF(COUNTIFS(ASIGNACIONES!$D:$D,$B295,ASIGNACIONES!$I:$I,E295,ASIGNACIONES!$H:$H,$D295,ASIGNACIONES!$K:$K,$F295)=0,"NUEVO","ACTIVO"))))</f>
        <v>ACTIVO</v>
      </c>
    </row>
    <row r="296" spans="1:8" ht="18">
      <c r="A296" s="75" t="s">
        <v>2382</v>
      </c>
      <c r="B296" s="76" t="s">
        <v>2166</v>
      </c>
      <c r="C296" s="77">
        <v>1098655071</v>
      </c>
      <c r="D296" s="78" t="s">
        <v>46</v>
      </c>
      <c r="E296" s="78" t="s">
        <v>48</v>
      </c>
      <c r="F296" s="79" t="s">
        <v>15</v>
      </c>
      <c r="G296" s="22"/>
      <c r="H296" s="22" t="str">
        <f>IF($B296="","",IF($B296="TRANSCARNES","ACTIVO",IF(COUNTIF(RETIROS!E:E,$B296)=1,"PENDIENTE ELIMINAR",IF(COUNTIFS(ASIGNACIONES!$D:$D,$B296,ASIGNACIONES!$I:$I,E296,ASIGNACIONES!$H:$H,$D296,ASIGNACIONES!$K:$K,$F296)=0,"NUEVO","ACTIVO"))))</f>
        <v>ACTIVO</v>
      </c>
    </row>
    <row r="297" spans="1:8" ht="18">
      <c r="A297" s="75"/>
      <c r="B297" s="76"/>
      <c r="C297" s="77"/>
      <c r="D297" s="78"/>
      <c r="E297" s="78"/>
      <c r="F297" s="79"/>
      <c r="G297" s="22"/>
      <c r="H297" s="22"/>
    </row>
    <row r="298" spans="1:8" ht="18">
      <c r="A298" s="75"/>
      <c r="B298" s="76"/>
      <c r="C298" s="77"/>
      <c r="D298" s="78"/>
      <c r="E298" s="78"/>
      <c r="F298" s="79"/>
      <c r="G298" s="22"/>
      <c r="H298" s="22"/>
    </row>
    <row r="299" spans="1:8" ht="18">
      <c r="A299" s="75"/>
      <c r="B299" s="76"/>
      <c r="C299" s="77"/>
      <c r="D299" s="78"/>
      <c r="E299" s="78"/>
      <c r="F299" s="79"/>
      <c r="G299" s="22"/>
      <c r="H299" s="22"/>
    </row>
    <row r="300" spans="1:8" ht="18">
      <c r="A300" s="75"/>
      <c r="B300" s="76"/>
      <c r="C300" s="77"/>
      <c r="D300" s="78"/>
      <c r="E300" s="78"/>
      <c r="F300" s="79"/>
      <c r="G300" s="22"/>
      <c r="H300" s="22"/>
    </row>
    <row r="301" spans="1:8" ht="18">
      <c r="A301" s="75"/>
      <c r="B301" s="76"/>
      <c r="C301" s="77"/>
      <c r="D301" s="78"/>
      <c r="E301" s="78"/>
      <c r="F301" s="79"/>
      <c r="G301" s="22"/>
      <c r="H301" s="22"/>
    </row>
    <row r="302" spans="1:8" ht="18">
      <c r="A302" s="75"/>
      <c r="B302" s="76"/>
      <c r="C302" s="77"/>
      <c r="D302" s="78"/>
      <c r="E302" s="78"/>
      <c r="F302" s="79"/>
      <c r="G302" s="22"/>
      <c r="H302" s="22"/>
    </row>
    <row r="303" spans="1:8" ht="18">
      <c r="A303" s="75"/>
      <c r="B303" s="76"/>
      <c r="C303" s="77"/>
      <c r="D303" s="78"/>
      <c r="E303" s="78"/>
      <c r="F303" s="79"/>
      <c r="G303" s="22"/>
      <c r="H303" s="22"/>
    </row>
    <row r="304" spans="1:8" ht="18">
      <c r="A304" s="75"/>
      <c r="B304" s="76"/>
      <c r="C304" s="77"/>
      <c r="D304" s="78"/>
      <c r="E304" s="78"/>
      <c r="F304" s="79"/>
      <c r="G304" s="22"/>
      <c r="H304" s="22"/>
    </row>
    <row r="305" spans="1:8" ht="18">
      <c r="A305" s="75"/>
      <c r="B305" s="76"/>
      <c r="C305" s="77"/>
      <c r="D305" s="78"/>
      <c r="E305" s="78"/>
      <c r="F305" s="79"/>
      <c r="G305" s="22"/>
      <c r="H305" s="22"/>
    </row>
    <row r="306" spans="1:8" ht="18">
      <c r="A306" s="75"/>
      <c r="B306" s="76"/>
      <c r="C306" s="77"/>
      <c r="D306" s="78"/>
      <c r="E306" s="78"/>
      <c r="F306" s="79"/>
      <c r="G306" s="22"/>
      <c r="H306" s="22"/>
    </row>
    <row r="307" spans="1:8" ht="18">
      <c r="A307" s="75"/>
      <c r="B307" s="76"/>
      <c r="C307" s="77"/>
      <c r="D307" s="78"/>
      <c r="E307" s="78"/>
      <c r="F307" s="79"/>
      <c r="G307" s="22"/>
      <c r="H307" s="22"/>
    </row>
    <row r="308" spans="1:8" ht="18">
      <c r="A308" s="75"/>
      <c r="B308" s="76"/>
      <c r="C308" s="77"/>
      <c r="D308" s="78"/>
      <c r="E308" s="78"/>
      <c r="F308" s="79"/>
      <c r="G308" s="22"/>
      <c r="H308" s="22"/>
    </row>
    <row r="309" spans="1:8" ht="18">
      <c r="A309" s="75"/>
      <c r="B309" s="76"/>
      <c r="C309" s="77"/>
      <c r="D309" s="78"/>
      <c r="E309" s="78"/>
      <c r="F309" s="79"/>
      <c r="G309" s="22"/>
      <c r="H309" s="22"/>
    </row>
    <row r="310" spans="1:8" ht="18">
      <c r="A310" s="75"/>
      <c r="B310" s="76"/>
      <c r="C310" s="77"/>
      <c r="D310" s="78"/>
      <c r="E310" s="78"/>
      <c r="F310" s="79"/>
      <c r="G310" s="22"/>
      <c r="H310" s="22"/>
    </row>
    <row r="311" spans="1:8" ht="18">
      <c r="A311" s="75"/>
      <c r="B311" s="76"/>
      <c r="C311" s="77"/>
      <c r="D311" s="78"/>
      <c r="E311" s="78"/>
      <c r="F311" s="79"/>
      <c r="G311" s="22"/>
      <c r="H311" s="22"/>
    </row>
    <row r="312" spans="1:8" ht="18">
      <c r="A312" s="75"/>
      <c r="B312" s="76"/>
      <c r="C312" s="77"/>
      <c r="D312" s="78"/>
      <c r="E312" s="78"/>
      <c r="F312" s="79"/>
      <c r="G312" s="22"/>
      <c r="H312" s="22"/>
    </row>
    <row r="313" spans="1:8" ht="18">
      <c r="A313" s="75"/>
      <c r="B313" s="76"/>
      <c r="C313" s="77"/>
      <c r="D313" s="78"/>
      <c r="E313" s="78"/>
      <c r="F313" s="79"/>
      <c r="G313" s="22"/>
      <c r="H313" s="22"/>
    </row>
    <row r="314" spans="1:8" ht="18">
      <c r="A314" s="75"/>
      <c r="B314" s="76"/>
      <c r="C314" s="77"/>
      <c r="D314" s="78"/>
      <c r="E314" s="78"/>
      <c r="F314" s="79"/>
      <c r="G314" s="22"/>
      <c r="H314" s="22"/>
    </row>
    <row r="315" spans="1:8" ht="18">
      <c r="A315" s="75"/>
      <c r="B315" s="76"/>
      <c r="C315" s="77"/>
      <c r="D315" s="78"/>
      <c r="E315" s="78"/>
      <c r="F315" s="79"/>
      <c r="G315" s="22"/>
      <c r="H315" s="22"/>
    </row>
    <row r="316" spans="1:8" ht="18">
      <c r="A316" s="75"/>
      <c r="B316" s="76"/>
      <c r="C316" s="77"/>
      <c r="D316" s="78"/>
      <c r="E316" s="78"/>
      <c r="F316" s="79"/>
      <c r="G316" s="22"/>
      <c r="H316" s="22"/>
    </row>
    <row r="317" spans="1:8" ht="18">
      <c r="A317" s="75"/>
      <c r="B317" s="76"/>
      <c r="C317" s="77"/>
      <c r="D317" s="78"/>
      <c r="E317" s="78"/>
      <c r="F317" s="79"/>
      <c r="G317" s="22"/>
      <c r="H317" s="22"/>
    </row>
    <row r="318" spans="1:8" ht="18">
      <c r="A318" s="75"/>
      <c r="B318" s="76"/>
      <c r="C318" s="77"/>
      <c r="D318" s="78"/>
      <c r="E318" s="78"/>
      <c r="F318" s="79"/>
      <c r="G318" s="22"/>
      <c r="H318" s="22"/>
    </row>
    <row r="319" spans="1:8" ht="18">
      <c r="A319" s="75"/>
      <c r="B319" s="76"/>
      <c r="C319" s="77"/>
      <c r="D319" s="78"/>
      <c r="E319" s="78"/>
      <c r="F319" s="79"/>
      <c r="G319" s="22"/>
      <c r="H319" s="22"/>
    </row>
    <row r="320" spans="1:8" ht="18">
      <c r="A320" s="75"/>
      <c r="B320" s="76"/>
      <c r="C320" s="77"/>
      <c r="D320" s="78"/>
      <c r="E320" s="78"/>
      <c r="F320" s="79"/>
      <c r="G320" s="22"/>
      <c r="H320" s="22"/>
    </row>
    <row r="321" spans="1:8" ht="18">
      <c r="A321" s="75"/>
      <c r="B321" s="76"/>
      <c r="C321" s="77"/>
      <c r="D321" s="78"/>
      <c r="E321" s="78"/>
      <c r="F321" s="79"/>
      <c r="G321" s="22"/>
      <c r="H321" s="22"/>
    </row>
    <row r="322" spans="1:8" ht="18">
      <c r="A322" s="75"/>
      <c r="B322" s="76"/>
      <c r="C322" s="77"/>
      <c r="D322" s="78"/>
      <c r="E322" s="78"/>
      <c r="F322" s="79"/>
      <c r="G322" s="22"/>
      <c r="H322" s="22"/>
    </row>
    <row r="323" spans="1:8" ht="18">
      <c r="A323" s="75"/>
      <c r="B323" s="76"/>
      <c r="C323" s="77"/>
      <c r="D323" s="78"/>
      <c r="E323" s="78"/>
      <c r="F323" s="79"/>
      <c r="G323" s="22"/>
      <c r="H323" s="22"/>
    </row>
    <row r="324" spans="1:8" ht="18">
      <c r="A324" s="75"/>
      <c r="B324" s="76"/>
      <c r="C324" s="77"/>
      <c r="D324" s="78"/>
      <c r="E324" s="78"/>
      <c r="F324" s="79"/>
      <c r="G324" s="22"/>
      <c r="H324" s="22"/>
    </row>
    <row r="325" spans="1:8" ht="18">
      <c r="A325" s="75"/>
      <c r="B325" s="76"/>
      <c r="C325" s="77"/>
      <c r="D325" s="78"/>
      <c r="E325" s="78"/>
      <c r="F325" s="79"/>
      <c r="G325" s="22"/>
      <c r="H325" s="22"/>
    </row>
    <row r="326" spans="1:8" ht="18">
      <c r="A326" s="75"/>
      <c r="B326" s="76"/>
      <c r="C326" s="77"/>
      <c r="D326" s="78"/>
      <c r="E326" s="78"/>
      <c r="F326" s="79"/>
      <c r="G326" s="22"/>
      <c r="H326" s="22"/>
    </row>
    <row r="327" spans="1:8" ht="18">
      <c r="A327" s="75"/>
      <c r="B327" s="76"/>
      <c r="C327" s="77"/>
      <c r="D327" s="78"/>
      <c r="E327" s="78"/>
      <c r="F327" s="79"/>
      <c r="G327" s="22"/>
      <c r="H327" s="22"/>
    </row>
    <row r="328" spans="1:8" ht="18">
      <c r="A328" s="75"/>
      <c r="B328" s="76"/>
      <c r="C328" s="77"/>
      <c r="D328" s="78"/>
      <c r="E328" s="78"/>
      <c r="F328" s="79"/>
      <c r="G328" s="22"/>
      <c r="H328" s="22"/>
    </row>
    <row r="329" spans="1:8" ht="18">
      <c r="A329" s="75"/>
      <c r="B329" s="76"/>
      <c r="C329" s="77"/>
      <c r="D329" s="78"/>
      <c r="E329" s="78"/>
      <c r="F329" s="79"/>
      <c r="G329" s="22"/>
      <c r="H329" s="22"/>
    </row>
    <row r="330" spans="1:8" ht="18">
      <c r="A330" s="75"/>
      <c r="B330" s="76"/>
      <c r="C330" s="77"/>
      <c r="D330" s="78"/>
      <c r="E330" s="78"/>
      <c r="F330" s="79"/>
      <c r="G330" s="22"/>
      <c r="H330" s="22"/>
    </row>
    <row r="331" spans="1:8" ht="18">
      <c r="A331" s="75"/>
      <c r="B331" s="76"/>
      <c r="C331" s="77"/>
      <c r="D331" s="78"/>
      <c r="E331" s="78"/>
      <c r="F331" s="79"/>
      <c r="G331" s="22"/>
      <c r="H331" s="22"/>
    </row>
    <row r="332" spans="1:8" ht="18">
      <c r="A332" s="75"/>
      <c r="B332" s="76"/>
      <c r="C332" s="77"/>
      <c r="D332" s="78"/>
      <c r="E332" s="78"/>
      <c r="F332" s="79"/>
      <c r="G332" s="22"/>
      <c r="H332" s="22"/>
    </row>
    <row r="333" spans="1:8" ht="18">
      <c r="A333" s="75"/>
      <c r="B333" s="76"/>
      <c r="C333" s="77"/>
      <c r="D333" s="78"/>
      <c r="E333" s="78"/>
      <c r="F333" s="79"/>
      <c r="G333" s="22"/>
      <c r="H333" s="22"/>
    </row>
    <row r="334" spans="1:8" ht="18">
      <c r="A334" s="75"/>
      <c r="B334" s="76"/>
      <c r="C334" s="77"/>
      <c r="D334" s="78"/>
      <c r="E334" s="78"/>
      <c r="F334" s="79"/>
      <c r="G334" s="22"/>
      <c r="H334" s="22"/>
    </row>
    <row r="335" spans="1:8" ht="18">
      <c r="A335" s="75"/>
      <c r="B335" s="76"/>
      <c r="C335" s="77"/>
      <c r="D335" s="78"/>
      <c r="E335" s="78"/>
      <c r="F335" s="79"/>
      <c r="G335" s="22"/>
      <c r="H335" s="22"/>
    </row>
    <row r="336" spans="1:8" ht="18">
      <c r="A336" s="75"/>
      <c r="B336" s="76"/>
      <c r="C336" s="77"/>
      <c r="D336" s="78"/>
      <c r="E336" s="78"/>
      <c r="F336" s="79"/>
      <c r="G336" s="22"/>
      <c r="H336" s="22"/>
    </row>
    <row r="337" spans="1:8" ht="18">
      <c r="A337" s="75"/>
      <c r="B337" s="76"/>
      <c r="C337" s="77"/>
      <c r="D337" s="78"/>
      <c r="E337" s="78"/>
      <c r="F337" s="79"/>
      <c r="G337" s="22"/>
      <c r="H337" s="22"/>
    </row>
    <row r="338" spans="1:8" ht="18">
      <c r="A338" s="75"/>
      <c r="B338" s="76"/>
      <c r="C338" s="77"/>
      <c r="D338" s="78"/>
      <c r="E338" s="78"/>
      <c r="F338" s="79"/>
      <c r="G338" s="22"/>
      <c r="H338" s="22"/>
    </row>
    <row r="339" spans="1:8" ht="18">
      <c r="A339" s="75"/>
      <c r="B339" s="76"/>
      <c r="C339" s="77"/>
      <c r="D339" s="78"/>
      <c r="E339" s="78"/>
      <c r="F339" s="79"/>
      <c r="G339" s="22"/>
      <c r="H339" s="22"/>
    </row>
    <row r="340" spans="1:8" ht="18">
      <c r="A340" s="75"/>
      <c r="B340" s="76"/>
      <c r="C340" s="77"/>
      <c r="D340" s="78"/>
      <c r="E340" s="78"/>
      <c r="F340" s="79"/>
      <c r="G340" s="22"/>
      <c r="H340" s="22"/>
    </row>
    <row r="341" spans="1:8" ht="18">
      <c r="A341" s="75"/>
      <c r="B341" s="76"/>
      <c r="C341" s="77"/>
      <c r="D341" s="78"/>
      <c r="E341" s="78"/>
      <c r="F341" s="79"/>
      <c r="G341" s="22"/>
      <c r="H341" s="22"/>
    </row>
    <row r="342" spans="1:8" ht="18">
      <c r="A342" s="75"/>
      <c r="B342" s="76"/>
      <c r="C342" s="77"/>
      <c r="D342" s="78"/>
      <c r="E342" s="78"/>
      <c r="F342" s="79"/>
      <c r="G342" s="22"/>
      <c r="H342" s="22"/>
    </row>
    <row r="343" spans="1:8" ht="18">
      <c r="A343" s="75"/>
      <c r="B343" s="76"/>
      <c r="C343" s="77"/>
      <c r="D343" s="78"/>
      <c r="E343" s="78"/>
      <c r="F343" s="79"/>
      <c r="G343" s="22"/>
      <c r="H343" s="22"/>
    </row>
    <row r="344" spans="1:8" ht="18">
      <c r="A344" s="75"/>
      <c r="B344" s="76"/>
      <c r="C344" s="77"/>
      <c r="D344" s="78"/>
      <c r="E344" s="78"/>
      <c r="F344" s="79"/>
      <c r="G344" s="22"/>
      <c r="H344" s="22"/>
    </row>
    <row r="345" spans="1:8" ht="18">
      <c r="A345" s="75"/>
      <c r="B345" s="76"/>
      <c r="C345" s="77"/>
      <c r="D345" s="78"/>
      <c r="E345" s="78"/>
      <c r="F345" s="79"/>
      <c r="G345" s="22"/>
      <c r="H345" s="22"/>
    </row>
    <row r="346" spans="1:8" ht="18">
      <c r="A346" s="75"/>
      <c r="B346" s="76"/>
      <c r="C346" s="77"/>
      <c r="D346" s="78"/>
      <c r="E346" s="78"/>
      <c r="F346" s="79"/>
      <c r="G346" s="22"/>
      <c r="H346" s="22"/>
    </row>
    <row r="347" spans="1:8" ht="18">
      <c r="A347" s="75"/>
      <c r="B347" s="76"/>
      <c r="C347" s="77"/>
      <c r="D347" s="78"/>
      <c r="E347" s="78"/>
      <c r="F347" s="79"/>
      <c r="G347" s="22"/>
      <c r="H347" s="22"/>
    </row>
    <row r="348" spans="1:8" ht="18">
      <c r="A348" s="75"/>
      <c r="B348" s="76"/>
      <c r="C348" s="77"/>
      <c r="D348" s="78"/>
      <c r="E348" s="78"/>
      <c r="F348" s="79"/>
      <c r="G348" s="22"/>
      <c r="H348" s="22"/>
    </row>
    <row r="349" spans="1:8" ht="18">
      <c r="A349" s="75"/>
      <c r="B349" s="76"/>
      <c r="C349" s="77"/>
      <c r="D349" s="78"/>
      <c r="E349" s="78"/>
      <c r="F349" s="79"/>
      <c r="G349" s="22"/>
      <c r="H349" s="22"/>
    </row>
    <row r="350" spans="1:8" ht="18">
      <c r="A350" s="75"/>
      <c r="B350" s="76"/>
      <c r="C350" s="77"/>
      <c r="D350" s="78"/>
      <c r="E350" s="78"/>
      <c r="F350" s="79"/>
      <c r="G350" s="22"/>
      <c r="H350" s="22"/>
    </row>
    <row r="351" spans="1:8" ht="18">
      <c r="A351" s="75"/>
      <c r="B351" s="76"/>
      <c r="C351" s="77"/>
      <c r="D351" s="78"/>
      <c r="E351" s="78"/>
      <c r="F351" s="79"/>
      <c r="G351" s="22"/>
      <c r="H351" s="22"/>
    </row>
    <row r="352" spans="1:8" ht="18">
      <c r="A352" s="75"/>
      <c r="B352" s="76"/>
      <c r="C352" s="77"/>
      <c r="D352" s="78"/>
      <c r="E352" s="78"/>
      <c r="F352" s="79"/>
      <c r="G352" s="22"/>
      <c r="H352" s="22"/>
    </row>
    <row r="353" spans="1:8" ht="18">
      <c r="A353" s="75"/>
      <c r="B353" s="76"/>
      <c r="C353" s="77"/>
      <c r="D353" s="78"/>
      <c r="E353" s="78"/>
      <c r="F353" s="79"/>
      <c r="G353" s="22"/>
      <c r="H353" s="22"/>
    </row>
    <row r="354" spans="1:8" ht="18">
      <c r="A354" s="75"/>
      <c r="B354" s="76"/>
      <c r="C354" s="77"/>
      <c r="D354" s="78"/>
      <c r="E354" s="78"/>
      <c r="F354" s="79"/>
      <c r="G354" s="22"/>
      <c r="H354" s="22"/>
    </row>
    <row r="355" spans="1:8" ht="18">
      <c r="A355" s="75"/>
      <c r="B355" s="76"/>
      <c r="C355" s="77"/>
      <c r="D355" s="78"/>
      <c r="E355" s="78"/>
      <c r="F355" s="79"/>
      <c r="G355" s="22"/>
      <c r="H355" s="22"/>
    </row>
    <row r="356" spans="1:8" ht="18">
      <c r="A356" s="75"/>
      <c r="B356" s="76"/>
      <c r="C356" s="77"/>
      <c r="D356" s="78"/>
      <c r="E356" s="78"/>
      <c r="F356" s="79"/>
      <c r="G356" s="22"/>
      <c r="H356" s="22"/>
    </row>
    <row r="357" spans="1:8" ht="18">
      <c r="A357" s="75"/>
      <c r="B357" s="76"/>
      <c r="C357" s="77"/>
      <c r="D357" s="78"/>
      <c r="E357" s="78"/>
      <c r="F357" s="79"/>
      <c r="G357" s="22"/>
      <c r="H357" s="22"/>
    </row>
    <row r="358" spans="1:8" ht="18">
      <c r="A358" s="75"/>
      <c r="B358" s="76"/>
      <c r="C358" s="77"/>
      <c r="D358" s="78"/>
      <c r="E358" s="78"/>
      <c r="F358" s="79"/>
      <c r="G358" s="22"/>
      <c r="H358" s="22"/>
    </row>
    <row r="359" spans="1:8" ht="18">
      <c r="A359" s="75"/>
      <c r="B359" s="76"/>
      <c r="C359" s="77"/>
      <c r="D359" s="78"/>
      <c r="E359" s="78"/>
      <c r="F359" s="79"/>
      <c r="G359" s="22"/>
      <c r="H359" s="22"/>
    </row>
    <row r="360" spans="1:8" ht="18">
      <c r="A360" s="75"/>
      <c r="B360" s="76"/>
      <c r="C360" s="77"/>
      <c r="D360" s="78"/>
      <c r="E360" s="78"/>
      <c r="F360" s="79"/>
      <c r="G360" s="22"/>
      <c r="H360" s="22"/>
    </row>
    <row r="361" spans="1:8" ht="18">
      <c r="A361" s="75"/>
      <c r="B361" s="76"/>
      <c r="C361" s="77"/>
      <c r="D361" s="78"/>
      <c r="E361" s="78"/>
      <c r="F361" s="79"/>
      <c r="G361" s="22"/>
      <c r="H361" s="22"/>
    </row>
    <row r="362" spans="1:8" ht="18">
      <c r="A362" s="75"/>
      <c r="B362" s="76"/>
      <c r="C362" s="77"/>
      <c r="D362" s="78"/>
      <c r="E362" s="78"/>
      <c r="F362" s="79"/>
      <c r="G362" s="22"/>
      <c r="H362" s="22"/>
    </row>
    <row r="363" spans="1:8" ht="18">
      <c r="A363" s="75"/>
      <c r="B363" s="76"/>
      <c r="C363" s="77"/>
      <c r="D363" s="78"/>
      <c r="E363" s="78"/>
      <c r="F363" s="79"/>
      <c r="G363" s="22"/>
      <c r="H363" s="22"/>
    </row>
    <row r="364" spans="1:8" ht="18">
      <c r="A364" s="75"/>
      <c r="B364" s="76"/>
      <c r="C364" s="77"/>
      <c r="D364" s="78"/>
      <c r="E364" s="78"/>
      <c r="F364" s="79"/>
      <c r="G364" s="22"/>
      <c r="H364" s="22"/>
    </row>
    <row r="365" spans="1:8" ht="18">
      <c r="A365" s="75"/>
      <c r="B365" s="76"/>
      <c r="C365" s="77"/>
      <c r="D365" s="78"/>
      <c r="E365" s="78"/>
      <c r="F365" s="79"/>
      <c r="G365" s="22"/>
      <c r="H365" s="22"/>
    </row>
    <row r="366" spans="1:8" ht="18">
      <c r="A366" s="75"/>
      <c r="B366" s="76"/>
      <c r="C366" s="77"/>
      <c r="D366" s="78"/>
      <c r="E366" s="78"/>
      <c r="F366" s="79"/>
      <c r="G366" s="22"/>
      <c r="H366" s="22"/>
    </row>
    <row r="367" spans="1:8" ht="18">
      <c r="A367" s="75"/>
      <c r="B367" s="76"/>
      <c r="C367" s="77"/>
      <c r="D367" s="78"/>
      <c r="E367" s="78"/>
      <c r="F367" s="79"/>
      <c r="G367" s="22"/>
      <c r="H367" s="22"/>
    </row>
    <row r="368" spans="1:8" ht="18">
      <c r="A368" s="75"/>
      <c r="B368" s="76"/>
      <c r="C368" s="77"/>
      <c r="D368" s="78"/>
      <c r="E368" s="78"/>
      <c r="F368" s="79"/>
      <c r="G368" s="22"/>
      <c r="H368" s="22"/>
    </row>
    <row r="369" spans="1:8" ht="18">
      <c r="A369" s="75"/>
      <c r="B369" s="76"/>
      <c r="C369" s="77"/>
      <c r="D369" s="78"/>
      <c r="E369" s="78"/>
      <c r="F369" s="79"/>
      <c r="G369" s="22"/>
      <c r="H369" s="22"/>
    </row>
    <row r="370" spans="1:8" ht="18">
      <c r="A370" s="75"/>
      <c r="B370" s="76"/>
      <c r="C370" s="77"/>
      <c r="D370" s="78"/>
      <c r="E370" s="78"/>
      <c r="F370" s="79"/>
      <c r="G370" s="22"/>
      <c r="H370" s="22"/>
    </row>
    <row r="371" spans="1:8" ht="18">
      <c r="A371" s="75"/>
      <c r="B371" s="76"/>
      <c r="C371" s="77"/>
      <c r="D371" s="78"/>
      <c r="E371" s="78"/>
      <c r="F371" s="79"/>
      <c r="G371" s="22"/>
      <c r="H371" s="22"/>
    </row>
    <row r="372" spans="1:8" ht="18">
      <c r="A372" s="75"/>
      <c r="B372" s="76"/>
      <c r="C372" s="77"/>
      <c r="D372" s="78"/>
      <c r="E372" s="78"/>
      <c r="F372" s="79"/>
      <c r="G372" s="22"/>
      <c r="H372" s="22"/>
    </row>
    <row r="373" spans="1:8" ht="18">
      <c r="A373" s="75"/>
      <c r="B373" s="76"/>
      <c r="C373" s="77"/>
      <c r="D373" s="78"/>
      <c r="E373" s="78"/>
      <c r="F373" s="79"/>
      <c r="G373" s="22"/>
      <c r="H373" s="22"/>
    </row>
    <row r="374" spans="1:8" ht="18">
      <c r="A374" s="75"/>
      <c r="B374" s="76"/>
      <c r="C374" s="77"/>
      <c r="D374" s="78"/>
      <c r="E374" s="78"/>
      <c r="F374" s="79"/>
      <c r="G374" s="22"/>
      <c r="H374" s="22"/>
    </row>
    <row r="375" spans="1:8" ht="18">
      <c r="A375" s="75"/>
      <c r="B375" s="76"/>
      <c r="C375" s="77"/>
      <c r="D375" s="78"/>
      <c r="E375" s="78"/>
      <c r="F375" s="79"/>
      <c r="G375" s="22"/>
      <c r="H375" s="22"/>
    </row>
    <row r="376" spans="1:8" ht="18">
      <c r="A376" s="75"/>
      <c r="B376" s="76"/>
      <c r="C376" s="77"/>
      <c r="D376" s="78"/>
      <c r="E376" s="78"/>
      <c r="F376" s="79"/>
      <c r="G376" s="22"/>
      <c r="H376" s="22"/>
    </row>
    <row r="377" spans="1:8" ht="18">
      <c r="A377" s="75"/>
      <c r="B377" s="76"/>
      <c r="C377" s="77"/>
      <c r="D377" s="78"/>
      <c r="E377" s="78"/>
      <c r="F377" s="79"/>
      <c r="G377" s="22"/>
      <c r="H377" s="22"/>
    </row>
    <row r="378" spans="1:8" ht="18">
      <c r="A378" s="75"/>
      <c r="B378" s="76"/>
      <c r="C378" s="77"/>
      <c r="D378" s="78"/>
      <c r="E378" s="78"/>
      <c r="F378" s="79"/>
      <c r="G378" s="22"/>
      <c r="H378" s="22"/>
    </row>
    <row r="379" spans="1:8" ht="18">
      <c r="A379" s="75"/>
      <c r="B379" s="76"/>
      <c r="C379" s="77"/>
      <c r="D379" s="78"/>
      <c r="E379" s="78"/>
      <c r="F379" s="79"/>
      <c r="G379" s="22"/>
      <c r="H379" s="22"/>
    </row>
    <row r="380" spans="1:8" ht="18">
      <c r="A380" s="75"/>
      <c r="B380" s="76"/>
      <c r="C380" s="77"/>
      <c r="D380" s="78"/>
      <c r="E380" s="78"/>
      <c r="F380" s="79"/>
      <c r="G380" s="22"/>
      <c r="H380" s="22"/>
    </row>
    <row r="381" spans="1:8" ht="18">
      <c r="A381" s="75"/>
      <c r="B381" s="76"/>
      <c r="C381" s="77"/>
      <c r="D381" s="78"/>
      <c r="E381" s="78"/>
      <c r="F381" s="79"/>
      <c r="G381" s="22"/>
      <c r="H381" s="22"/>
    </row>
    <row r="382" spans="1:8" ht="18">
      <c r="A382" s="75"/>
      <c r="B382" s="76"/>
      <c r="C382" s="77"/>
      <c r="D382" s="78"/>
      <c r="E382" s="78"/>
      <c r="F382" s="79"/>
      <c r="G382" s="22"/>
      <c r="H382" s="22"/>
    </row>
    <row r="383" spans="1:8" ht="18">
      <c r="A383" s="75"/>
      <c r="B383" s="76"/>
      <c r="C383" s="77"/>
      <c r="D383" s="78"/>
      <c r="E383" s="78"/>
      <c r="F383" s="79"/>
      <c r="G383" s="22"/>
      <c r="H383" s="22"/>
    </row>
    <row r="384" spans="1:8" ht="18">
      <c r="A384" s="75"/>
      <c r="B384" s="76"/>
      <c r="C384" s="77"/>
      <c r="D384" s="78"/>
      <c r="E384" s="78"/>
      <c r="F384" s="79"/>
      <c r="G384" s="22"/>
      <c r="H384" s="22"/>
    </row>
    <row r="385" spans="1:8" ht="18">
      <c r="A385" s="75"/>
      <c r="B385" s="76"/>
      <c r="C385" s="77"/>
      <c r="D385" s="78"/>
      <c r="E385" s="78"/>
      <c r="F385" s="79"/>
      <c r="G385" s="22"/>
      <c r="H385" s="22"/>
    </row>
    <row r="386" spans="1:8" ht="18">
      <c r="A386" s="75"/>
      <c r="B386" s="76"/>
      <c r="C386" s="77"/>
      <c r="D386" s="78"/>
      <c r="E386" s="78"/>
      <c r="F386" s="79"/>
      <c r="G386" s="22"/>
      <c r="H386" s="22"/>
    </row>
    <row r="387" spans="1:8" ht="18">
      <c r="A387" s="75"/>
      <c r="B387" s="76"/>
      <c r="C387" s="77"/>
      <c r="D387" s="78"/>
      <c r="E387" s="78"/>
      <c r="F387" s="79"/>
      <c r="G387" s="22"/>
      <c r="H387" s="22"/>
    </row>
    <row r="388" spans="1:8" ht="18">
      <c r="A388" s="75"/>
      <c r="B388" s="76"/>
      <c r="C388" s="77"/>
      <c r="D388" s="78"/>
      <c r="E388" s="78"/>
      <c r="F388" s="79"/>
      <c r="G388" s="22"/>
      <c r="H388" s="22"/>
    </row>
    <row r="389" spans="1:8" ht="18">
      <c r="A389" s="75"/>
      <c r="B389" s="76"/>
      <c r="C389" s="77"/>
      <c r="D389" s="78"/>
      <c r="E389" s="78"/>
      <c r="F389" s="79"/>
      <c r="G389" s="22"/>
      <c r="H389" s="22"/>
    </row>
    <row r="390" spans="1:8" ht="18">
      <c r="A390" s="75"/>
      <c r="B390" s="76"/>
      <c r="C390" s="77"/>
      <c r="D390" s="78"/>
      <c r="E390" s="78"/>
      <c r="F390" s="79"/>
      <c r="G390" s="22"/>
      <c r="H390" s="22"/>
    </row>
    <row r="391" spans="1:8" ht="18">
      <c r="A391" s="75"/>
      <c r="B391" s="76"/>
      <c r="C391" s="77"/>
      <c r="D391" s="78"/>
      <c r="E391" s="78"/>
      <c r="F391" s="79"/>
      <c r="G391" s="22"/>
      <c r="H391" s="22"/>
    </row>
    <row r="392" spans="1:8" ht="18">
      <c r="A392" s="75"/>
      <c r="B392" s="76"/>
      <c r="C392" s="77"/>
      <c r="D392" s="78"/>
      <c r="E392" s="78"/>
      <c r="F392" s="79"/>
      <c r="G392" s="22"/>
      <c r="H392" s="22"/>
    </row>
    <row r="393" spans="1:8" ht="18">
      <c r="A393" s="75"/>
      <c r="B393" s="76"/>
      <c r="C393" s="77"/>
      <c r="D393" s="78"/>
      <c r="E393" s="78"/>
      <c r="F393" s="79"/>
      <c r="G393" s="22"/>
      <c r="H393" s="22"/>
    </row>
    <row r="394" spans="1:8" ht="18">
      <c r="A394" s="75"/>
      <c r="B394" s="76"/>
      <c r="C394" s="77"/>
      <c r="D394" s="78"/>
      <c r="E394" s="78"/>
      <c r="F394" s="79"/>
      <c r="G394" s="22"/>
      <c r="H394" s="22"/>
    </row>
    <row r="395" spans="1:8" ht="18">
      <c r="A395" s="75"/>
      <c r="B395" s="76"/>
      <c r="C395" s="77"/>
      <c r="D395" s="78"/>
      <c r="E395" s="78"/>
      <c r="F395" s="79"/>
      <c r="G395" s="22"/>
      <c r="H395" s="22"/>
    </row>
    <row r="396" spans="1:8" ht="18">
      <c r="A396" s="75"/>
      <c r="B396" s="76"/>
      <c r="C396" s="77"/>
      <c r="D396" s="78"/>
      <c r="E396" s="78"/>
      <c r="F396" s="79"/>
      <c r="G396" s="22"/>
      <c r="H396" s="22"/>
    </row>
    <row r="397" spans="1:8" ht="18">
      <c r="A397" s="75"/>
      <c r="B397" s="76"/>
      <c r="C397" s="77"/>
      <c r="D397" s="78"/>
      <c r="E397" s="78"/>
      <c r="F397" s="79"/>
      <c r="G397" s="22"/>
      <c r="H397" s="22"/>
    </row>
    <row r="398" spans="1:8" ht="18">
      <c r="A398" s="75"/>
      <c r="B398" s="76"/>
      <c r="C398" s="77"/>
      <c r="D398" s="78"/>
      <c r="E398" s="78"/>
      <c r="F398" s="79"/>
      <c r="G398" s="22"/>
      <c r="H398" s="22"/>
    </row>
    <row r="399" spans="1:8" ht="18">
      <c r="A399" s="75"/>
      <c r="B399" s="76"/>
      <c r="C399" s="77"/>
      <c r="D399" s="78"/>
      <c r="E399" s="78"/>
      <c r="F399" s="79"/>
      <c r="G399" s="22"/>
      <c r="H399" s="22"/>
    </row>
    <row r="400" spans="1:8" ht="18">
      <c r="A400" s="75"/>
      <c r="B400" s="76"/>
      <c r="C400" s="77"/>
      <c r="D400" s="78"/>
      <c r="E400" s="78"/>
      <c r="F400" s="79"/>
      <c r="G400" s="22"/>
      <c r="H400" s="22"/>
    </row>
    <row r="401" spans="1:8" ht="18">
      <c r="A401" s="75"/>
      <c r="B401" s="76"/>
      <c r="C401" s="77"/>
      <c r="D401" s="78"/>
      <c r="E401" s="78"/>
      <c r="F401" s="79"/>
      <c r="G401" s="22"/>
      <c r="H401" s="22"/>
    </row>
    <row r="402" spans="1:8" ht="18">
      <c r="A402" s="75"/>
      <c r="B402" s="76"/>
      <c r="C402" s="77"/>
      <c r="D402" s="78"/>
      <c r="E402" s="78"/>
      <c r="F402" s="79"/>
      <c r="G402" s="22"/>
      <c r="H402" s="22"/>
    </row>
    <row r="403" spans="1:8" ht="18">
      <c r="A403" s="75"/>
      <c r="B403" s="76"/>
      <c r="C403" s="77"/>
      <c r="D403" s="78"/>
      <c r="E403" s="78"/>
      <c r="F403" s="79"/>
      <c r="G403" s="22"/>
      <c r="H403" s="22"/>
    </row>
    <row r="404" spans="1:8" ht="18">
      <c r="A404" s="75"/>
      <c r="B404" s="76"/>
      <c r="C404" s="77"/>
      <c r="D404" s="78"/>
      <c r="E404" s="78"/>
      <c r="F404" s="79"/>
      <c r="G404" s="22"/>
      <c r="H404" s="22"/>
    </row>
    <row r="405" spans="1:8" ht="18">
      <c r="A405" s="75"/>
      <c r="B405" s="76"/>
      <c r="C405" s="77"/>
      <c r="D405" s="78"/>
      <c r="E405" s="78"/>
      <c r="F405" s="79"/>
      <c r="G405" s="22"/>
      <c r="H405" s="22"/>
    </row>
    <row r="406" spans="1:8" ht="18">
      <c r="A406" s="75"/>
      <c r="B406" s="76"/>
      <c r="C406" s="77"/>
      <c r="D406" s="78"/>
      <c r="E406" s="78"/>
      <c r="F406" s="79"/>
      <c r="G406" s="22"/>
      <c r="H406" s="22"/>
    </row>
    <row r="407" spans="1:8" ht="18">
      <c r="A407" s="75"/>
      <c r="B407" s="76"/>
      <c r="C407" s="77"/>
      <c r="D407" s="78"/>
      <c r="E407" s="78"/>
      <c r="F407" s="79"/>
      <c r="G407" s="22"/>
      <c r="H407" s="22"/>
    </row>
    <row r="408" spans="1:8" ht="18">
      <c r="A408" s="75"/>
      <c r="B408" s="76"/>
      <c r="C408" s="77"/>
      <c r="D408" s="78"/>
      <c r="E408" s="78"/>
      <c r="F408" s="79"/>
      <c r="G408" s="22"/>
      <c r="H408" s="22"/>
    </row>
    <row r="409" spans="1:8" ht="18">
      <c r="A409" s="75"/>
      <c r="B409" s="76"/>
      <c r="C409" s="77"/>
      <c r="D409" s="78"/>
      <c r="E409" s="78"/>
      <c r="F409" s="79"/>
      <c r="G409" s="22"/>
      <c r="H409" s="22"/>
    </row>
    <row r="410" spans="1:8" ht="18">
      <c r="A410" s="75"/>
      <c r="B410" s="76"/>
      <c r="C410" s="77"/>
      <c r="D410" s="78"/>
      <c r="E410" s="78"/>
      <c r="F410" s="79"/>
      <c r="G410" s="22"/>
      <c r="H410" s="22"/>
    </row>
    <row r="411" spans="1:8" ht="18">
      <c r="A411" s="75"/>
      <c r="B411" s="76"/>
      <c r="C411" s="77"/>
      <c r="D411" s="78"/>
      <c r="E411" s="78"/>
      <c r="F411" s="79"/>
      <c r="G411" s="22"/>
      <c r="H411" s="22"/>
    </row>
    <row r="412" spans="1:8" ht="18">
      <c r="A412" s="75"/>
      <c r="B412" s="76"/>
      <c r="C412" s="77"/>
      <c r="D412" s="78"/>
      <c r="E412" s="78"/>
      <c r="F412" s="79"/>
      <c r="G412" s="22"/>
      <c r="H412" s="22"/>
    </row>
    <row r="413" spans="1:8" ht="18">
      <c r="A413" s="75"/>
      <c r="B413" s="76"/>
      <c r="C413" s="77"/>
      <c r="D413" s="78"/>
      <c r="E413" s="78"/>
      <c r="F413" s="79"/>
      <c r="G413" s="22"/>
      <c r="H413" s="22"/>
    </row>
    <row r="414" spans="1:8" ht="18">
      <c r="A414" s="75"/>
      <c r="B414" s="76"/>
      <c r="C414" s="77"/>
      <c r="D414" s="78"/>
      <c r="E414" s="78"/>
      <c r="F414" s="79"/>
      <c r="G414" s="22"/>
      <c r="H414" s="22"/>
    </row>
    <row r="415" spans="1:8" ht="18">
      <c r="A415" s="75"/>
      <c r="B415" s="76"/>
      <c r="C415" s="77"/>
      <c r="D415" s="78"/>
      <c r="E415" s="78"/>
      <c r="F415" s="79"/>
      <c r="G415" s="22"/>
      <c r="H415" s="22"/>
    </row>
    <row r="416" spans="1:8" ht="18">
      <c r="A416" s="75"/>
      <c r="B416" s="76"/>
      <c r="C416" s="77"/>
      <c r="D416" s="78"/>
      <c r="E416" s="78"/>
      <c r="F416" s="79"/>
      <c r="G416" s="22"/>
      <c r="H416" s="22"/>
    </row>
    <row r="417" spans="1:8" ht="18">
      <c r="A417" s="75"/>
      <c r="B417" s="76"/>
      <c r="C417" s="77"/>
      <c r="D417" s="78"/>
      <c r="E417" s="78"/>
      <c r="F417" s="79"/>
      <c r="G417" s="22"/>
      <c r="H417" s="22"/>
    </row>
    <row r="418" spans="1:8" ht="18">
      <c r="A418" s="75"/>
      <c r="B418" s="76"/>
      <c r="C418" s="77"/>
      <c r="D418" s="78"/>
      <c r="E418" s="78"/>
      <c r="F418" s="79"/>
      <c r="G418" s="22"/>
      <c r="H418" s="22"/>
    </row>
    <row r="419" spans="1:8" ht="18">
      <c r="A419" s="75"/>
      <c r="B419" s="76"/>
      <c r="C419" s="77"/>
      <c r="D419" s="78"/>
      <c r="E419" s="78"/>
      <c r="F419" s="79"/>
      <c r="G419" s="22"/>
      <c r="H419" s="22"/>
    </row>
    <row r="420" spans="1:8" ht="18">
      <c r="A420" s="75"/>
      <c r="B420" s="76"/>
      <c r="C420" s="77"/>
      <c r="D420" s="78"/>
      <c r="E420" s="78"/>
      <c r="F420" s="79"/>
      <c r="G420" s="22"/>
      <c r="H420" s="22"/>
    </row>
    <row r="421" spans="1:8" ht="18">
      <c r="A421" s="75"/>
      <c r="B421" s="76"/>
      <c r="C421" s="77"/>
      <c r="D421" s="78"/>
      <c r="E421" s="78"/>
      <c r="F421" s="79"/>
      <c r="G421" s="22"/>
      <c r="H421" s="22"/>
    </row>
    <row r="422" spans="1:8" ht="18">
      <c r="A422" s="75"/>
      <c r="B422" s="76"/>
      <c r="C422" s="77"/>
      <c r="D422" s="78"/>
      <c r="E422" s="78"/>
      <c r="F422" s="79"/>
      <c r="G422" s="22"/>
      <c r="H422" s="22"/>
    </row>
    <row r="423" spans="1:8" ht="18">
      <c r="A423" s="75"/>
      <c r="B423" s="76"/>
      <c r="C423" s="77"/>
      <c r="D423" s="78"/>
      <c r="E423" s="78"/>
      <c r="F423" s="79"/>
      <c r="G423" s="22"/>
      <c r="H423" s="22"/>
    </row>
    <row r="424" spans="1:8" ht="18">
      <c r="A424" s="75"/>
      <c r="B424" s="76"/>
      <c r="C424" s="77"/>
      <c r="D424" s="78"/>
      <c r="E424" s="78"/>
      <c r="F424" s="79"/>
      <c r="G424" s="22"/>
      <c r="H424" s="22"/>
    </row>
    <row r="425" spans="1:8" ht="18">
      <c r="A425" s="75"/>
      <c r="B425" s="76"/>
      <c r="C425" s="77"/>
      <c r="D425" s="78"/>
      <c r="E425" s="78"/>
      <c r="F425" s="79"/>
      <c r="G425" s="22"/>
      <c r="H425" s="22"/>
    </row>
    <row r="426" spans="1:8" ht="18">
      <c r="A426" s="75"/>
      <c r="B426" s="76"/>
      <c r="C426" s="77"/>
      <c r="D426" s="78"/>
      <c r="E426" s="78"/>
      <c r="F426" s="79"/>
      <c r="G426" s="22"/>
      <c r="H426" s="22"/>
    </row>
    <row r="427" spans="1:8" ht="18">
      <c r="A427" s="75"/>
      <c r="B427" s="76"/>
      <c r="C427" s="77"/>
      <c r="D427" s="78"/>
      <c r="E427" s="78"/>
      <c r="F427" s="79"/>
      <c r="G427" s="22"/>
      <c r="H427" s="22"/>
    </row>
    <row r="428" spans="1:8" ht="18">
      <c r="A428" s="75"/>
      <c r="B428" s="76"/>
      <c r="C428" s="77"/>
      <c r="D428" s="78"/>
      <c r="E428" s="78"/>
      <c r="F428" s="79"/>
      <c r="G428" s="22"/>
      <c r="H428" s="22"/>
    </row>
    <row r="429" spans="1:8" ht="18">
      <c r="A429" s="75"/>
      <c r="B429" s="76"/>
      <c r="C429" s="77"/>
      <c r="D429" s="78"/>
      <c r="E429" s="78"/>
      <c r="F429" s="79"/>
      <c r="G429" s="22"/>
      <c r="H429" s="22"/>
    </row>
    <row r="430" spans="1:8" ht="18">
      <c r="A430" s="75"/>
      <c r="B430" s="76"/>
      <c r="C430" s="77"/>
      <c r="D430" s="78"/>
      <c r="E430" s="78"/>
      <c r="F430" s="79"/>
      <c r="G430" s="22"/>
      <c r="H430" s="22"/>
    </row>
    <row r="431" spans="1:8" ht="18">
      <c r="A431" s="75"/>
      <c r="B431" s="76"/>
      <c r="C431" s="77"/>
      <c r="D431" s="78"/>
      <c r="E431" s="78"/>
      <c r="F431" s="79"/>
      <c r="G431" s="22"/>
      <c r="H431" s="22"/>
    </row>
    <row r="432" spans="1:8" ht="18">
      <c r="A432" s="75"/>
      <c r="B432" s="76"/>
      <c r="C432" s="77"/>
      <c r="D432" s="78"/>
      <c r="E432" s="78"/>
      <c r="F432" s="79"/>
      <c r="G432" s="22"/>
      <c r="H432" s="22"/>
    </row>
    <row r="433" spans="1:8" ht="18">
      <c r="A433" s="75"/>
      <c r="B433" s="76"/>
      <c r="C433" s="77"/>
      <c r="D433" s="78"/>
      <c r="E433" s="78"/>
      <c r="F433" s="79"/>
      <c r="G433" s="22"/>
      <c r="H433" s="22"/>
    </row>
    <row r="434" spans="1:8" ht="18">
      <c r="A434" s="75"/>
      <c r="B434" s="76"/>
      <c r="C434" s="77"/>
      <c r="D434" s="78"/>
      <c r="E434" s="78"/>
      <c r="F434" s="79"/>
      <c r="G434" s="22"/>
      <c r="H434" s="22"/>
    </row>
    <row r="435" spans="1:8" ht="18">
      <c r="A435" s="75"/>
      <c r="B435" s="76"/>
      <c r="C435" s="77"/>
      <c r="D435" s="78"/>
      <c r="E435" s="78"/>
      <c r="F435" s="79"/>
      <c r="G435" s="22"/>
      <c r="H435" s="22"/>
    </row>
    <row r="436" spans="1:8" ht="18">
      <c r="A436" s="75"/>
      <c r="B436" s="76"/>
      <c r="C436" s="77"/>
      <c r="D436" s="78"/>
      <c r="E436" s="78"/>
      <c r="F436" s="79"/>
      <c r="G436" s="22"/>
      <c r="H436" s="22"/>
    </row>
    <row r="437" spans="1:8" ht="18">
      <c r="A437" s="75"/>
      <c r="B437" s="76"/>
      <c r="C437" s="77"/>
      <c r="D437" s="78"/>
      <c r="E437" s="78"/>
      <c r="F437" s="79"/>
      <c r="G437" s="22"/>
      <c r="H437" s="22"/>
    </row>
    <row r="438" spans="1:8" ht="18">
      <c r="A438" s="75"/>
      <c r="B438" s="76"/>
      <c r="C438" s="77"/>
      <c r="D438" s="78"/>
      <c r="E438" s="78"/>
      <c r="F438" s="79"/>
      <c r="G438" s="22"/>
      <c r="H438" s="22"/>
    </row>
    <row r="439" spans="1:8" ht="18">
      <c r="A439" s="75"/>
      <c r="B439" s="76"/>
      <c r="C439" s="77"/>
      <c r="D439" s="78"/>
      <c r="E439" s="78"/>
      <c r="F439" s="79"/>
      <c r="G439" s="22"/>
      <c r="H439" s="22"/>
    </row>
    <row r="440" spans="1:8" ht="18">
      <c r="A440" s="75"/>
      <c r="B440" s="76"/>
      <c r="C440" s="77"/>
      <c r="D440" s="78"/>
      <c r="E440" s="78"/>
      <c r="F440" s="79"/>
      <c r="G440" s="22"/>
      <c r="H440" s="22"/>
    </row>
    <row r="441" spans="1:8" ht="18">
      <c r="A441" s="75"/>
      <c r="B441" s="76"/>
      <c r="C441" s="77"/>
      <c r="D441" s="78"/>
      <c r="E441" s="78"/>
      <c r="F441" s="79"/>
      <c r="G441" s="22"/>
      <c r="H441" s="22"/>
    </row>
    <row r="442" spans="1:8" ht="18">
      <c r="A442" s="75"/>
      <c r="B442" s="76"/>
      <c r="C442" s="77"/>
      <c r="D442" s="78"/>
      <c r="E442" s="78"/>
      <c r="F442" s="79"/>
      <c r="G442" s="22"/>
      <c r="H442" s="22"/>
    </row>
    <row r="443" spans="1:8" ht="18">
      <c r="A443" s="75"/>
      <c r="B443" s="76"/>
      <c r="C443" s="77"/>
      <c r="D443" s="78"/>
      <c r="E443" s="78"/>
      <c r="F443" s="79"/>
      <c r="G443" s="22"/>
      <c r="H443" s="22"/>
    </row>
    <row r="444" spans="1:8" ht="18">
      <c r="A444" s="75"/>
      <c r="B444" s="76"/>
      <c r="C444" s="77"/>
      <c r="D444" s="78"/>
      <c r="E444" s="78"/>
      <c r="F444" s="79"/>
      <c r="G444" s="22"/>
      <c r="H444" s="22"/>
    </row>
    <row r="445" spans="1:8" ht="18">
      <c r="A445" s="75"/>
      <c r="B445" s="76"/>
      <c r="C445" s="77"/>
      <c r="D445" s="78"/>
      <c r="E445" s="78"/>
      <c r="F445" s="79"/>
      <c r="G445" s="22"/>
      <c r="H445" s="22"/>
    </row>
    <row r="446" spans="1:8" ht="18">
      <c r="A446" s="75"/>
      <c r="B446" s="76"/>
      <c r="C446" s="77"/>
      <c r="D446" s="78"/>
      <c r="E446" s="78"/>
      <c r="F446" s="79"/>
      <c r="G446" s="22"/>
      <c r="H446" s="22"/>
    </row>
    <row r="447" spans="1:8" ht="18">
      <c r="A447" s="75"/>
      <c r="B447" s="76"/>
      <c r="C447" s="77"/>
      <c r="D447" s="78"/>
      <c r="E447" s="78"/>
      <c r="F447" s="79"/>
      <c r="G447" s="22"/>
      <c r="H447" s="22"/>
    </row>
    <row r="448" spans="1:8" ht="18">
      <c r="A448" s="75"/>
      <c r="B448" s="76"/>
      <c r="C448" s="77"/>
      <c r="D448" s="78"/>
      <c r="E448" s="78"/>
      <c r="F448" s="79"/>
      <c r="G448" s="22"/>
      <c r="H448" s="22"/>
    </row>
    <row r="449" spans="1:8" ht="18">
      <c r="A449" s="75"/>
      <c r="B449" s="76"/>
      <c r="C449" s="77"/>
      <c r="D449" s="78"/>
      <c r="E449" s="78"/>
      <c r="F449" s="79"/>
      <c r="G449" s="22"/>
      <c r="H449" s="22"/>
    </row>
    <row r="450" spans="1:8" ht="18">
      <c r="A450" s="75"/>
      <c r="B450" s="76"/>
      <c r="C450" s="77"/>
      <c r="D450" s="78"/>
      <c r="E450" s="78"/>
      <c r="F450" s="79"/>
      <c r="G450" s="22"/>
      <c r="H450" s="22"/>
    </row>
    <row r="451" spans="1:8" ht="18">
      <c r="A451" s="75"/>
      <c r="B451" s="76"/>
      <c r="C451" s="77"/>
      <c r="D451" s="78"/>
      <c r="E451" s="78"/>
      <c r="F451" s="79"/>
      <c r="G451" s="22"/>
      <c r="H451" s="22"/>
    </row>
    <row r="452" spans="1:8" ht="18">
      <c r="A452" s="75"/>
      <c r="B452" s="76"/>
      <c r="C452" s="77"/>
      <c r="D452" s="78"/>
      <c r="E452" s="78"/>
      <c r="F452" s="79"/>
      <c r="G452" s="22"/>
      <c r="H452" s="22"/>
    </row>
    <row r="453" spans="1:8" ht="18">
      <c r="A453" s="75"/>
      <c r="B453" s="76"/>
      <c r="C453" s="77"/>
      <c r="D453" s="78"/>
      <c r="E453" s="78"/>
      <c r="F453" s="79"/>
      <c r="G453" s="22"/>
      <c r="H453" s="22"/>
    </row>
    <row r="454" spans="1:8" ht="18">
      <c r="A454" s="75"/>
      <c r="B454" s="76"/>
      <c r="C454" s="77"/>
      <c r="D454" s="78"/>
      <c r="E454" s="78"/>
      <c r="F454" s="79"/>
      <c r="G454" s="22"/>
      <c r="H454" s="22"/>
    </row>
    <row r="455" spans="1:8" ht="18">
      <c r="A455" s="75"/>
      <c r="B455" s="76"/>
      <c r="C455" s="77"/>
      <c r="D455" s="78"/>
      <c r="E455" s="78"/>
      <c r="F455" s="79"/>
      <c r="G455" s="22"/>
      <c r="H455" s="22"/>
    </row>
    <row r="456" spans="1:8" ht="18">
      <c r="A456" s="75"/>
      <c r="B456" s="76"/>
      <c r="C456" s="77"/>
      <c r="D456" s="78"/>
      <c r="E456" s="78"/>
      <c r="F456" s="79"/>
      <c r="G456" s="22"/>
      <c r="H456" s="22"/>
    </row>
    <row r="457" spans="1:8" ht="18">
      <c r="A457" s="75"/>
      <c r="B457" s="76"/>
      <c r="C457" s="77"/>
      <c r="D457" s="78"/>
      <c r="E457" s="78"/>
      <c r="F457" s="79"/>
      <c r="G457" s="22"/>
      <c r="H457" s="22"/>
    </row>
    <row r="458" spans="1:8" ht="18">
      <c r="A458" s="75"/>
      <c r="B458" s="76"/>
      <c r="C458" s="77"/>
      <c r="D458" s="78"/>
      <c r="E458" s="78"/>
      <c r="F458" s="79"/>
      <c r="G458" s="22"/>
      <c r="H458" s="22"/>
    </row>
    <row r="459" spans="1:8" ht="18">
      <c r="A459" s="75"/>
      <c r="B459" s="76"/>
      <c r="C459" s="77"/>
      <c r="D459" s="78"/>
      <c r="E459" s="78"/>
      <c r="F459" s="79"/>
      <c r="G459" s="22"/>
      <c r="H459" s="22"/>
    </row>
    <row r="460" spans="1:8" ht="18">
      <c r="A460" s="75"/>
      <c r="B460" s="76"/>
      <c r="C460" s="77"/>
      <c r="D460" s="78"/>
      <c r="E460" s="78"/>
      <c r="F460" s="79"/>
      <c r="G460" s="22"/>
      <c r="H460" s="22"/>
    </row>
    <row r="461" spans="1:8" ht="18">
      <c r="A461" s="75"/>
      <c r="B461" s="76"/>
      <c r="C461" s="77"/>
      <c r="D461" s="78"/>
      <c r="E461" s="78"/>
      <c r="F461" s="79"/>
      <c r="G461" s="22"/>
      <c r="H461" s="22"/>
    </row>
    <row r="462" spans="1:8" ht="18">
      <c r="A462" s="75"/>
      <c r="B462" s="76"/>
      <c r="C462" s="77"/>
      <c r="D462" s="78"/>
      <c r="E462" s="78"/>
      <c r="F462" s="79"/>
      <c r="G462" s="22"/>
      <c r="H462" s="22"/>
    </row>
    <row r="463" spans="1:8" ht="18">
      <c r="A463" s="75"/>
      <c r="B463" s="76"/>
      <c r="C463" s="77"/>
      <c r="D463" s="78"/>
      <c r="E463" s="78"/>
      <c r="F463" s="79"/>
      <c r="G463" s="22"/>
      <c r="H463" s="22"/>
    </row>
    <row r="464" spans="1:8" ht="18">
      <c r="A464" s="75"/>
      <c r="B464" s="76"/>
      <c r="C464" s="77"/>
      <c r="D464" s="78"/>
      <c r="E464" s="78"/>
      <c r="F464" s="79"/>
      <c r="G464" s="22"/>
      <c r="H464" s="22"/>
    </row>
    <row r="465" spans="1:8" ht="18">
      <c r="A465" s="75"/>
      <c r="B465" s="76"/>
      <c r="C465" s="77"/>
      <c r="D465" s="78"/>
      <c r="E465" s="78"/>
      <c r="F465" s="79"/>
      <c r="G465" s="22"/>
      <c r="H465" s="22"/>
    </row>
    <row r="466" spans="1:8" ht="18">
      <c r="A466" s="75"/>
      <c r="B466" s="76"/>
      <c r="C466" s="77"/>
      <c r="D466" s="78"/>
      <c r="E466" s="78"/>
      <c r="F466" s="79"/>
      <c r="G466" s="22"/>
      <c r="H466" s="22"/>
    </row>
    <row r="467" spans="1:8" ht="18">
      <c r="A467" s="75"/>
      <c r="B467" s="76"/>
      <c r="C467" s="77"/>
      <c r="D467" s="78"/>
      <c r="E467" s="78"/>
      <c r="F467" s="79"/>
      <c r="G467" s="22"/>
      <c r="H467" s="22"/>
    </row>
    <row r="468" spans="1:8" ht="18">
      <c r="A468" s="75"/>
      <c r="B468" s="76"/>
      <c r="C468" s="77"/>
      <c r="D468" s="78"/>
      <c r="E468" s="78"/>
      <c r="F468" s="79"/>
      <c r="G468" s="22"/>
      <c r="H468" s="22"/>
    </row>
    <row r="469" spans="1:8" ht="18">
      <c r="A469" s="75"/>
      <c r="B469" s="76"/>
      <c r="C469" s="77"/>
      <c r="D469" s="78"/>
      <c r="E469" s="78"/>
      <c r="F469" s="79"/>
      <c r="G469" s="22"/>
      <c r="H469" s="22"/>
    </row>
    <row r="470" spans="1:8" ht="18">
      <c r="A470" s="75"/>
      <c r="B470" s="76"/>
      <c r="C470" s="77"/>
      <c r="D470" s="78"/>
      <c r="E470" s="78"/>
      <c r="F470" s="79"/>
      <c r="G470" s="22"/>
      <c r="H470" s="22"/>
    </row>
    <row r="471" spans="1:8" ht="18">
      <c r="A471" s="75"/>
      <c r="B471" s="76"/>
      <c r="C471" s="77"/>
      <c r="D471" s="78"/>
      <c r="E471" s="78"/>
      <c r="F471" s="79"/>
      <c r="G471" s="22"/>
      <c r="H471" s="22"/>
    </row>
    <row r="472" spans="1:8" ht="18">
      <c r="A472" s="75"/>
      <c r="B472" s="76"/>
      <c r="C472" s="77"/>
      <c r="D472" s="78"/>
      <c r="E472" s="78"/>
      <c r="F472" s="79"/>
      <c r="G472" s="22"/>
      <c r="H472" s="22"/>
    </row>
    <row r="473" spans="1:8" ht="18">
      <c r="A473" s="75"/>
      <c r="B473" s="76"/>
      <c r="C473" s="77"/>
      <c r="D473" s="78"/>
      <c r="E473" s="78"/>
      <c r="F473" s="79"/>
      <c r="G473" s="22"/>
      <c r="H473" s="22"/>
    </row>
    <row r="474" spans="1:8" ht="18">
      <c r="A474" s="75"/>
      <c r="B474" s="76"/>
      <c r="C474" s="77"/>
      <c r="D474" s="78"/>
      <c r="E474" s="78"/>
      <c r="F474" s="79"/>
      <c r="G474" s="22"/>
      <c r="H474" s="22"/>
    </row>
    <row r="475" spans="1:8" ht="18">
      <c r="A475" s="75"/>
      <c r="B475" s="76"/>
      <c r="C475" s="77"/>
      <c r="D475" s="78"/>
      <c r="E475" s="78"/>
      <c r="F475" s="79"/>
      <c r="G475" s="22"/>
      <c r="H475" s="22"/>
    </row>
    <row r="476" spans="1:8" ht="18">
      <c r="A476" s="75"/>
      <c r="B476" s="76"/>
      <c r="C476" s="77"/>
      <c r="D476" s="78"/>
      <c r="E476" s="78"/>
      <c r="F476" s="79"/>
      <c r="G476" s="22"/>
      <c r="H476" s="22"/>
    </row>
    <row r="477" spans="1:8" ht="18">
      <c r="A477" s="75"/>
      <c r="B477" s="76"/>
      <c r="C477" s="77"/>
      <c r="D477" s="78"/>
      <c r="E477" s="78"/>
      <c r="F477" s="79"/>
      <c r="G477" s="22"/>
      <c r="H477" s="22"/>
    </row>
    <row r="478" spans="1:8" ht="18">
      <c r="A478" s="75"/>
      <c r="B478" s="76"/>
      <c r="C478" s="77"/>
      <c r="D478" s="78"/>
      <c r="E478" s="78"/>
      <c r="F478" s="79"/>
      <c r="G478" s="22"/>
      <c r="H478" s="22"/>
    </row>
    <row r="479" spans="1:8" ht="18">
      <c r="A479" s="75"/>
      <c r="B479" s="76"/>
      <c r="C479" s="77"/>
      <c r="D479" s="78"/>
      <c r="E479" s="78"/>
      <c r="F479" s="79"/>
      <c r="G479" s="22"/>
      <c r="H479" s="22"/>
    </row>
    <row r="480" spans="1:8" ht="18">
      <c r="A480" s="75"/>
      <c r="B480" s="76"/>
      <c r="C480" s="77"/>
      <c r="D480" s="78"/>
      <c r="E480" s="78"/>
      <c r="F480" s="79"/>
      <c r="G480" s="22"/>
      <c r="H480" s="22"/>
    </row>
    <row r="481" spans="1:8" ht="18">
      <c r="A481" s="75"/>
      <c r="B481" s="76"/>
      <c r="C481" s="77"/>
      <c r="D481" s="78"/>
      <c r="E481" s="78"/>
      <c r="F481" s="79"/>
      <c r="G481" s="22"/>
      <c r="H481" s="22"/>
    </row>
    <row r="482" spans="1:8" ht="18">
      <c r="A482" s="75"/>
      <c r="B482" s="76"/>
      <c r="C482" s="77"/>
      <c r="D482" s="78"/>
      <c r="E482" s="78"/>
      <c r="F482" s="79"/>
      <c r="G482" s="22"/>
      <c r="H482" s="22"/>
    </row>
    <row r="483" spans="1:8" ht="18">
      <c r="A483" s="75"/>
      <c r="B483" s="76"/>
      <c r="C483" s="77"/>
      <c r="D483" s="78"/>
      <c r="E483" s="78"/>
      <c r="F483" s="79"/>
      <c r="G483" s="22"/>
      <c r="H483" s="22"/>
    </row>
    <row r="484" spans="1:8" ht="18">
      <c r="A484" s="75"/>
      <c r="B484" s="76"/>
      <c r="C484" s="77"/>
      <c r="D484" s="78"/>
      <c r="E484" s="78"/>
      <c r="F484" s="79"/>
      <c r="G484" s="22"/>
      <c r="H484" s="22"/>
    </row>
    <row r="485" spans="1:8" ht="18">
      <c r="A485" s="75"/>
      <c r="B485" s="76"/>
      <c r="C485" s="77"/>
      <c r="D485" s="78"/>
      <c r="E485" s="78"/>
      <c r="F485" s="79"/>
      <c r="G485" s="22"/>
      <c r="H485" s="22"/>
    </row>
    <row r="486" spans="1:8" ht="18">
      <c r="A486" s="75"/>
      <c r="B486" s="76"/>
      <c r="C486" s="77"/>
      <c r="D486" s="78"/>
      <c r="E486" s="78"/>
      <c r="F486" s="79"/>
      <c r="G486" s="22"/>
      <c r="H486" s="22"/>
    </row>
    <row r="487" spans="1:8" ht="18">
      <c r="A487" s="75"/>
      <c r="B487" s="76"/>
      <c r="C487" s="77"/>
      <c r="D487" s="78"/>
      <c r="E487" s="78"/>
      <c r="F487" s="79"/>
      <c r="G487" s="22"/>
      <c r="H487" s="22"/>
    </row>
    <row r="488" spans="1:8" ht="18">
      <c r="A488" s="75"/>
      <c r="B488" s="76"/>
      <c r="C488" s="77"/>
      <c r="D488" s="78"/>
      <c r="E488" s="78"/>
      <c r="F488" s="79"/>
      <c r="G488" s="22"/>
      <c r="H488" s="22"/>
    </row>
    <row r="489" spans="1:8" ht="18">
      <c r="A489" s="75"/>
      <c r="B489" s="76"/>
      <c r="C489" s="77"/>
      <c r="D489" s="78"/>
      <c r="E489" s="78"/>
      <c r="F489" s="79"/>
      <c r="G489" s="22"/>
      <c r="H489" s="22"/>
    </row>
    <row r="490" spans="1:8" ht="18">
      <c r="A490" s="75"/>
      <c r="B490" s="76"/>
      <c r="C490" s="77"/>
      <c r="D490" s="78"/>
      <c r="E490" s="78"/>
      <c r="F490" s="79"/>
      <c r="G490" s="22"/>
      <c r="H490" s="22"/>
    </row>
    <row r="491" spans="1:8" ht="18">
      <c r="A491" s="75"/>
      <c r="B491" s="76"/>
      <c r="C491" s="77"/>
      <c r="D491" s="78"/>
      <c r="E491" s="78"/>
      <c r="F491" s="79"/>
      <c r="G491" s="22"/>
      <c r="H491" s="22"/>
    </row>
    <row r="492" spans="1:8" ht="18">
      <c r="A492" s="75"/>
      <c r="B492" s="76"/>
      <c r="C492" s="77"/>
      <c r="D492" s="78"/>
      <c r="E492" s="78"/>
      <c r="F492" s="79"/>
      <c r="G492" s="22"/>
      <c r="H492" s="22"/>
    </row>
    <row r="493" spans="1:8" ht="18">
      <c r="A493" s="75"/>
      <c r="B493" s="76"/>
      <c r="C493" s="77"/>
      <c r="D493" s="78"/>
      <c r="E493" s="78"/>
      <c r="F493" s="79"/>
      <c r="G493" s="22"/>
      <c r="H493" s="22"/>
    </row>
    <row r="494" spans="1:8" ht="18">
      <c r="A494" s="75"/>
      <c r="B494" s="76"/>
      <c r="C494" s="77"/>
      <c r="D494" s="78"/>
      <c r="E494" s="78"/>
      <c r="F494" s="79"/>
      <c r="G494" s="22"/>
      <c r="H494" s="22"/>
    </row>
    <row r="495" spans="1:8" ht="18">
      <c r="A495" s="75"/>
      <c r="B495" s="76"/>
      <c r="C495" s="77"/>
      <c r="D495" s="78"/>
      <c r="E495" s="78"/>
      <c r="F495" s="79"/>
      <c r="G495" s="22"/>
      <c r="H495" s="22"/>
    </row>
    <row r="496" spans="1:8" ht="18">
      <c r="A496" s="75"/>
      <c r="B496" s="76"/>
      <c r="C496" s="77"/>
      <c r="D496" s="78"/>
      <c r="E496" s="78"/>
      <c r="F496" s="79"/>
      <c r="G496" s="22"/>
      <c r="H496" s="22"/>
    </row>
    <row r="497" spans="1:8" ht="18">
      <c r="A497" s="75"/>
      <c r="B497" s="76"/>
      <c r="C497" s="77"/>
      <c r="D497" s="78"/>
      <c r="E497" s="78"/>
      <c r="F497" s="79"/>
      <c r="G497" s="22"/>
      <c r="H497" s="22"/>
    </row>
    <row r="498" spans="1:8" ht="18">
      <c r="A498" s="75"/>
      <c r="B498" s="76"/>
      <c r="C498" s="77"/>
      <c r="D498" s="78"/>
      <c r="E498" s="78"/>
      <c r="F498" s="79"/>
      <c r="G498" s="22"/>
      <c r="H498" s="22"/>
    </row>
    <row r="499" spans="1:8" ht="18">
      <c r="A499" s="75"/>
      <c r="B499" s="76"/>
      <c r="C499" s="77"/>
      <c r="D499" s="78"/>
      <c r="E499" s="78"/>
      <c r="F499" s="79"/>
      <c r="G499" s="22"/>
      <c r="H499" s="22"/>
    </row>
    <row r="500" spans="1:8" ht="18">
      <c r="A500" s="75"/>
      <c r="B500" s="76"/>
      <c r="C500" s="77"/>
      <c r="D500" s="78"/>
      <c r="E500" s="78"/>
      <c r="F500" s="79"/>
      <c r="G500" s="22"/>
      <c r="H500" s="22"/>
    </row>
    <row r="501" spans="1:8" ht="18">
      <c r="A501" s="75"/>
      <c r="B501" s="76"/>
      <c r="C501" s="77"/>
      <c r="D501" s="78"/>
      <c r="E501" s="78"/>
      <c r="F501" s="79"/>
      <c r="G501" s="22"/>
      <c r="H501" s="22"/>
    </row>
    <row r="502" spans="1:8" ht="18">
      <c r="A502" s="75"/>
      <c r="B502" s="76"/>
      <c r="C502" s="77"/>
      <c r="D502" s="78"/>
      <c r="E502" s="78"/>
      <c r="F502" s="79"/>
      <c r="G502" s="22"/>
      <c r="H502" s="22"/>
    </row>
    <row r="503" spans="1:8" ht="18">
      <c r="A503" s="75"/>
      <c r="B503" s="76"/>
      <c r="C503" s="77"/>
      <c r="D503" s="78"/>
      <c r="E503" s="78"/>
      <c r="F503" s="79"/>
      <c r="G503" s="22"/>
      <c r="H503" s="22"/>
    </row>
    <row r="504" spans="1:8" ht="18">
      <c r="A504" s="75"/>
      <c r="B504" s="76"/>
      <c r="C504" s="77"/>
      <c r="D504" s="78"/>
      <c r="E504" s="78"/>
      <c r="F504" s="79"/>
      <c r="G504" s="22"/>
      <c r="H504" s="22"/>
    </row>
    <row r="505" spans="1:8" ht="18">
      <c r="A505" s="75"/>
      <c r="B505" s="76"/>
      <c r="C505" s="77"/>
      <c r="D505" s="78"/>
      <c r="E505" s="78"/>
      <c r="F505" s="79"/>
      <c r="G505" s="22"/>
      <c r="H505" s="22"/>
    </row>
    <row r="506" spans="1:8" ht="18">
      <c r="A506" s="75"/>
      <c r="B506" s="76"/>
      <c r="C506" s="77"/>
      <c r="D506" s="78"/>
      <c r="E506" s="78"/>
      <c r="F506" s="79"/>
      <c r="G506" s="22"/>
      <c r="H506" s="22"/>
    </row>
    <row r="507" spans="1:8" ht="18">
      <c r="A507" s="75"/>
      <c r="B507" s="76"/>
      <c r="C507" s="77"/>
      <c r="D507" s="78"/>
      <c r="E507" s="78"/>
      <c r="F507" s="79"/>
      <c r="G507" s="22"/>
      <c r="H507" s="22"/>
    </row>
    <row r="508" spans="1:8" ht="18">
      <c r="A508" s="75"/>
      <c r="B508" s="76"/>
      <c r="C508" s="77"/>
      <c r="D508" s="78"/>
      <c r="E508" s="78"/>
      <c r="F508" s="79"/>
      <c r="G508" s="22"/>
      <c r="H508" s="22"/>
    </row>
    <row r="509" spans="1:8" ht="18">
      <c r="A509" s="75"/>
      <c r="B509" s="76"/>
      <c r="C509" s="77"/>
      <c r="D509" s="78"/>
      <c r="E509" s="78"/>
      <c r="F509" s="79"/>
      <c r="G509" s="22"/>
      <c r="H509" s="22"/>
    </row>
    <row r="510" spans="1:8" ht="18">
      <c r="A510" s="75"/>
      <c r="B510" s="76"/>
      <c r="C510" s="77"/>
      <c r="D510" s="78"/>
      <c r="E510" s="78"/>
      <c r="F510" s="79"/>
      <c r="G510" s="22"/>
      <c r="H510" s="22"/>
    </row>
    <row r="511" spans="1:8" ht="18">
      <c r="A511" s="75"/>
      <c r="B511" s="76"/>
      <c r="C511" s="77"/>
      <c r="D511" s="78"/>
      <c r="E511" s="78"/>
      <c r="F511" s="79"/>
      <c r="G511" s="22"/>
      <c r="H511" s="22"/>
    </row>
    <row r="512" spans="1:8" ht="18">
      <c r="A512" s="75"/>
      <c r="B512" s="76"/>
      <c r="C512" s="77"/>
      <c r="D512" s="78"/>
      <c r="E512" s="78"/>
      <c r="F512" s="79"/>
      <c r="G512" s="22"/>
      <c r="H512" s="22"/>
    </row>
    <row r="513" spans="1:8" ht="18">
      <c r="A513" s="75"/>
      <c r="B513" s="76"/>
      <c r="C513" s="77"/>
      <c r="D513" s="78"/>
      <c r="E513" s="78"/>
      <c r="F513" s="79"/>
      <c r="G513" s="22"/>
      <c r="H513" s="22"/>
    </row>
    <row r="514" spans="1:8" ht="18">
      <c r="A514" s="75"/>
      <c r="B514" s="76"/>
      <c r="C514" s="77"/>
      <c r="D514" s="78"/>
      <c r="E514" s="78"/>
      <c r="F514" s="79"/>
      <c r="G514" s="22"/>
      <c r="H514" s="22"/>
    </row>
    <row r="515" spans="1:8" ht="18">
      <c r="A515" s="75"/>
      <c r="B515" s="76"/>
      <c r="C515" s="77"/>
      <c r="D515" s="78"/>
      <c r="E515" s="78"/>
      <c r="F515" s="79"/>
      <c r="G515" s="22"/>
      <c r="H515" s="22"/>
    </row>
    <row r="516" spans="1:8" ht="18">
      <c r="A516" s="75"/>
      <c r="B516" s="76"/>
      <c r="C516" s="77"/>
      <c r="D516" s="78"/>
      <c r="E516" s="78"/>
      <c r="F516" s="79"/>
      <c r="G516" s="22"/>
      <c r="H516" s="22"/>
    </row>
    <row r="517" spans="1:8" ht="18">
      <c r="A517" s="75"/>
      <c r="B517" s="76"/>
      <c r="C517" s="77"/>
      <c r="D517" s="78"/>
      <c r="E517" s="78"/>
      <c r="F517" s="79"/>
      <c r="G517" s="22"/>
      <c r="H517" s="22"/>
    </row>
    <row r="518" spans="1:8" ht="18">
      <c r="A518" s="75"/>
      <c r="B518" s="76"/>
      <c r="C518" s="77"/>
      <c r="D518" s="78"/>
      <c r="E518" s="78"/>
      <c r="F518" s="79"/>
      <c r="G518" s="22"/>
      <c r="H518" s="22"/>
    </row>
    <row r="519" spans="1:8" ht="18">
      <c r="A519" s="75"/>
      <c r="B519" s="76"/>
      <c r="C519" s="77"/>
      <c r="D519" s="78"/>
      <c r="E519" s="78"/>
      <c r="F519" s="79"/>
      <c r="G519" s="22"/>
      <c r="H519" s="22"/>
    </row>
    <row r="520" spans="1:8" ht="18">
      <c r="A520" s="75"/>
      <c r="B520" s="76"/>
      <c r="C520" s="77"/>
      <c r="D520" s="78"/>
      <c r="E520" s="78"/>
      <c r="F520" s="79"/>
      <c r="G520" s="22"/>
      <c r="H520" s="22"/>
    </row>
    <row r="521" spans="1:8" ht="18">
      <c r="A521" s="75"/>
      <c r="B521" s="76"/>
      <c r="C521" s="77"/>
      <c r="D521" s="78"/>
      <c r="E521" s="78"/>
      <c r="F521" s="79"/>
      <c r="G521" s="22"/>
      <c r="H521" s="22"/>
    </row>
    <row r="522" spans="1:8" ht="18">
      <c r="A522" s="75"/>
      <c r="B522" s="76"/>
      <c r="C522" s="77"/>
      <c r="D522" s="78"/>
      <c r="E522" s="78"/>
      <c r="F522" s="79"/>
      <c r="G522" s="22"/>
      <c r="H522" s="22"/>
    </row>
    <row r="523" spans="1:8" ht="18">
      <c r="A523" s="75"/>
      <c r="B523" s="76"/>
      <c r="C523" s="77"/>
      <c r="D523" s="78"/>
      <c r="E523" s="78"/>
      <c r="F523" s="79"/>
      <c r="G523" s="22"/>
      <c r="H523" s="22"/>
    </row>
    <row r="524" spans="1:8" ht="18">
      <c r="A524" s="75"/>
      <c r="B524" s="76"/>
      <c r="C524" s="77"/>
      <c r="D524" s="78"/>
      <c r="E524" s="78"/>
      <c r="F524" s="79"/>
      <c r="G524" s="22"/>
      <c r="H524" s="22"/>
    </row>
    <row r="525" spans="1:8" ht="18">
      <c r="A525" s="75"/>
      <c r="B525" s="76"/>
      <c r="C525" s="77"/>
      <c r="D525" s="78"/>
      <c r="E525" s="78"/>
      <c r="F525" s="79"/>
      <c r="G525" s="22"/>
      <c r="H525" s="22"/>
    </row>
    <row r="526" spans="1:8" ht="18">
      <c r="A526" s="75"/>
      <c r="B526" s="76"/>
      <c r="C526" s="77"/>
      <c r="D526" s="78"/>
      <c r="E526" s="78"/>
      <c r="F526" s="79"/>
      <c r="G526" s="22"/>
      <c r="H526" s="22"/>
    </row>
    <row r="527" spans="1:8" ht="18">
      <c r="A527" s="75"/>
      <c r="B527" s="76"/>
      <c r="C527" s="77"/>
      <c r="D527" s="78"/>
      <c r="E527" s="78"/>
      <c r="F527" s="79"/>
      <c r="G527" s="22"/>
      <c r="H527" s="22"/>
    </row>
    <row r="528" spans="1:8" ht="18">
      <c r="A528" s="75"/>
      <c r="B528" s="76"/>
      <c r="C528" s="77"/>
      <c r="D528" s="78"/>
      <c r="E528" s="78"/>
      <c r="F528" s="79"/>
      <c r="G528" s="22"/>
      <c r="H528" s="22"/>
    </row>
    <row r="529" spans="1:8" ht="18">
      <c r="A529" s="75"/>
      <c r="B529" s="76"/>
      <c r="C529" s="77"/>
      <c r="D529" s="78"/>
      <c r="E529" s="78"/>
      <c r="F529" s="79"/>
      <c r="G529" s="22"/>
      <c r="H529" s="22"/>
    </row>
    <row r="530" spans="1:8" ht="18">
      <c r="A530" s="75"/>
      <c r="B530" s="76"/>
      <c r="C530" s="77"/>
      <c r="D530" s="78"/>
      <c r="E530" s="78"/>
      <c r="F530" s="79"/>
      <c r="G530" s="22"/>
      <c r="H530" s="22"/>
    </row>
    <row r="531" spans="1:8" ht="18">
      <c r="A531" s="75"/>
      <c r="B531" s="76"/>
      <c r="C531" s="77"/>
      <c r="D531" s="78"/>
      <c r="E531" s="78"/>
      <c r="F531" s="79"/>
      <c r="G531" s="22"/>
      <c r="H531" s="22"/>
    </row>
    <row r="532" spans="1:8" ht="18">
      <c r="A532" s="75"/>
      <c r="B532" s="76"/>
      <c r="C532" s="77"/>
      <c r="D532" s="78"/>
      <c r="E532" s="78"/>
      <c r="F532" s="79"/>
      <c r="G532" s="22"/>
      <c r="H532" s="22"/>
    </row>
    <row r="533" spans="1:8" ht="18">
      <c r="A533" s="75"/>
      <c r="B533" s="76"/>
      <c r="C533" s="77"/>
      <c r="D533" s="78"/>
      <c r="E533" s="78"/>
      <c r="F533" s="79"/>
      <c r="G533" s="22"/>
      <c r="H533" s="22"/>
    </row>
    <row r="534" spans="1:8" ht="18">
      <c r="A534" s="75"/>
      <c r="B534" s="76"/>
      <c r="C534" s="77"/>
      <c r="D534" s="78"/>
      <c r="E534" s="78"/>
      <c r="F534" s="79"/>
      <c r="G534" s="22"/>
      <c r="H534" s="22"/>
    </row>
    <row r="535" spans="1:8" ht="18">
      <c r="A535" s="75"/>
      <c r="B535" s="76"/>
      <c r="C535" s="77"/>
      <c r="D535" s="78"/>
      <c r="E535" s="78"/>
      <c r="F535" s="79"/>
      <c r="G535" s="22"/>
      <c r="H535" s="22"/>
    </row>
    <row r="536" spans="1:8" ht="18">
      <c r="A536" s="75"/>
      <c r="B536" s="76"/>
      <c r="C536" s="77"/>
      <c r="D536" s="78"/>
      <c r="E536" s="78"/>
      <c r="F536" s="79"/>
      <c r="G536" s="22"/>
      <c r="H536" s="22"/>
    </row>
    <row r="537" spans="1:8" ht="18">
      <c r="A537" s="75"/>
      <c r="B537" s="76"/>
      <c r="C537" s="77"/>
      <c r="D537" s="78"/>
      <c r="E537" s="78"/>
      <c r="F537" s="79"/>
      <c r="G537" s="22"/>
      <c r="H537" s="22"/>
    </row>
    <row r="538" spans="1:8" ht="18">
      <c r="A538" s="75"/>
      <c r="B538" s="76"/>
      <c r="C538" s="77"/>
      <c r="D538" s="78"/>
      <c r="E538" s="78"/>
      <c r="F538" s="79"/>
      <c r="G538" s="22"/>
      <c r="H538" s="22"/>
    </row>
    <row r="539" spans="1:8" ht="18">
      <c r="A539" s="75"/>
      <c r="B539" s="76"/>
      <c r="C539" s="77"/>
      <c r="D539" s="78"/>
      <c r="E539" s="78"/>
      <c r="F539" s="79"/>
      <c r="G539" s="22"/>
      <c r="H539" s="22"/>
    </row>
    <row r="540" spans="1:8" ht="18">
      <c r="A540" s="75"/>
      <c r="B540" s="76"/>
      <c r="C540" s="77"/>
      <c r="D540" s="78"/>
      <c r="E540" s="78"/>
      <c r="F540" s="79"/>
      <c r="G540" s="22"/>
      <c r="H540" s="22"/>
    </row>
    <row r="541" spans="1:8" ht="18">
      <c r="A541" s="75"/>
      <c r="B541" s="76"/>
      <c r="C541" s="77"/>
      <c r="D541" s="78"/>
      <c r="E541" s="78"/>
      <c r="F541" s="79"/>
      <c r="G541" s="22"/>
      <c r="H541" s="22"/>
    </row>
    <row r="542" spans="1:8" ht="18">
      <c r="A542" s="75"/>
      <c r="B542" s="76"/>
      <c r="C542" s="77"/>
      <c r="D542" s="78"/>
      <c r="E542" s="78"/>
      <c r="F542" s="79"/>
      <c r="G542" s="22"/>
      <c r="H542" s="22"/>
    </row>
    <row r="543" spans="1:8" ht="18">
      <c r="A543" s="75"/>
      <c r="B543" s="76"/>
      <c r="C543" s="77"/>
      <c r="D543" s="78"/>
      <c r="E543" s="78"/>
      <c r="F543" s="79"/>
      <c r="G543" s="22"/>
      <c r="H543" s="22"/>
    </row>
    <row r="544" spans="1:8" ht="18">
      <c r="A544" s="75"/>
      <c r="B544" s="76"/>
      <c r="C544" s="77"/>
      <c r="D544" s="78"/>
      <c r="E544" s="78"/>
      <c r="F544" s="79"/>
      <c r="G544" s="22"/>
      <c r="H544" s="22"/>
    </row>
    <row r="545" spans="1:8" ht="18">
      <c r="A545" s="75"/>
      <c r="B545" s="76"/>
      <c r="C545" s="77"/>
      <c r="D545" s="78"/>
      <c r="E545" s="78"/>
      <c r="F545" s="79"/>
      <c r="G545" s="22"/>
      <c r="H545" s="22"/>
    </row>
    <row r="546" spans="1:8" ht="18">
      <c r="A546" s="75"/>
      <c r="B546" s="76"/>
      <c r="C546" s="77"/>
      <c r="D546" s="78"/>
      <c r="E546" s="78"/>
      <c r="F546" s="79"/>
      <c r="G546" s="22"/>
      <c r="H546" s="22"/>
    </row>
    <row r="547" spans="1:8" ht="18">
      <c r="A547" s="75"/>
      <c r="B547" s="76"/>
      <c r="C547" s="77"/>
      <c r="D547" s="78"/>
      <c r="E547" s="78"/>
      <c r="F547" s="79"/>
      <c r="G547" s="22"/>
      <c r="H547" s="22"/>
    </row>
    <row r="548" spans="1:8" ht="18">
      <c r="A548" s="75"/>
      <c r="B548" s="76"/>
      <c r="C548" s="77"/>
      <c r="D548" s="78"/>
      <c r="E548" s="78"/>
      <c r="F548" s="79"/>
      <c r="G548" s="22"/>
      <c r="H548" s="22"/>
    </row>
    <row r="549" spans="1:8" ht="18">
      <c r="A549" s="75"/>
      <c r="B549" s="76"/>
      <c r="C549" s="77"/>
      <c r="D549" s="78"/>
      <c r="E549" s="78"/>
      <c r="F549" s="79"/>
      <c r="G549" s="22"/>
      <c r="H549" s="22"/>
    </row>
    <row r="550" spans="1:8" ht="18">
      <c r="A550" s="75"/>
      <c r="B550" s="76"/>
      <c r="C550" s="77"/>
      <c r="D550" s="78"/>
      <c r="E550" s="78"/>
      <c r="F550" s="79"/>
      <c r="G550" s="22"/>
      <c r="H550" s="22"/>
    </row>
    <row r="551" spans="1:8" ht="18">
      <c r="A551" s="75"/>
      <c r="B551" s="76"/>
      <c r="C551" s="77"/>
      <c r="D551" s="78"/>
      <c r="E551" s="78"/>
      <c r="F551" s="79"/>
      <c r="G551" s="22"/>
      <c r="H551" s="22"/>
    </row>
    <row r="552" spans="1:8" ht="18">
      <c r="A552" s="75"/>
      <c r="B552" s="76"/>
      <c r="C552" s="77"/>
      <c r="D552" s="78"/>
      <c r="E552" s="78"/>
      <c r="F552" s="79"/>
      <c r="G552" s="22"/>
      <c r="H552" s="22"/>
    </row>
    <row r="553" spans="1:8" ht="18">
      <c r="A553" s="75"/>
      <c r="B553" s="76"/>
      <c r="C553" s="77"/>
      <c r="D553" s="78"/>
      <c r="E553" s="78"/>
      <c r="F553" s="79"/>
      <c r="G553" s="22"/>
      <c r="H553" s="22"/>
    </row>
    <row r="554" spans="1:8" ht="18">
      <c r="A554" s="75"/>
      <c r="B554" s="76"/>
      <c r="C554" s="77"/>
      <c r="D554" s="78"/>
      <c r="E554" s="78"/>
      <c r="F554" s="79"/>
      <c r="G554" s="22"/>
      <c r="H554" s="22"/>
    </row>
    <row r="555" spans="1:8" ht="18">
      <c r="A555" s="75"/>
      <c r="B555" s="76"/>
      <c r="C555" s="77"/>
      <c r="D555" s="78"/>
      <c r="E555" s="78"/>
      <c r="F555" s="79"/>
      <c r="G555" s="22"/>
      <c r="H555" s="22"/>
    </row>
    <row r="556" spans="1:8" ht="18">
      <c r="A556" s="75"/>
      <c r="B556" s="76"/>
      <c r="C556" s="77"/>
      <c r="D556" s="78"/>
      <c r="E556" s="78"/>
      <c r="F556" s="79"/>
      <c r="G556" s="22"/>
      <c r="H556" s="22"/>
    </row>
    <row r="557" spans="1:8" ht="18">
      <c r="A557" s="75"/>
      <c r="B557" s="76"/>
      <c r="C557" s="77"/>
      <c r="D557" s="78"/>
      <c r="E557" s="78"/>
      <c r="F557" s="79"/>
      <c r="G557" s="22"/>
      <c r="H557" s="22"/>
    </row>
    <row r="558" spans="1:8" ht="18">
      <c r="A558" s="75"/>
      <c r="B558" s="76"/>
      <c r="C558" s="77"/>
      <c r="D558" s="78"/>
      <c r="E558" s="78"/>
      <c r="F558" s="79"/>
      <c r="G558" s="22"/>
      <c r="H558" s="22"/>
    </row>
    <row r="559" spans="1:8" ht="18">
      <c r="A559" s="75"/>
      <c r="B559" s="76"/>
      <c r="C559" s="77"/>
      <c r="D559" s="78"/>
      <c r="E559" s="78"/>
      <c r="F559" s="79"/>
      <c r="G559" s="22"/>
      <c r="H559" s="22"/>
    </row>
    <row r="560" spans="1:8" ht="18">
      <c r="A560" s="75"/>
      <c r="B560" s="76"/>
      <c r="C560" s="77"/>
      <c r="D560" s="78"/>
      <c r="E560" s="78"/>
      <c r="F560" s="79"/>
      <c r="G560" s="22"/>
      <c r="H560" s="22"/>
    </row>
    <row r="561" spans="1:8" ht="18">
      <c r="A561" s="75"/>
      <c r="B561" s="76"/>
      <c r="C561" s="77"/>
      <c r="D561" s="78"/>
      <c r="E561" s="78"/>
      <c r="F561" s="79"/>
      <c r="G561" s="22"/>
      <c r="H561" s="22"/>
    </row>
    <row r="562" spans="1:8" ht="18">
      <c r="A562" s="75"/>
      <c r="B562" s="76"/>
      <c r="C562" s="77"/>
      <c r="D562" s="78"/>
      <c r="E562" s="78"/>
      <c r="F562" s="79"/>
      <c r="G562" s="22"/>
      <c r="H562" s="22"/>
    </row>
    <row r="563" spans="1:8" ht="18">
      <c r="A563" s="75"/>
      <c r="B563" s="76"/>
      <c r="C563" s="77"/>
      <c r="D563" s="78"/>
      <c r="E563" s="78"/>
      <c r="F563" s="79"/>
      <c r="G563" s="22"/>
      <c r="H563" s="22"/>
    </row>
    <row r="564" spans="1:8" ht="18">
      <c r="A564" s="75"/>
      <c r="B564" s="76"/>
      <c r="C564" s="77"/>
      <c r="D564" s="78"/>
      <c r="E564" s="78"/>
      <c r="F564" s="79"/>
      <c r="G564" s="22"/>
      <c r="H564" s="22"/>
    </row>
    <row r="565" spans="1:8" ht="18">
      <c r="A565" s="75"/>
      <c r="B565" s="76"/>
      <c r="C565" s="77"/>
      <c r="D565" s="78"/>
      <c r="E565" s="78"/>
      <c r="F565" s="79"/>
      <c r="G565" s="22"/>
      <c r="H565" s="22"/>
    </row>
    <row r="566" spans="1:8" ht="18">
      <c r="A566" s="75"/>
      <c r="B566" s="76"/>
      <c r="C566" s="77"/>
      <c r="D566" s="78"/>
      <c r="E566" s="78"/>
      <c r="F566" s="79"/>
      <c r="G566" s="22"/>
      <c r="H566" s="22"/>
    </row>
    <row r="567" spans="1:8" ht="18">
      <c r="A567" s="75"/>
      <c r="B567" s="76"/>
      <c r="C567" s="77"/>
      <c r="D567" s="78"/>
      <c r="E567" s="78"/>
      <c r="F567" s="79"/>
      <c r="G567" s="22"/>
      <c r="H567" s="22"/>
    </row>
    <row r="568" spans="1:8" ht="18">
      <c r="A568" s="75"/>
      <c r="B568" s="76"/>
      <c r="C568" s="77"/>
      <c r="D568" s="78"/>
      <c r="E568" s="78"/>
      <c r="F568" s="79"/>
      <c r="G568" s="22"/>
      <c r="H568" s="22"/>
    </row>
    <row r="569" spans="1:8" ht="18">
      <c r="A569" s="75"/>
      <c r="B569" s="76"/>
      <c r="C569" s="77"/>
      <c r="D569" s="78"/>
      <c r="E569" s="78"/>
      <c r="F569" s="79"/>
      <c r="G569" s="22"/>
      <c r="H569" s="22"/>
    </row>
    <row r="570" spans="1:8" ht="18">
      <c r="A570" s="75"/>
      <c r="B570" s="76"/>
      <c r="C570" s="77"/>
      <c r="D570" s="78"/>
      <c r="E570" s="78"/>
      <c r="F570" s="79"/>
      <c r="G570" s="22"/>
      <c r="H570" s="22"/>
    </row>
    <row r="571" spans="1:8" ht="18">
      <c r="A571" s="75"/>
      <c r="B571" s="76"/>
      <c r="C571" s="77"/>
      <c r="D571" s="78"/>
      <c r="E571" s="78"/>
      <c r="F571" s="79"/>
      <c r="G571" s="22"/>
      <c r="H571" s="22"/>
    </row>
    <row r="572" spans="1:8" ht="18">
      <c r="A572" s="75"/>
      <c r="B572" s="76"/>
      <c r="C572" s="77"/>
      <c r="D572" s="78"/>
      <c r="E572" s="78"/>
      <c r="F572" s="79"/>
      <c r="G572" s="22"/>
      <c r="H572" s="22"/>
    </row>
    <row r="573" spans="1:8" ht="18">
      <c r="A573" s="75"/>
      <c r="B573" s="76"/>
      <c r="C573" s="77"/>
      <c r="D573" s="78"/>
      <c r="E573" s="78"/>
      <c r="F573" s="79"/>
      <c r="G573" s="22"/>
      <c r="H573" s="22"/>
    </row>
    <row r="574" spans="1:8" ht="18">
      <c r="A574" s="75"/>
      <c r="B574" s="76"/>
      <c r="C574" s="77"/>
      <c r="D574" s="78"/>
      <c r="E574" s="78"/>
      <c r="F574" s="79"/>
      <c r="G574" s="22"/>
      <c r="H574" s="22"/>
    </row>
    <row r="575" spans="1:8" ht="18">
      <c r="A575" s="75"/>
      <c r="B575" s="76"/>
      <c r="C575" s="77"/>
      <c r="D575" s="78"/>
      <c r="E575" s="78"/>
      <c r="F575" s="79"/>
      <c r="G575" s="22"/>
      <c r="H575" s="22"/>
    </row>
    <row r="576" spans="1:8" ht="18">
      <c r="A576" s="75"/>
      <c r="B576" s="76"/>
      <c r="C576" s="77"/>
      <c r="D576" s="78"/>
      <c r="E576" s="78"/>
      <c r="F576" s="79"/>
      <c r="G576" s="22"/>
      <c r="H576" s="22"/>
    </row>
    <row r="577" spans="1:8" ht="18">
      <c r="A577" s="75"/>
      <c r="B577" s="76"/>
      <c r="C577" s="77"/>
      <c r="D577" s="78"/>
      <c r="E577" s="78"/>
      <c r="F577" s="79"/>
      <c r="G577" s="22"/>
      <c r="H577" s="22"/>
    </row>
    <row r="578" spans="1:8" ht="18">
      <c r="A578" s="75"/>
      <c r="B578" s="76"/>
      <c r="C578" s="77"/>
      <c r="D578" s="78"/>
      <c r="E578" s="78"/>
      <c r="F578" s="79"/>
      <c r="G578" s="22"/>
      <c r="H578" s="22"/>
    </row>
    <row r="579" spans="1:8" ht="18">
      <c r="A579" s="75"/>
      <c r="B579" s="76"/>
      <c r="C579" s="77"/>
      <c r="D579" s="78"/>
      <c r="E579" s="78"/>
      <c r="F579" s="79"/>
      <c r="G579" s="22"/>
      <c r="H579" s="22"/>
    </row>
    <row r="580" spans="1:8" ht="18">
      <c r="A580" s="75"/>
      <c r="B580" s="76"/>
      <c r="C580" s="77"/>
      <c r="D580" s="78"/>
      <c r="E580" s="78"/>
      <c r="F580" s="79"/>
      <c r="G580" s="22"/>
      <c r="H580" s="22"/>
    </row>
    <row r="581" spans="1:8" ht="18">
      <c r="A581" s="75"/>
      <c r="B581" s="76"/>
      <c r="C581" s="77"/>
      <c r="D581" s="78"/>
      <c r="E581" s="78"/>
      <c r="F581" s="79"/>
      <c r="G581" s="22"/>
      <c r="H581" s="22"/>
    </row>
    <row r="582" spans="1:8" ht="18">
      <c r="A582" s="75"/>
      <c r="B582" s="76"/>
      <c r="C582" s="77"/>
      <c r="D582" s="78"/>
      <c r="E582" s="78"/>
      <c r="F582" s="79"/>
      <c r="G582" s="22"/>
      <c r="H582" s="22"/>
    </row>
    <row r="583" spans="1:8" ht="18">
      <c r="A583" s="75"/>
      <c r="B583" s="76"/>
      <c r="C583" s="77"/>
      <c r="D583" s="78"/>
      <c r="E583" s="78"/>
      <c r="F583" s="79"/>
      <c r="G583" s="22"/>
      <c r="H583" s="22"/>
    </row>
    <row r="584" spans="1:8" ht="18">
      <c r="A584" s="75"/>
      <c r="B584" s="76"/>
      <c r="C584" s="77"/>
      <c r="D584" s="78"/>
      <c r="E584" s="78"/>
      <c r="F584" s="79"/>
      <c r="G584" s="22"/>
      <c r="H584" s="22"/>
    </row>
    <row r="585" spans="1:8" ht="18">
      <c r="A585" s="75"/>
      <c r="B585" s="76"/>
      <c r="C585" s="77"/>
      <c r="D585" s="78"/>
      <c r="E585" s="78"/>
      <c r="F585" s="79"/>
      <c r="G585" s="22"/>
      <c r="H585" s="22"/>
    </row>
    <row r="586" spans="1:8" ht="18">
      <c r="A586" s="75"/>
      <c r="B586" s="76"/>
      <c r="C586" s="77"/>
      <c r="D586" s="78"/>
      <c r="E586" s="78"/>
      <c r="F586" s="79"/>
      <c r="G586" s="22"/>
      <c r="H586" s="22"/>
    </row>
    <row r="587" spans="1:8" ht="18">
      <c r="A587" s="75"/>
      <c r="B587" s="76"/>
      <c r="C587" s="77"/>
      <c r="D587" s="78"/>
      <c r="E587" s="78"/>
      <c r="F587" s="79"/>
      <c r="G587" s="22"/>
      <c r="H587" s="22"/>
    </row>
    <row r="588" spans="1:8" ht="18">
      <c r="A588" s="75"/>
      <c r="B588" s="76"/>
      <c r="C588" s="77"/>
      <c r="D588" s="78"/>
      <c r="E588" s="78"/>
      <c r="F588" s="79"/>
      <c r="G588" s="22"/>
      <c r="H588" s="22"/>
    </row>
    <row r="589" spans="1:8" ht="18">
      <c r="A589" s="75"/>
      <c r="B589" s="76"/>
      <c r="C589" s="77"/>
      <c r="D589" s="78"/>
      <c r="E589" s="78"/>
      <c r="F589" s="79"/>
      <c r="G589" s="22"/>
      <c r="H589" s="22"/>
    </row>
    <row r="590" spans="1:8" ht="18">
      <c r="A590" s="75"/>
      <c r="B590" s="76"/>
      <c r="C590" s="77"/>
      <c r="D590" s="78"/>
      <c r="E590" s="78"/>
      <c r="F590" s="79"/>
      <c r="G590" s="22"/>
      <c r="H590" s="22"/>
    </row>
    <row r="591" spans="1:8" ht="18">
      <c r="A591" s="75"/>
      <c r="B591" s="76"/>
      <c r="C591" s="77"/>
      <c r="D591" s="78"/>
      <c r="E591" s="78"/>
      <c r="F591" s="79"/>
      <c r="G591" s="22"/>
      <c r="H591" s="22"/>
    </row>
    <row r="592" spans="1:8" ht="18">
      <c r="A592" s="75"/>
      <c r="B592" s="76"/>
      <c r="C592" s="77"/>
      <c r="D592" s="78"/>
      <c r="E592" s="78"/>
      <c r="F592" s="79"/>
      <c r="G592" s="22"/>
      <c r="H592" s="22"/>
    </row>
    <row r="593" spans="1:8" ht="18">
      <c r="A593" s="75"/>
      <c r="B593" s="76"/>
      <c r="C593" s="77"/>
      <c r="D593" s="78"/>
      <c r="E593" s="78"/>
      <c r="F593" s="79"/>
      <c r="G593" s="22"/>
      <c r="H593" s="22"/>
    </row>
    <row r="594" spans="1:8" ht="18">
      <c r="A594" s="75"/>
      <c r="B594" s="76"/>
      <c r="C594" s="77"/>
      <c r="D594" s="78"/>
      <c r="E594" s="78"/>
      <c r="F594" s="79"/>
      <c r="G594" s="22"/>
      <c r="H594" s="22"/>
    </row>
    <row r="595" spans="1:8" ht="18">
      <c r="A595" s="75"/>
      <c r="B595" s="76"/>
      <c r="C595" s="77"/>
      <c r="D595" s="78"/>
      <c r="E595" s="78"/>
      <c r="F595" s="79"/>
      <c r="G595" s="22"/>
      <c r="H595" s="22"/>
    </row>
    <row r="596" spans="1:8" ht="18">
      <c r="A596" s="75"/>
      <c r="B596" s="76"/>
      <c r="C596" s="77"/>
      <c r="D596" s="78"/>
      <c r="E596" s="78"/>
      <c r="F596" s="79"/>
      <c r="G596" s="22"/>
      <c r="H596" s="22"/>
    </row>
    <row r="597" spans="1:8" ht="18">
      <c r="A597" s="75"/>
      <c r="B597" s="76"/>
      <c r="C597" s="77"/>
      <c r="D597" s="78"/>
      <c r="E597" s="78"/>
      <c r="F597" s="79"/>
      <c r="G597" s="22"/>
      <c r="H597" s="22"/>
    </row>
    <row r="598" spans="1:8" ht="18">
      <c r="A598" s="75"/>
      <c r="B598" s="76"/>
      <c r="C598" s="77"/>
      <c r="D598" s="78"/>
      <c r="E598" s="78"/>
      <c r="F598" s="79"/>
      <c r="G598" s="22"/>
      <c r="H598" s="22"/>
    </row>
    <row r="599" spans="1:8" ht="18">
      <c r="A599" s="75"/>
      <c r="B599" s="76"/>
      <c r="C599" s="77"/>
      <c r="D599" s="78"/>
      <c r="E599" s="78"/>
      <c r="F599" s="79"/>
      <c r="G599" s="22"/>
      <c r="H599" s="22"/>
    </row>
    <row r="600" spans="1:8" ht="18">
      <c r="A600" s="75"/>
      <c r="B600" s="76"/>
      <c r="C600" s="77"/>
      <c r="D600" s="78"/>
      <c r="E600" s="78"/>
      <c r="F600" s="79"/>
      <c r="G600" s="22"/>
      <c r="H600" s="22"/>
    </row>
    <row r="601" spans="1:8" ht="18">
      <c r="A601" s="75"/>
      <c r="B601" s="76"/>
      <c r="C601" s="77"/>
      <c r="D601" s="78"/>
      <c r="E601" s="78"/>
      <c r="F601" s="79"/>
      <c r="G601" s="22"/>
      <c r="H601" s="22"/>
    </row>
    <row r="602" spans="1:8" ht="18">
      <c r="A602" s="75"/>
      <c r="B602" s="76"/>
      <c r="C602" s="77"/>
      <c r="D602" s="78"/>
      <c r="E602" s="78"/>
      <c r="F602" s="79"/>
      <c r="G602" s="22"/>
      <c r="H602" s="22"/>
    </row>
    <row r="603" spans="1:8" ht="18">
      <c r="A603" s="75"/>
      <c r="B603" s="76"/>
      <c r="C603" s="77"/>
      <c r="D603" s="78"/>
      <c r="E603" s="78"/>
      <c r="F603" s="79"/>
      <c r="G603" s="22"/>
      <c r="H603" s="22"/>
    </row>
    <row r="604" spans="1:8" ht="18">
      <c r="A604" s="75"/>
      <c r="B604" s="76"/>
      <c r="C604" s="77"/>
      <c r="D604" s="78"/>
      <c r="E604" s="78"/>
      <c r="F604" s="79"/>
      <c r="G604" s="22"/>
      <c r="H604" s="22"/>
    </row>
    <row r="605" spans="1:8" ht="18">
      <c r="A605" s="75"/>
      <c r="B605" s="76"/>
      <c r="C605" s="77"/>
      <c r="D605" s="78"/>
      <c r="E605" s="78"/>
      <c r="F605" s="79"/>
      <c r="G605" s="22"/>
      <c r="H605" s="22"/>
    </row>
    <row r="606" spans="1:8" ht="18">
      <c r="A606" s="75"/>
      <c r="B606" s="76"/>
      <c r="C606" s="77"/>
      <c r="D606" s="78"/>
      <c r="E606" s="78"/>
      <c r="F606" s="79"/>
      <c r="G606" s="22"/>
      <c r="H606" s="22"/>
    </row>
    <row r="607" spans="1:8" ht="18">
      <c r="A607" s="75"/>
      <c r="B607" s="76"/>
      <c r="C607" s="77"/>
      <c r="D607" s="78"/>
      <c r="E607" s="78"/>
      <c r="F607" s="79"/>
      <c r="G607" s="22"/>
      <c r="H607" s="22"/>
    </row>
    <row r="608" spans="1:8" ht="18">
      <c r="A608" s="75"/>
      <c r="B608" s="76"/>
      <c r="C608" s="77"/>
      <c r="D608" s="78"/>
      <c r="E608" s="78"/>
      <c r="F608" s="79"/>
      <c r="G608" s="22"/>
      <c r="H608" s="22"/>
    </row>
    <row r="609" spans="1:8" ht="18">
      <c r="A609" s="75"/>
      <c r="B609" s="76"/>
      <c r="C609" s="77"/>
      <c r="D609" s="78"/>
      <c r="E609" s="78"/>
      <c r="F609" s="79"/>
      <c r="G609" s="22"/>
      <c r="H609" s="22"/>
    </row>
    <row r="610" spans="1:8" ht="18">
      <c r="A610" s="75"/>
      <c r="B610" s="76"/>
      <c r="C610" s="77"/>
      <c r="D610" s="78"/>
      <c r="E610" s="78"/>
      <c r="F610" s="79"/>
      <c r="G610" s="22"/>
      <c r="H610" s="22"/>
    </row>
    <row r="611" spans="1:8" ht="18">
      <c r="A611" s="75"/>
      <c r="B611" s="76"/>
      <c r="C611" s="77"/>
      <c r="D611" s="78"/>
      <c r="E611" s="78"/>
      <c r="F611" s="79"/>
      <c r="G611" s="22"/>
      <c r="H611" s="22"/>
    </row>
    <row r="612" spans="1:8" ht="18">
      <c r="A612" s="75"/>
      <c r="B612" s="76"/>
      <c r="C612" s="77"/>
      <c r="D612" s="78"/>
      <c r="E612" s="78"/>
      <c r="F612" s="79"/>
      <c r="G612" s="22"/>
      <c r="H612" s="22"/>
    </row>
    <row r="613" spans="1:8" ht="18">
      <c r="A613" s="75"/>
      <c r="B613" s="76"/>
      <c r="C613" s="77"/>
      <c r="D613" s="78"/>
      <c r="E613" s="78"/>
      <c r="F613" s="79"/>
      <c r="G613" s="22"/>
      <c r="H613" s="22"/>
    </row>
    <row r="614" spans="1:8" ht="18">
      <c r="A614" s="75"/>
      <c r="B614" s="76"/>
      <c r="C614" s="77"/>
      <c r="D614" s="78"/>
      <c r="E614" s="78"/>
      <c r="F614" s="79"/>
      <c r="G614" s="22"/>
      <c r="H614" s="22"/>
    </row>
    <row r="615" spans="1:8" ht="18">
      <c r="A615" s="75"/>
      <c r="B615" s="76"/>
      <c r="C615" s="77"/>
      <c r="D615" s="78"/>
      <c r="E615" s="78"/>
      <c r="F615" s="79"/>
      <c r="G615" s="22"/>
      <c r="H615" s="22"/>
    </row>
    <row r="616" spans="1:8" ht="18">
      <c r="A616" s="75"/>
      <c r="B616" s="76"/>
      <c r="C616" s="77"/>
      <c r="D616" s="78"/>
      <c r="E616" s="78"/>
      <c r="F616" s="79"/>
      <c r="G616" s="22"/>
      <c r="H616" s="22"/>
    </row>
    <row r="617" spans="1:8" ht="18">
      <c r="A617" s="75"/>
      <c r="B617" s="76"/>
      <c r="C617" s="77"/>
      <c r="D617" s="78"/>
      <c r="E617" s="78"/>
      <c r="F617" s="79"/>
      <c r="G617" s="22"/>
      <c r="H617" s="22"/>
    </row>
    <row r="618" spans="1:8" ht="18">
      <c r="A618" s="75"/>
      <c r="B618" s="76"/>
      <c r="C618" s="77"/>
      <c r="D618" s="78"/>
      <c r="E618" s="78"/>
      <c r="F618" s="79"/>
      <c r="G618" s="22"/>
      <c r="H618" s="22"/>
    </row>
    <row r="619" spans="1:8" ht="18">
      <c r="A619" s="75"/>
      <c r="B619" s="76"/>
      <c r="C619" s="77"/>
      <c r="D619" s="78"/>
      <c r="E619" s="78"/>
      <c r="F619" s="79"/>
      <c r="G619" s="22"/>
      <c r="H619" s="22"/>
    </row>
    <row r="620" spans="1:8" ht="18">
      <c r="A620" s="75"/>
      <c r="B620" s="76"/>
      <c r="C620" s="77"/>
      <c r="D620" s="78"/>
      <c r="E620" s="78"/>
      <c r="F620" s="79"/>
      <c r="G620" s="22"/>
      <c r="H620" s="22"/>
    </row>
    <row r="621" spans="1:8" ht="18">
      <c r="A621" s="75"/>
      <c r="B621" s="76"/>
      <c r="C621" s="77"/>
      <c r="D621" s="78"/>
      <c r="E621" s="78"/>
      <c r="F621" s="79"/>
      <c r="G621" s="22"/>
      <c r="H621" s="22"/>
    </row>
    <row r="622" spans="1:8" ht="18">
      <c r="A622" s="75"/>
      <c r="B622" s="76"/>
      <c r="C622" s="77"/>
      <c r="D622" s="78"/>
      <c r="E622" s="78"/>
      <c r="F622" s="79"/>
      <c r="G622" s="22"/>
      <c r="H622" s="22"/>
    </row>
    <row r="623" spans="1:8" ht="18">
      <c r="A623" s="75"/>
      <c r="B623" s="76"/>
      <c r="C623" s="77"/>
      <c r="D623" s="78"/>
      <c r="E623" s="78"/>
      <c r="F623" s="79"/>
      <c r="G623" s="22"/>
      <c r="H623" s="22"/>
    </row>
    <row r="624" spans="1:8" ht="18">
      <c r="A624" s="75"/>
      <c r="B624" s="76"/>
      <c r="C624" s="77"/>
      <c r="D624" s="78"/>
      <c r="E624" s="78"/>
      <c r="F624" s="79"/>
      <c r="G624" s="22"/>
      <c r="H624" s="22"/>
    </row>
    <row r="625" spans="1:8" ht="18">
      <c r="A625" s="75"/>
      <c r="B625" s="76"/>
      <c r="C625" s="77"/>
      <c r="D625" s="78"/>
      <c r="E625" s="78"/>
      <c r="F625" s="79"/>
      <c r="G625" s="22"/>
      <c r="H625" s="22"/>
    </row>
    <row r="626" spans="1:8" ht="18">
      <c r="A626" s="75"/>
      <c r="B626" s="76"/>
      <c r="C626" s="77"/>
      <c r="D626" s="78"/>
      <c r="E626" s="78"/>
      <c r="F626" s="79"/>
      <c r="G626" s="22"/>
      <c r="H626" s="22"/>
    </row>
    <row r="627" spans="1:8" ht="18">
      <c r="A627" s="75"/>
      <c r="B627" s="76"/>
      <c r="C627" s="77"/>
      <c r="D627" s="78"/>
      <c r="E627" s="78"/>
      <c r="F627" s="79"/>
      <c r="G627" s="22"/>
      <c r="H627" s="22"/>
    </row>
    <row r="628" spans="1:8" ht="18">
      <c r="A628" s="75"/>
      <c r="B628" s="76"/>
      <c r="C628" s="77"/>
      <c r="D628" s="78"/>
      <c r="E628" s="78"/>
      <c r="F628" s="79"/>
      <c r="G628" s="22"/>
      <c r="H628" s="22"/>
    </row>
    <row r="629" spans="1:8" ht="18">
      <c r="A629" s="75"/>
      <c r="B629" s="76"/>
      <c r="C629" s="77"/>
      <c r="D629" s="78"/>
      <c r="E629" s="78"/>
      <c r="F629" s="79"/>
      <c r="G629" s="22"/>
      <c r="H629" s="22"/>
    </row>
    <row r="630" spans="1:8" ht="18">
      <c r="A630" s="75"/>
      <c r="B630" s="76"/>
      <c r="C630" s="77"/>
      <c r="D630" s="78"/>
      <c r="E630" s="78"/>
      <c r="F630" s="79"/>
      <c r="G630" s="22"/>
      <c r="H630" s="22"/>
    </row>
    <row r="631" spans="1:8" ht="18">
      <c r="A631" s="75"/>
      <c r="B631" s="76"/>
      <c r="C631" s="77"/>
      <c r="D631" s="78"/>
      <c r="E631" s="78"/>
      <c r="F631" s="79"/>
      <c r="G631" s="22"/>
      <c r="H631" s="22"/>
    </row>
    <row r="632" spans="1:8" ht="18">
      <c r="A632" s="75"/>
      <c r="B632" s="76"/>
      <c r="C632" s="77"/>
      <c r="D632" s="78"/>
      <c r="E632" s="78"/>
      <c r="F632" s="79"/>
      <c r="G632" s="22"/>
      <c r="H632" s="22"/>
    </row>
    <row r="633" spans="1:8" ht="18">
      <c r="A633" s="75"/>
      <c r="B633" s="76"/>
      <c r="C633" s="77"/>
      <c r="D633" s="78"/>
      <c r="E633" s="78"/>
      <c r="F633" s="79"/>
      <c r="G633" s="22"/>
      <c r="H633" s="22"/>
    </row>
    <row r="634" spans="1:8" ht="18">
      <c r="A634" s="75"/>
      <c r="B634" s="76"/>
      <c r="C634" s="77"/>
      <c r="D634" s="78"/>
      <c r="E634" s="78"/>
      <c r="F634" s="79"/>
      <c r="G634" s="22"/>
      <c r="H634" s="22"/>
    </row>
    <row r="635" spans="1:8" ht="18">
      <c r="A635" s="75"/>
      <c r="B635" s="76"/>
      <c r="C635" s="77"/>
      <c r="D635" s="78"/>
      <c r="E635" s="78"/>
      <c r="F635" s="79"/>
      <c r="G635" s="22"/>
      <c r="H635" s="22"/>
    </row>
    <row r="636" spans="1:8" ht="18">
      <c r="A636" s="75"/>
      <c r="B636" s="76"/>
      <c r="C636" s="77"/>
      <c r="D636" s="78"/>
      <c r="E636" s="78"/>
      <c r="F636" s="79"/>
      <c r="G636" s="22"/>
      <c r="H636" s="22"/>
    </row>
    <row r="637" spans="1:8" ht="18">
      <c r="A637" s="75"/>
      <c r="B637" s="76"/>
      <c r="C637" s="77"/>
      <c r="D637" s="78"/>
      <c r="E637" s="78"/>
      <c r="F637" s="79"/>
      <c r="G637" s="22"/>
      <c r="H637" s="22"/>
    </row>
    <row r="638" spans="1:8" ht="18">
      <c r="A638" s="75"/>
      <c r="B638" s="76"/>
      <c r="C638" s="77"/>
      <c r="D638" s="78"/>
      <c r="E638" s="78"/>
      <c r="F638" s="79"/>
      <c r="G638" s="22"/>
      <c r="H638" s="22"/>
    </row>
    <row r="639" spans="1:8" ht="18">
      <c r="A639" s="75"/>
      <c r="B639" s="76"/>
      <c r="C639" s="77"/>
      <c r="D639" s="78"/>
      <c r="E639" s="78"/>
      <c r="F639" s="79"/>
      <c r="G639" s="22"/>
      <c r="H639" s="22"/>
    </row>
    <row r="640" spans="1:8" ht="18">
      <c r="A640" s="75"/>
      <c r="B640" s="76"/>
      <c r="C640" s="77"/>
      <c r="D640" s="78"/>
      <c r="E640" s="78"/>
      <c r="F640" s="79"/>
      <c r="G640" s="22"/>
      <c r="H640" s="22"/>
    </row>
    <row r="641" spans="1:8" ht="18">
      <c r="A641" s="75"/>
      <c r="B641" s="76"/>
      <c r="C641" s="77"/>
      <c r="D641" s="78"/>
      <c r="E641" s="78"/>
      <c r="F641" s="79"/>
      <c r="G641" s="22"/>
      <c r="H641" s="22"/>
    </row>
    <row r="642" spans="1:8" ht="18">
      <c r="A642" s="75"/>
      <c r="B642" s="76"/>
      <c r="C642" s="77"/>
      <c r="D642" s="78"/>
      <c r="E642" s="78"/>
      <c r="F642" s="79"/>
      <c r="G642" s="22"/>
      <c r="H642" s="22"/>
    </row>
    <row r="643" spans="1:8" ht="18">
      <c r="A643" s="75"/>
      <c r="B643" s="76"/>
      <c r="C643" s="77"/>
      <c r="D643" s="78"/>
      <c r="E643" s="78"/>
      <c r="F643" s="79"/>
      <c r="G643" s="22"/>
      <c r="H643" s="22"/>
    </row>
    <row r="644" spans="1:8" ht="18">
      <c r="A644" s="75"/>
      <c r="B644" s="76"/>
      <c r="C644" s="77"/>
      <c r="D644" s="78"/>
      <c r="E644" s="78"/>
      <c r="F644" s="79"/>
      <c r="G644" s="22"/>
      <c r="H644" s="22"/>
    </row>
    <row r="645" spans="1:8" ht="18">
      <c r="A645" s="75"/>
      <c r="B645" s="76"/>
      <c r="C645" s="77"/>
      <c r="D645" s="78"/>
      <c r="E645" s="78"/>
      <c r="F645" s="79"/>
      <c r="G645" s="22"/>
      <c r="H645" s="22"/>
    </row>
    <row r="646" spans="1:8" ht="18">
      <c r="A646" s="75"/>
      <c r="B646" s="76"/>
      <c r="C646" s="77"/>
      <c r="D646" s="78"/>
      <c r="E646" s="78"/>
      <c r="F646" s="79"/>
      <c r="G646" s="22"/>
      <c r="H646" s="22"/>
    </row>
    <row r="647" spans="1:8" ht="18">
      <c r="A647" s="75"/>
      <c r="B647" s="76"/>
      <c r="C647" s="77"/>
      <c r="D647" s="78"/>
      <c r="E647" s="78"/>
      <c r="F647" s="79"/>
      <c r="G647" s="22"/>
      <c r="H647" s="22"/>
    </row>
    <row r="648" spans="1:8" ht="18">
      <c r="A648" s="75"/>
      <c r="B648" s="76"/>
      <c r="C648" s="77"/>
      <c r="D648" s="78"/>
      <c r="E648" s="78"/>
      <c r="F648" s="79"/>
      <c r="G648" s="22"/>
      <c r="H648" s="22"/>
    </row>
    <row r="649" spans="1:8" ht="18">
      <c r="A649" s="75"/>
      <c r="B649" s="76"/>
      <c r="C649" s="77"/>
      <c r="D649" s="78"/>
      <c r="E649" s="78"/>
      <c r="F649" s="79"/>
      <c r="G649" s="22"/>
      <c r="H649" s="22"/>
    </row>
    <row r="650" spans="1:8" ht="18">
      <c r="A650" s="75"/>
      <c r="B650" s="76"/>
      <c r="C650" s="77"/>
      <c r="D650" s="78"/>
      <c r="E650" s="78"/>
      <c r="F650" s="79"/>
      <c r="G650" s="22"/>
      <c r="H650" s="22"/>
    </row>
    <row r="651" spans="1:8" ht="18">
      <c r="A651" s="75"/>
      <c r="B651" s="76"/>
      <c r="C651" s="77"/>
      <c r="D651" s="78"/>
      <c r="E651" s="78"/>
      <c r="F651" s="79"/>
      <c r="G651" s="22"/>
      <c r="H651" s="22"/>
    </row>
    <row r="652" spans="1:8" ht="18">
      <c r="A652" s="75"/>
      <c r="B652" s="76"/>
      <c r="C652" s="77"/>
      <c r="D652" s="78"/>
      <c r="E652" s="78"/>
      <c r="F652" s="79"/>
      <c r="G652" s="22"/>
      <c r="H652" s="22"/>
    </row>
    <row r="653" spans="1:8" ht="18">
      <c r="A653" s="75"/>
      <c r="B653" s="76"/>
      <c r="C653" s="77"/>
      <c r="D653" s="78"/>
      <c r="E653" s="78"/>
      <c r="F653" s="79"/>
      <c r="G653" s="22"/>
      <c r="H653" s="22"/>
    </row>
    <row r="654" spans="1:8" ht="18">
      <c r="A654" s="75"/>
      <c r="B654" s="76"/>
      <c r="C654" s="77"/>
      <c r="D654" s="78"/>
      <c r="E654" s="78"/>
      <c r="F654" s="79"/>
      <c r="G654" s="22"/>
      <c r="H654" s="22"/>
    </row>
    <row r="655" spans="1:8" ht="18">
      <c r="A655" s="75"/>
      <c r="B655" s="76"/>
      <c r="C655" s="77"/>
      <c r="D655" s="78"/>
      <c r="E655" s="78"/>
      <c r="F655" s="79"/>
      <c r="G655" s="22"/>
      <c r="H655" s="22"/>
    </row>
    <row r="656" spans="1:8" ht="18">
      <c r="A656" s="75"/>
      <c r="B656" s="76"/>
      <c r="C656" s="77"/>
      <c r="D656" s="78"/>
      <c r="E656" s="78"/>
      <c r="F656" s="79"/>
      <c r="G656" s="22"/>
      <c r="H656" s="22"/>
    </row>
    <row r="657" spans="1:8" ht="18">
      <c r="A657" s="75"/>
      <c r="B657" s="76"/>
      <c r="C657" s="77"/>
      <c r="D657" s="78"/>
      <c r="E657" s="78"/>
      <c r="F657" s="79"/>
      <c r="G657" s="22"/>
      <c r="H657" s="22"/>
    </row>
    <row r="658" spans="1:8" ht="18">
      <c r="A658" s="75"/>
      <c r="B658" s="76"/>
      <c r="C658" s="77"/>
      <c r="D658" s="78"/>
      <c r="E658" s="78"/>
      <c r="F658" s="79"/>
      <c r="G658" s="22"/>
      <c r="H658" s="22"/>
    </row>
    <row r="659" spans="1:8" ht="18">
      <c r="A659" s="75"/>
      <c r="B659" s="76"/>
      <c r="C659" s="77"/>
      <c r="D659" s="78"/>
      <c r="E659" s="78"/>
      <c r="F659" s="79"/>
      <c r="G659" s="22"/>
      <c r="H659" s="22"/>
    </row>
    <row r="660" spans="1:8" ht="18">
      <c r="A660" s="75"/>
      <c r="B660" s="76"/>
      <c r="C660" s="77"/>
      <c r="D660" s="78"/>
      <c r="E660" s="78"/>
      <c r="F660" s="79"/>
      <c r="G660" s="22"/>
      <c r="H660" s="22"/>
    </row>
    <row r="661" spans="1:8" ht="18">
      <c r="A661" s="75"/>
      <c r="B661" s="76"/>
      <c r="C661" s="77"/>
      <c r="D661" s="78"/>
      <c r="E661" s="78"/>
      <c r="F661" s="79"/>
      <c r="G661" s="22"/>
      <c r="H661" s="22"/>
    </row>
    <row r="662" spans="1:8" ht="18">
      <c r="A662" s="75"/>
      <c r="B662" s="76"/>
      <c r="C662" s="77"/>
      <c r="D662" s="78"/>
      <c r="E662" s="78"/>
      <c r="F662" s="79"/>
      <c r="G662" s="22"/>
      <c r="H662" s="22"/>
    </row>
    <row r="663" spans="1:8" ht="18">
      <c r="A663" s="75"/>
      <c r="B663" s="76"/>
      <c r="C663" s="77"/>
      <c r="D663" s="78"/>
      <c r="E663" s="78"/>
      <c r="F663" s="79"/>
      <c r="G663" s="22"/>
      <c r="H663" s="22"/>
    </row>
    <row r="664" spans="1:8" ht="18">
      <c r="A664" s="75"/>
      <c r="B664" s="76"/>
      <c r="C664" s="77"/>
      <c r="D664" s="78"/>
      <c r="E664" s="78"/>
      <c r="F664" s="79"/>
      <c r="G664" s="22"/>
      <c r="H664" s="22"/>
    </row>
    <row r="665" spans="1:8" ht="18">
      <c r="A665" s="75"/>
      <c r="B665" s="76"/>
      <c r="C665" s="77"/>
      <c r="D665" s="78"/>
      <c r="E665" s="78"/>
      <c r="F665" s="79"/>
      <c r="G665" s="22"/>
      <c r="H665" s="22"/>
    </row>
    <row r="666" spans="1:8" ht="18">
      <c r="A666" s="75"/>
      <c r="B666" s="76"/>
      <c r="C666" s="77"/>
      <c r="D666" s="78"/>
      <c r="E666" s="78"/>
      <c r="F666" s="79"/>
      <c r="G666" s="22"/>
      <c r="H666" s="22"/>
    </row>
    <row r="667" spans="1:8" ht="18">
      <c r="A667" s="75"/>
      <c r="B667" s="76"/>
      <c r="C667" s="77"/>
      <c r="D667" s="78"/>
      <c r="E667" s="78"/>
      <c r="F667" s="79"/>
      <c r="G667" s="22"/>
      <c r="H667" s="22"/>
    </row>
    <row r="668" spans="1:8" ht="18">
      <c r="A668" s="75"/>
      <c r="B668" s="76"/>
      <c r="C668" s="77"/>
      <c r="D668" s="78"/>
      <c r="E668" s="78"/>
      <c r="F668" s="79"/>
      <c r="G668" s="22"/>
      <c r="H668" s="22"/>
    </row>
    <row r="669" spans="1:8" ht="18">
      <c r="A669" s="75"/>
      <c r="B669" s="76"/>
      <c r="C669" s="77"/>
      <c r="D669" s="78"/>
      <c r="E669" s="78"/>
      <c r="F669" s="79"/>
      <c r="G669" s="22"/>
      <c r="H669" s="22"/>
    </row>
    <row r="670" spans="1:8" ht="18">
      <c r="A670" s="75"/>
      <c r="B670" s="76"/>
      <c r="C670" s="77"/>
      <c r="D670" s="78"/>
      <c r="E670" s="78"/>
      <c r="F670" s="79"/>
      <c r="G670" s="22"/>
      <c r="H670" s="22"/>
    </row>
    <row r="671" spans="1:8" ht="18">
      <c r="A671" s="75"/>
      <c r="B671" s="76"/>
      <c r="C671" s="77"/>
      <c r="D671" s="78"/>
      <c r="E671" s="78"/>
      <c r="F671" s="79"/>
      <c r="G671" s="22"/>
      <c r="H671" s="22"/>
    </row>
    <row r="672" spans="1:8" ht="18">
      <c r="A672" s="75"/>
      <c r="B672" s="76"/>
      <c r="C672" s="77"/>
      <c r="D672" s="78"/>
      <c r="E672" s="78"/>
      <c r="F672" s="79"/>
      <c r="G672" s="22"/>
      <c r="H672" s="22"/>
    </row>
    <row r="673" spans="1:8" ht="18">
      <c r="A673" s="75"/>
      <c r="B673" s="76"/>
      <c r="C673" s="77"/>
      <c r="D673" s="78"/>
      <c r="E673" s="78"/>
      <c r="F673" s="79"/>
      <c r="G673" s="22"/>
      <c r="H673" s="22"/>
    </row>
    <row r="674" spans="1:8" ht="18">
      <c r="A674" s="75"/>
      <c r="B674" s="76"/>
      <c r="C674" s="77"/>
      <c r="D674" s="78"/>
      <c r="E674" s="78"/>
      <c r="F674" s="79"/>
      <c r="G674" s="22"/>
      <c r="H674" s="22"/>
    </row>
    <row r="675" spans="1:8" ht="18">
      <c r="A675" s="75"/>
      <c r="B675" s="76"/>
      <c r="C675" s="77"/>
      <c r="D675" s="78"/>
      <c r="E675" s="78"/>
      <c r="F675" s="79"/>
      <c r="G675" s="22"/>
      <c r="H675" s="22"/>
    </row>
    <row r="676" spans="1:8" ht="18">
      <c r="A676" s="75"/>
      <c r="B676" s="76"/>
      <c r="C676" s="77"/>
      <c r="D676" s="78"/>
      <c r="E676" s="78"/>
      <c r="F676" s="79"/>
      <c r="G676" s="22"/>
      <c r="H676" s="22"/>
    </row>
    <row r="677" spans="1:8" ht="18">
      <c r="A677" s="75"/>
      <c r="B677" s="76"/>
      <c r="C677" s="77"/>
      <c r="D677" s="78"/>
      <c r="E677" s="78"/>
      <c r="F677" s="79"/>
      <c r="G677" s="22"/>
      <c r="H677" s="22"/>
    </row>
    <row r="678" spans="1:8" ht="18">
      <c r="A678" s="75"/>
      <c r="B678" s="76"/>
      <c r="C678" s="77"/>
      <c r="D678" s="78"/>
      <c r="E678" s="78"/>
      <c r="F678" s="79"/>
      <c r="G678" s="22"/>
      <c r="H678" s="22"/>
    </row>
    <row r="679" spans="1:8" ht="18">
      <c r="A679" s="75"/>
      <c r="B679" s="76"/>
      <c r="C679" s="77"/>
      <c r="D679" s="78"/>
      <c r="E679" s="78"/>
      <c r="F679" s="79"/>
      <c r="G679" s="22"/>
      <c r="H679" s="22"/>
    </row>
    <row r="680" spans="1:8" ht="18">
      <c r="A680" s="75"/>
      <c r="B680" s="76"/>
      <c r="C680" s="77"/>
      <c r="D680" s="78"/>
      <c r="E680" s="78"/>
      <c r="F680" s="79"/>
      <c r="G680" s="22"/>
      <c r="H680" s="22"/>
    </row>
    <row r="681" spans="1:8" ht="18">
      <c r="A681" s="75"/>
      <c r="B681" s="76"/>
      <c r="C681" s="77"/>
      <c r="D681" s="78"/>
      <c r="E681" s="78"/>
      <c r="F681" s="79"/>
      <c r="G681" s="22"/>
      <c r="H681" s="22"/>
    </row>
    <row r="682" spans="1:8" ht="18">
      <c r="A682" s="75"/>
      <c r="B682" s="76"/>
      <c r="C682" s="77"/>
      <c r="D682" s="78"/>
      <c r="E682" s="78"/>
      <c r="F682" s="79"/>
      <c r="G682" s="22"/>
      <c r="H682" s="22"/>
    </row>
    <row r="683" spans="1:8" ht="18">
      <c r="A683" s="75"/>
      <c r="B683" s="76"/>
      <c r="C683" s="77"/>
      <c r="D683" s="78"/>
      <c r="E683" s="78"/>
      <c r="F683" s="79"/>
      <c r="G683" s="22"/>
      <c r="H683" s="22"/>
    </row>
    <row r="684" spans="1:8" ht="18">
      <c r="A684" s="75"/>
      <c r="B684" s="76"/>
      <c r="C684" s="77"/>
      <c r="D684" s="78"/>
      <c r="E684" s="78"/>
      <c r="F684" s="79"/>
      <c r="G684" s="22"/>
      <c r="H684" s="22"/>
    </row>
    <row r="685" spans="1:8" ht="18">
      <c r="A685" s="75"/>
      <c r="B685" s="76"/>
      <c r="C685" s="77"/>
      <c r="D685" s="78"/>
      <c r="E685" s="78"/>
      <c r="F685" s="79"/>
      <c r="G685" s="22"/>
      <c r="H685" s="22"/>
    </row>
    <row r="686" spans="1:8" ht="18">
      <c r="A686" s="75"/>
      <c r="B686" s="76"/>
      <c r="C686" s="77"/>
      <c r="D686" s="78"/>
      <c r="E686" s="78"/>
      <c r="F686" s="79"/>
      <c r="G686" s="22"/>
      <c r="H686" s="22"/>
    </row>
    <row r="687" spans="1:8" ht="18">
      <c r="A687" s="75"/>
      <c r="B687" s="76"/>
      <c r="C687" s="77"/>
      <c r="D687" s="78"/>
      <c r="E687" s="78"/>
      <c r="F687" s="79"/>
      <c r="G687" s="22"/>
      <c r="H687" s="22"/>
    </row>
    <row r="688" spans="1:8" ht="18">
      <c r="A688" s="75"/>
      <c r="B688" s="76"/>
      <c r="C688" s="77"/>
      <c r="D688" s="78"/>
      <c r="E688" s="78"/>
      <c r="F688" s="79"/>
      <c r="G688" s="22"/>
      <c r="H688" s="22"/>
    </row>
    <row r="689" spans="1:8" ht="18">
      <c r="A689" s="75"/>
      <c r="B689" s="76"/>
      <c r="C689" s="77"/>
      <c r="D689" s="78"/>
      <c r="E689" s="78"/>
      <c r="F689" s="79"/>
      <c r="G689" s="22"/>
      <c r="H689" s="22"/>
    </row>
    <row r="690" spans="1:8" ht="18">
      <c r="A690" s="75"/>
      <c r="B690" s="76"/>
      <c r="C690" s="77"/>
      <c r="D690" s="78"/>
      <c r="E690" s="78"/>
      <c r="F690" s="79"/>
      <c r="G690" s="22"/>
      <c r="H690" s="22"/>
    </row>
    <row r="691" spans="1:8" ht="18">
      <c r="A691" s="75"/>
      <c r="B691" s="76"/>
      <c r="C691" s="77"/>
      <c r="D691" s="78"/>
      <c r="E691" s="78"/>
      <c r="F691" s="79"/>
      <c r="G691" s="22"/>
      <c r="H691" s="22"/>
    </row>
    <row r="692" spans="1:8" ht="18">
      <c r="A692" s="75"/>
      <c r="B692" s="76"/>
      <c r="C692" s="77"/>
      <c r="D692" s="78"/>
      <c r="E692" s="78"/>
      <c r="F692" s="79"/>
      <c r="G692" s="22"/>
      <c r="H692" s="22"/>
    </row>
    <row r="693" spans="1:8" ht="18">
      <c r="A693" s="75"/>
      <c r="B693" s="76"/>
      <c r="C693" s="77"/>
      <c r="D693" s="78"/>
      <c r="E693" s="78"/>
      <c r="F693" s="79"/>
      <c r="G693" s="22"/>
      <c r="H693" s="22"/>
    </row>
    <row r="694" spans="1:8" ht="18">
      <c r="A694" s="75"/>
      <c r="B694" s="76"/>
      <c r="C694" s="77"/>
      <c r="D694" s="78"/>
      <c r="E694" s="78"/>
      <c r="F694" s="79"/>
      <c r="G694" s="22"/>
      <c r="H694" s="22"/>
    </row>
    <row r="695" spans="1:8" ht="18">
      <c r="A695" s="75"/>
      <c r="B695" s="76"/>
      <c r="C695" s="77"/>
      <c r="D695" s="78"/>
      <c r="E695" s="78"/>
      <c r="F695" s="79"/>
      <c r="G695" s="22"/>
      <c r="H695" s="22"/>
    </row>
    <row r="696" spans="1:8" ht="18">
      <c r="A696" s="75"/>
      <c r="B696" s="76"/>
      <c r="C696" s="77"/>
      <c r="D696" s="78"/>
      <c r="E696" s="78"/>
      <c r="F696" s="79"/>
      <c r="G696" s="22"/>
      <c r="H696" s="22"/>
    </row>
    <row r="697" spans="1:8" ht="18">
      <c r="A697" s="75"/>
      <c r="B697" s="76"/>
      <c r="C697" s="77"/>
      <c r="D697" s="78"/>
      <c r="E697" s="78"/>
      <c r="F697" s="79"/>
      <c r="G697" s="22"/>
      <c r="H697" s="22"/>
    </row>
    <row r="698" spans="1:8" ht="18">
      <c r="A698" s="75"/>
      <c r="B698" s="76"/>
      <c r="C698" s="77"/>
      <c r="D698" s="78"/>
      <c r="E698" s="78"/>
      <c r="F698" s="79"/>
      <c r="G698" s="22"/>
      <c r="H698" s="22"/>
    </row>
    <row r="699" spans="1:8" ht="18">
      <c r="A699" s="75"/>
      <c r="B699" s="76"/>
      <c r="C699" s="77"/>
      <c r="D699" s="78"/>
      <c r="E699" s="78"/>
      <c r="F699" s="79"/>
      <c r="G699" s="22"/>
      <c r="H699" s="22"/>
    </row>
    <row r="700" spans="1:8" ht="18">
      <c r="A700" s="75"/>
      <c r="B700" s="76"/>
      <c r="C700" s="77"/>
      <c r="D700" s="78"/>
      <c r="E700" s="78"/>
      <c r="F700" s="79"/>
      <c r="G700" s="22"/>
      <c r="H700" s="22"/>
    </row>
    <row r="701" spans="1:8" ht="18">
      <c r="A701" s="75"/>
      <c r="B701" s="76"/>
      <c r="C701" s="77"/>
      <c r="D701" s="78"/>
      <c r="E701" s="78"/>
      <c r="F701" s="79"/>
      <c r="G701" s="22"/>
      <c r="H701" s="22"/>
    </row>
    <row r="702" spans="1:8" ht="18">
      <c r="A702" s="75"/>
      <c r="B702" s="76"/>
      <c r="C702" s="77"/>
      <c r="D702" s="78"/>
      <c r="E702" s="78"/>
      <c r="F702" s="79"/>
      <c r="G702" s="22"/>
      <c r="H702" s="22"/>
    </row>
    <row r="703" spans="1:8" ht="18">
      <c r="A703" s="75"/>
      <c r="B703" s="76"/>
      <c r="C703" s="77"/>
      <c r="D703" s="78"/>
      <c r="E703" s="78"/>
      <c r="F703" s="79"/>
      <c r="G703" s="22"/>
      <c r="H703" s="22"/>
    </row>
    <row r="704" spans="1:8" ht="18">
      <c r="A704" s="75"/>
      <c r="B704" s="76"/>
      <c r="C704" s="77"/>
      <c r="D704" s="78"/>
      <c r="E704" s="78"/>
      <c r="F704" s="79"/>
      <c r="G704" s="22"/>
      <c r="H704" s="22"/>
    </row>
    <row r="705" spans="1:8" ht="18">
      <c r="A705" s="75"/>
      <c r="B705" s="76"/>
      <c r="C705" s="77"/>
      <c r="D705" s="78"/>
      <c r="E705" s="78"/>
      <c r="F705" s="79"/>
      <c r="G705" s="22"/>
      <c r="H705" s="22"/>
    </row>
    <row r="706" spans="1:8" ht="18">
      <c r="A706" s="75"/>
      <c r="B706" s="76"/>
      <c r="C706" s="77"/>
      <c r="D706" s="78"/>
      <c r="E706" s="78"/>
      <c r="F706" s="79"/>
      <c r="G706" s="22"/>
      <c r="H706" s="22"/>
    </row>
    <row r="707" spans="1:8" ht="18">
      <c r="A707" s="75"/>
      <c r="B707" s="76"/>
      <c r="C707" s="77"/>
      <c r="D707" s="78"/>
      <c r="E707" s="78"/>
      <c r="F707" s="79"/>
      <c r="G707" s="22"/>
      <c r="H707" s="22"/>
    </row>
    <row r="708" spans="1:8" ht="18">
      <c r="A708" s="75"/>
      <c r="B708" s="76"/>
      <c r="C708" s="77"/>
      <c r="D708" s="78"/>
      <c r="E708" s="78"/>
      <c r="F708" s="79"/>
      <c r="G708" s="22"/>
      <c r="H708" s="22"/>
    </row>
    <row r="709" spans="1:8" ht="18">
      <c r="A709" s="75"/>
      <c r="B709" s="76"/>
      <c r="C709" s="77"/>
      <c r="D709" s="78"/>
      <c r="E709" s="78"/>
      <c r="F709" s="79"/>
      <c r="G709" s="22"/>
      <c r="H709" s="22"/>
    </row>
    <row r="710" spans="1:8" ht="18">
      <c r="A710" s="75"/>
      <c r="B710" s="76"/>
      <c r="C710" s="77"/>
      <c r="D710" s="78"/>
      <c r="E710" s="78"/>
      <c r="F710" s="79"/>
      <c r="G710" s="22"/>
      <c r="H710" s="22"/>
    </row>
    <row r="711" spans="1:8" ht="18">
      <c r="A711" s="75"/>
      <c r="B711" s="76"/>
      <c r="C711" s="77"/>
      <c r="D711" s="78"/>
      <c r="E711" s="78"/>
      <c r="F711" s="79"/>
      <c r="G711" s="22"/>
      <c r="H711" s="22"/>
    </row>
    <row r="712" spans="1:8" ht="18">
      <c r="A712" s="75"/>
      <c r="B712" s="76"/>
      <c r="C712" s="77"/>
      <c r="D712" s="78"/>
      <c r="E712" s="78"/>
      <c r="F712" s="79"/>
      <c r="G712" s="22"/>
      <c r="H712" s="22"/>
    </row>
    <row r="713" spans="1:8" ht="18">
      <c r="A713" s="75"/>
      <c r="B713" s="76"/>
      <c r="C713" s="77"/>
      <c r="D713" s="78"/>
      <c r="E713" s="78"/>
      <c r="F713" s="79"/>
      <c r="G713" s="22"/>
      <c r="H713" s="22"/>
    </row>
    <row r="714" spans="1:8" ht="18">
      <c r="A714" s="75"/>
      <c r="B714" s="76"/>
      <c r="C714" s="77"/>
      <c r="D714" s="78"/>
      <c r="E714" s="78"/>
      <c r="F714" s="79"/>
      <c r="G714" s="22"/>
      <c r="H714" s="22"/>
    </row>
    <row r="715" spans="1:8" ht="18">
      <c r="A715" s="75"/>
      <c r="B715" s="76"/>
      <c r="C715" s="77"/>
      <c r="D715" s="78"/>
      <c r="E715" s="78"/>
      <c r="F715" s="79"/>
      <c r="G715" s="22"/>
      <c r="H715" s="22"/>
    </row>
    <row r="716" spans="1:8" ht="18">
      <c r="A716" s="75"/>
      <c r="B716" s="76"/>
      <c r="C716" s="77"/>
      <c r="D716" s="78"/>
      <c r="E716" s="78"/>
      <c r="F716" s="79"/>
      <c r="G716" s="22"/>
      <c r="H716" s="22"/>
    </row>
    <row r="717" spans="1:8" ht="18">
      <c r="A717" s="75"/>
      <c r="B717" s="76"/>
      <c r="C717" s="77"/>
      <c r="D717" s="78"/>
      <c r="E717" s="78"/>
      <c r="F717" s="79"/>
      <c r="G717" s="22"/>
      <c r="H717" s="22"/>
    </row>
    <row r="718" spans="1:8" ht="18">
      <c r="A718" s="75"/>
      <c r="B718" s="76"/>
      <c r="C718" s="77"/>
      <c r="D718" s="78"/>
      <c r="E718" s="78"/>
      <c r="F718" s="79"/>
      <c r="G718" s="22"/>
      <c r="H718" s="22"/>
    </row>
    <row r="719" spans="1:8" ht="18">
      <c r="A719" s="75"/>
      <c r="B719" s="76"/>
      <c r="C719" s="77"/>
      <c r="D719" s="78"/>
      <c r="E719" s="78"/>
      <c r="F719" s="79"/>
      <c r="G719" s="22"/>
      <c r="H719" s="22"/>
    </row>
    <row r="720" spans="1:8" ht="18">
      <c r="A720" s="75"/>
      <c r="B720" s="76"/>
      <c r="C720" s="77"/>
      <c r="D720" s="78"/>
      <c r="E720" s="78"/>
      <c r="F720" s="79"/>
      <c r="G720" s="22"/>
      <c r="H720" s="22"/>
    </row>
    <row r="721" spans="1:8" ht="18">
      <c r="A721" s="75"/>
      <c r="B721" s="76"/>
      <c r="C721" s="77"/>
      <c r="D721" s="78"/>
      <c r="E721" s="78"/>
      <c r="F721" s="79"/>
      <c r="G721" s="22"/>
      <c r="H721" s="22"/>
    </row>
    <row r="722" spans="1:8" ht="18">
      <c r="A722" s="75"/>
      <c r="B722" s="76"/>
      <c r="C722" s="77"/>
      <c r="D722" s="78"/>
      <c r="E722" s="78"/>
      <c r="F722" s="79"/>
      <c r="G722" s="22"/>
      <c r="H722" s="22"/>
    </row>
    <row r="723" spans="1:8" ht="18">
      <c r="A723" s="75"/>
      <c r="B723" s="76"/>
      <c r="C723" s="77"/>
      <c r="D723" s="78"/>
      <c r="E723" s="78"/>
      <c r="F723" s="79"/>
      <c r="G723" s="22"/>
      <c r="H723" s="22"/>
    </row>
    <row r="724" spans="1:8" ht="18">
      <c r="A724" s="75"/>
      <c r="B724" s="76"/>
      <c r="C724" s="77"/>
      <c r="D724" s="78"/>
      <c r="E724" s="78"/>
      <c r="F724" s="79"/>
      <c r="G724" s="22"/>
      <c r="H724" s="22"/>
    </row>
    <row r="725" spans="1:8" ht="18">
      <c r="A725" s="75"/>
      <c r="B725" s="76"/>
      <c r="C725" s="77"/>
      <c r="D725" s="78"/>
      <c r="E725" s="78"/>
      <c r="F725" s="79"/>
      <c r="G725" s="22"/>
      <c r="H725" s="22"/>
    </row>
    <row r="726" spans="1:8" ht="18">
      <c r="A726" s="75"/>
      <c r="B726" s="76"/>
      <c r="C726" s="77"/>
      <c r="D726" s="78"/>
      <c r="E726" s="78"/>
      <c r="F726" s="79"/>
      <c r="G726" s="22"/>
      <c r="H726" s="22"/>
    </row>
    <row r="727" spans="1:8" ht="18">
      <c r="A727" s="75"/>
      <c r="B727" s="76"/>
      <c r="C727" s="77"/>
      <c r="D727" s="78"/>
      <c r="E727" s="78"/>
      <c r="F727" s="79"/>
      <c r="G727" s="22"/>
      <c r="H727" s="22"/>
    </row>
    <row r="728" spans="1:8" ht="18">
      <c r="A728" s="75"/>
      <c r="B728" s="76"/>
      <c r="C728" s="77"/>
      <c r="D728" s="78"/>
      <c r="E728" s="78"/>
      <c r="F728" s="79"/>
      <c r="G728" s="22"/>
      <c r="H728" s="22"/>
    </row>
    <row r="729" spans="1:8" ht="18">
      <c r="A729" s="75"/>
      <c r="B729" s="76"/>
      <c r="C729" s="77"/>
      <c r="D729" s="78"/>
      <c r="E729" s="78"/>
      <c r="F729" s="79"/>
      <c r="G729" s="22"/>
      <c r="H729" s="22"/>
    </row>
    <row r="730" spans="1:8" ht="18">
      <c r="A730" s="75"/>
      <c r="B730" s="76"/>
      <c r="C730" s="77"/>
      <c r="D730" s="78"/>
      <c r="E730" s="78"/>
      <c r="F730" s="79"/>
      <c r="G730" s="22"/>
      <c r="H730" s="22"/>
    </row>
    <row r="731" spans="1:8" ht="18">
      <c r="A731" s="75"/>
      <c r="B731" s="76"/>
      <c r="C731" s="77"/>
      <c r="D731" s="78"/>
      <c r="E731" s="78"/>
      <c r="F731" s="79"/>
      <c r="G731" s="22"/>
      <c r="H731" s="22"/>
    </row>
    <row r="732" spans="1:8" ht="18">
      <c r="A732" s="75"/>
      <c r="B732" s="76"/>
      <c r="C732" s="77"/>
      <c r="D732" s="78"/>
      <c r="E732" s="78"/>
      <c r="F732" s="79"/>
      <c r="G732" s="22"/>
      <c r="H732" s="22"/>
    </row>
    <row r="733" spans="1:8" ht="18">
      <c r="A733" s="75"/>
      <c r="B733" s="76"/>
      <c r="C733" s="77"/>
      <c r="D733" s="78"/>
      <c r="E733" s="78"/>
      <c r="F733" s="79"/>
      <c r="G733" s="22"/>
      <c r="H733" s="22"/>
    </row>
    <row r="734" spans="1:8" ht="18">
      <c r="A734" s="75"/>
      <c r="B734" s="76"/>
      <c r="C734" s="77"/>
      <c r="D734" s="78"/>
      <c r="E734" s="78"/>
      <c r="F734" s="79"/>
      <c r="G734" s="22"/>
      <c r="H734" s="22"/>
    </row>
    <row r="735" spans="1:8" ht="18">
      <c r="A735" s="75"/>
      <c r="B735" s="76"/>
      <c r="C735" s="77"/>
      <c r="D735" s="78"/>
      <c r="E735" s="78"/>
      <c r="F735" s="79"/>
      <c r="G735" s="22"/>
      <c r="H735" s="22"/>
    </row>
    <row r="736" spans="1:8" ht="18">
      <c r="A736" s="75"/>
      <c r="B736" s="76"/>
      <c r="C736" s="77"/>
      <c r="D736" s="78"/>
      <c r="E736" s="78"/>
      <c r="F736" s="79"/>
      <c r="G736" s="22"/>
      <c r="H736" s="22"/>
    </row>
    <row r="737" spans="1:8" ht="18">
      <c r="A737" s="75"/>
      <c r="B737" s="76"/>
      <c r="C737" s="77"/>
      <c r="D737" s="78"/>
      <c r="E737" s="78"/>
      <c r="F737" s="79"/>
      <c r="G737" s="22"/>
      <c r="H737" s="22"/>
    </row>
    <row r="738" spans="1:8" ht="18">
      <c r="A738" s="75"/>
      <c r="B738" s="76"/>
      <c r="C738" s="77"/>
      <c r="D738" s="78"/>
      <c r="E738" s="78"/>
      <c r="F738" s="79"/>
      <c r="G738" s="22"/>
      <c r="H738" s="22"/>
    </row>
    <row r="739" spans="1:8" ht="18">
      <c r="A739" s="75"/>
      <c r="B739" s="76"/>
      <c r="C739" s="77"/>
      <c r="D739" s="78"/>
      <c r="E739" s="78"/>
      <c r="F739" s="79"/>
      <c r="G739" s="22"/>
      <c r="H739" s="22"/>
    </row>
    <row r="740" spans="1:8" ht="18">
      <c r="A740" s="75"/>
      <c r="B740" s="76"/>
      <c r="C740" s="77"/>
      <c r="D740" s="78"/>
      <c r="E740" s="78"/>
      <c r="F740" s="79"/>
      <c r="G740" s="22"/>
      <c r="H740" s="22"/>
    </row>
    <row r="741" spans="1:8" ht="18">
      <c r="A741" s="75"/>
      <c r="B741" s="76"/>
      <c r="C741" s="77"/>
      <c r="D741" s="78"/>
      <c r="E741" s="78"/>
      <c r="F741" s="79"/>
      <c r="G741" s="22"/>
      <c r="H741" s="22"/>
    </row>
    <row r="742" spans="1:8" ht="18">
      <c r="A742" s="75"/>
      <c r="B742" s="76"/>
      <c r="C742" s="77"/>
      <c r="D742" s="78"/>
      <c r="E742" s="78"/>
      <c r="F742" s="79"/>
      <c r="G742" s="22"/>
      <c r="H742" s="22"/>
    </row>
    <row r="743" spans="1:8" ht="18">
      <c r="A743" s="75"/>
      <c r="B743" s="76"/>
      <c r="C743" s="77"/>
      <c r="D743" s="78"/>
      <c r="E743" s="78"/>
      <c r="F743" s="79"/>
      <c r="G743" s="22"/>
      <c r="H743" s="22"/>
    </row>
    <row r="744" spans="1:8" ht="18">
      <c r="A744" s="75"/>
      <c r="B744" s="76"/>
      <c r="C744" s="77"/>
      <c r="D744" s="78"/>
      <c r="E744" s="78"/>
      <c r="F744" s="79"/>
      <c r="G744" s="22"/>
      <c r="H744" s="22"/>
    </row>
    <row r="745" spans="1:8" ht="18">
      <c r="A745" s="75"/>
      <c r="B745" s="76"/>
      <c r="C745" s="77"/>
      <c r="D745" s="78"/>
      <c r="E745" s="78"/>
      <c r="F745" s="79"/>
      <c r="G745" s="22"/>
      <c r="H745" s="22"/>
    </row>
    <row r="746" spans="1:8" ht="18">
      <c r="A746" s="75"/>
      <c r="B746" s="76"/>
      <c r="C746" s="77"/>
      <c r="D746" s="78"/>
      <c r="E746" s="78"/>
      <c r="F746" s="79"/>
      <c r="G746" s="22"/>
      <c r="H746" s="22"/>
    </row>
    <row r="747" spans="1:8" ht="18">
      <c r="A747" s="75"/>
      <c r="B747" s="76"/>
      <c r="C747" s="77"/>
      <c r="D747" s="78"/>
      <c r="E747" s="78"/>
      <c r="F747" s="79"/>
      <c r="G747" s="22"/>
      <c r="H747" s="22"/>
    </row>
    <row r="748" spans="1:8" ht="18">
      <c r="A748" s="75"/>
      <c r="B748" s="76"/>
      <c r="C748" s="77"/>
      <c r="D748" s="78"/>
      <c r="E748" s="78"/>
      <c r="F748" s="79"/>
      <c r="G748" s="22"/>
      <c r="H748" s="22"/>
    </row>
    <row r="749" spans="1:8" ht="18">
      <c r="A749" s="75"/>
      <c r="B749" s="76"/>
      <c r="C749" s="77"/>
      <c r="D749" s="78"/>
      <c r="E749" s="78"/>
      <c r="F749" s="79"/>
      <c r="G749" s="22"/>
      <c r="H749" s="22"/>
    </row>
    <row r="750" spans="1:8" ht="18">
      <c r="A750" s="75"/>
      <c r="B750" s="76"/>
      <c r="C750" s="77"/>
      <c r="D750" s="78"/>
      <c r="E750" s="78"/>
      <c r="F750" s="79"/>
      <c r="G750" s="22"/>
      <c r="H750" s="22"/>
    </row>
    <row r="751" spans="1:8" ht="18">
      <c r="A751" s="75"/>
      <c r="B751" s="76"/>
      <c r="C751" s="77"/>
      <c r="D751" s="78"/>
      <c r="E751" s="78"/>
      <c r="F751" s="79"/>
      <c r="G751" s="22"/>
      <c r="H751" s="22"/>
    </row>
    <row r="752" spans="1:8" ht="18">
      <c r="A752" s="75"/>
      <c r="B752" s="76"/>
      <c r="C752" s="77"/>
      <c r="D752" s="78"/>
      <c r="E752" s="78"/>
      <c r="F752" s="79"/>
      <c r="G752" s="22"/>
      <c r="H752" s="22"/>
    </row>
    <row r="753" spans="1:8" ht="18">
      <c r="A753" s="75"/>
      <c r="B753" s="76"/>
      <c r="C753" s="77"/>
      <c r="D753" s="78"/>
      <c r="E753" s="78"/>
      <c r="F753" s="79"/>
      <c r="G753" s="22"/>
      <c r="H753" s="22"/>
    </row>
    <row r="754" spans="1:8" ht="18">
      <c r="A754" s="75"/>
      <c r="B754" s="76"/>
      <c r="C754" s="77"/>
      <c r="D754" s="78"/>
      <c r="E754" s="78"/>
      <c r="F754" s="79"/>
      <c r="G754" s="22"/>
      <c r="H754" s="22"/>
    </row>
    <row r="755" spans="1:8" ht="18">
      <c r="A755" s="75"/>
      <c r="B755" s="76"/>
      <c r="C755" s="77"/>
      <c r="D755" s="78"/>
      <c r="E755" s="78"/>
      <c r="F755" s="79"/>
      <c r="G755" s="22"/>
      <c r="H755" s="22"/>
    </row>
    <row r="756" spans="1:8" ht="18">
      <c r="A756" s="75"/>
      <c r="B756" s="76"/>
      <c r="C756" s="77"/>
      <c r="D756" s="78"/>
      <c r="E756" s="78"/>
      <c r="F756" s="79"/>
      <c r="G756" s="22"/>
      <c r="H756" s="22"/>
    </row>
    <row r="757" spans="1:8" ht="18">
      <c r="A757" s="75"/>
      <c r="B757" s="76"/>
      <c r="C757" s="77"/>
      <c r="D757" s="78"/>
      <c r="E757" s="78"/>
      <c r="F757" s="79"/>
      <c r="G757" s="22"/>
      <c r="H757" s="22"/>
    </row>
    <row r="758" spans="1:8" ht="18">
      <c r="A758" s="75"/>
      <c r="B758" s="76"/>
      <c r="C758" s="77"/>
      <c r="D758" s="78"/>
      <c r="E758" s="78"/>
      <c r="F758" s="79"/>
      <c r="G758" s="22"/>
      <c r="H758" s="22"/>
    </row>
    <row r="759" spans="1:8" ht="18">
      <c r="A759" s="75"/>
      <c r="B759" s="76"/>
      <c r="C759" s="77"/>
      <c r="D759" s="78"/>
      <c r="E759" s="78"/>
      <c r="F759" s="79"/>
      <c r="G759" s="22"/>
      <c r="H759" s="22"/>
    </row>
    <row r="760" spans="1:8" ht="18">
      <c r="A760" s="75"/>
      <c r="B760" s="76"/>
      <c r="C760" s="77"/>
      <c r="D760" s="78"/>
      <c r="E760" s="78"/>
      <c r="F760" s="79"/>
      <c r="G760" s="22"/>
      <c r="H760" s="22"/>
    </row>
    <row r="761" spans="1:8" ht="18">
      <c r="A761" s="75"/>
      <c r="B761" s="76"/>
      <c r="C761" s="77"/>
      <c r="D761" s="78"/>
      <c r="E761" s="78"/>
      <c r="F761" s="79"/>
      <c r="G761" s="22"/>
      <c r="H761" s="22"/>
    </row>
    <row r="762" spans="1:8" ht="18">
      <c r="A762" s="75"/>
      <c r="B762" s="76"/>
      <c r="C762" s="77"/>
      <c r="D762" s="78"/>
      <c r="E762" s="78"/>
      <c r="F762" s="79"/>
      <c r="G762" s="22"/>
      <c r="H762" s="22"/>
    </row>
    <row r="763" spans="1:8" ht="18">
      <c r="A763" s="75"/>
      <c r="B763" s="76"/>
      <c r="C763" s="77"/>
      <c r="D763" s="78"/>
      <c r="E763" s="78"/>
      <c r="F763" s="79"/>
      <c r="G763" s="22"/>
      <c r="H763" s="22"/>
    </row>
    <row r="764" spans="1:8" ht="18">
      <c r="A764" s="75"/>
      <c r="B764" s="76"/>
      <c r="C764" s="77"/>
      <c r="D764" s="78"/>
      <c r="E764" s="78"/>
      <c r="F764" s="79"/>
      <c r="G764" s="22"/>
      <c r="H764" s="22"/>
    </row>
    <row r="765" spans="1:8" ht="18">
      <c r="A765" s="75"/>
      <c r="B765" s="76"/>
      <c r="C765" s="77"/>
      <c r="D765" s="78"/>
      <c r="E765" s="78"/>
      <c r="F765" s="79"/>
      <c r="G765" s="22"/>
      <c r="H765" s="22"/>
    </row>
    <row r="766" spans="1:8" ht="18">
      <c r="A766" s="75"/>
      <c r="B766" s="76"/>
      <c r="C766" s="77"/>
      <c r="D766" s="78"/>
      <c r="E766" s="78"/>
      <c r="F766" s="79"/>
      <c r="G766" s="22"/>
      <c r="H766" s="22"/>
    </row>
    <row r="767" spans="1:8" ht="18">
      <c r="A767" s="75"/>
      <c r="B767" s="76"/>
      <c r="C767" s="77"/>
      <c r="D767" s="78"/>
      <c r="E767" s="78"/>
      <c r="F767" s="79"/>
      <c r="G767" s="22"/>
      <c r="H767" s="22"/>
    </row>
    <row r="768" spans="1:8" ht="18">
      <c r="A768" s="75"/>
      <c r="B768" s="76"/>
      <c r="C768" s="77"/>
      <c r="D768" s="78"/>
      <c r="E768" s="78"/>
      <c r="F768" s="79"/>
      <c r="G768" s="22"/>
      <c r="H768" s="22"/>
    </row>
    <row r="769" spans="1:8" ht="18">
      <c r="A769" s="75"/>
      <c r="B769" s="76"/>
      <c r="C769" s="77"/>
      <c r="D769" s="78"/>
      <c r="E769" s="78"/>
      <c r="F769" s="79"/>
      <c r="G769" s="22"/>
      <c r="H769" s="22"/>
    </row>
    <row r="770" spans="1:8" ht="18">
      <c r="A770" s="75"/>
      <c r="B770" s="76"/>
      <c r="C770" s="77"/>
      <c r="D770" s="78"/>
      <c r="E770" s="78"/>
      <c r="F770" s="79"/>
      <c r="G770" s="22"/>
      <c r="H770" s="22"/>
    </row>
    <row r="771" spans="1:8" ht="18">
      <c r="A771" s="75"/>
      <c r="B771" s="76"/>
      <c r="C771" s="77"/>
      <c r="D771" s="78"/>
      <c r="E771" s="78"/>
      <c r="F771" s="79"/>
      <c r="G771" s="22"/>
      <c r="H771" s="22"/>
    </row>
    <row r="772" spans="1:8" ht="18">
      <c r="A772" s="75"/>
      <c r="B772" s="76"/>
      <c r="C772" s="77"/>
      <c r="D772" s="78"/>
      <c r="E772" s="78"/>
      <c r="F772" s="79"/>
      <c r="G772" s="22"/>
      <c r="H772" s="22"/>
    </row>
    <row r="773" spans="1:8" ht="18">
      <c r="A773" s="75"/>
      <c r="B773" s="76"/>
      <c r="C773" s="77"/>
      <c r="D773" s="78"/>
      <c r="E773" s="78"/>
      <c r="F773" s="79"/>
      <c r="G773" s="22"/>
      <c r="H773" s="22"/>
    </row>
    <row r="774" spans="1:8" ht="18">
      <c r="A774" s="75"/>
      <c r="B774" s="76"/>
      <c r="C774" s="77"/>
      <c r="D774" s="78"/>
      <c r="E774" s="78"/>
      <c r="F774" s="79"/>
      <c r="G774" s="22"/>
      <c r="H774" s="22"/>
    </row>
    <row r="775" spans="1:8" ht="18">
      <c r="A775" s="75"/>
      <c r="B775" s="76"/>
      <c r="C775" s="77"/>
      <c r="D775" s="78"/>
      <c r="E775" s="78"/>
      <c r="F775" s="79"/>
      <c r="G775" s="22"/>
      <c r="H775" s="22"/>
    </row>
    <row r="776" spans="1:8" ht="18">
      <c r="A776" s="75"/>
      <c r="B776" s="76"/>
      <c r="C776" s="77"/>
      <c r="D776" s="78"/>
      <c r="E776" s="78"/>
      <c r="F776" s="79"/>
      <c r="G776" s="22"/>
      <c r="H776" s="22"/>
    </row>
    <row r="777" spans="1:8" ht="18">
      <c r="A777" s="75"/>
      <c r="B777" s="76"/>
      <c r="C777" s="77"/>
      <c r="D777" s="78"/>
      <c r="E777" s="78"/>
      <c r="F777" s="79"/>
      <c r="G777" s="22"/>
      <c r="H777" s="22"/>
    </row>
    <row r="778" spans="1:8" ht="18">
      <c r="A778" s="75"/>
      <c r="B778" s="76"/>
      <c r="C778" s="77"/>
      <c r="D778" s="78"/>
      <c r="E778" s="78"/>
      <c r="F778" s="79"/>
      <c r="G778" s="22"/>
      <c r="H778" s="22"/>
    </row>
    <row r="779" spans="1:8" ht="18">
      <c r="A779" s="75"/>
      <c r="B779" s="76"/>
      <c r="C779" s="77"/>
      <c r="D779" s="78"/>
      <c r="E779" s="78"/>
      <c r="F779" s="79"/>
      <c r="G779" s="22"/>
      <c r="H779" s="22"/>
    </row>
    <row r="780" spans="1:8" ht="18">
      <c r="A780" s="75"/>
      <c r="B780" s="76"/>
      <c r="C780" s="77"/>
      <c r="D780" s="78"/>
      <c r="E780" s="78"/>
      <c r="F780" s="79"/>
      <c r="G780" s="22"/>
      <c r="H780" s="22"/>
    </row>
    <row r="781" spans="1:8" ht="18">
      <c r="A781" s="75"/>
      <c r="B781" s="76"/>
      <c r="C781" s="77"/>
      <c r="D781" s="78"/>
      <c r="E781" s="78"/>
      <c r="F781" s="79"/>
      <c r="G781" s="22"/>
      <c r="H781" s="22"/>
    </row>
    <row r="782" spans="1:8" ht="18">
      <c r="A782" s="75"/>
      <c r="B782" s="76"/>
      <c r="C782" s="77"/>
      <c r="D782" s="78"/>
      <c r="E782" s="78"/>
      <c r="F782" s="79"/>
      <c r="G782" s="22"/>
      <c r="H782" s="22"/>
    </row>
    <row r="783" spans="1:8" ht="18">
      <c r="A783" s="75"/>
      <c r="B783" s="76"/>
      <c r="C783" s="77"/>
      <c r="D783" s="78"/>
      <c r="E783" s="78"/>
      <c r="F783" s="79"/>
      <c r="G783" s="22"/>
      <c r="H783" s="22"/>
    </row>
    <row r="784" spans="1:8" ht="18">
      <c r="A784" s="75"/>
      <c r="B784" s="76"/>
      <c r="C784" s="77"/>
      <c r="D784" s="78"/>
      <c r="E784" s="78"/>
      <c r="F784" s="79"/>
      <c r="G784" s="22"/>
      <c r="H784" s="22"/>
    </row>
    <row r="785" spans="1:8" ht="18">
      <c r="A785" s="75"/>
      <c r="B785" s="76"/>
      <c r="C785" s="77"/>
      <c r="D785" s="78"/>
      <c r="E785" s="78"/>
      <c r="F785" s="79"/>
      <c r="G785" s="22"/>
      <c r="H785" s="22"/>
    </row>
    <row r="786" spans="1:8" ht="18">
      <c r="A786" s="75"/>
      <c r="B786" s="76"/>
      <c r="C786" s="77"/>
      <c r="D786" s="78"/>
      <c r="E786" s="78"/>
      <c r="F786" s="79"/>
      <c r="G786" s="22"/>
      <c r="H786" s="22"/>
    </row>
    <row r="787" spans="1:8" ht="18">
      <c r="A787" s="75"/>
      <c r="B787" s="76"/>
      <c r="C787" s="77"/>
      <c r="D787" s="78"/>
      <c r="E787" s="78"/>
      <c r="F787" s="79"/>
      <c r="G787" s="22"/>
      <c r="H787" s="22"/>
    </row>
    <row r="788" spans="1:8" ht="18">
      <c r="A788" s="75"/>
      <c r="B788" s="76"/>
      <c r="C788" s="77"/>
      <c r="D788" s="78"/>
      <c r="E788" s="78"/>
      <c r="F788" s="79"/>
      <c r="G788" s="22"/>
      <c r="H788" s="22"/>
    </row>
    <row r="789" spans="1:8" ht="18">
      <c r="A789" s="75"/>
      <c r="B789" s="76"/>
      <c r="C789" s="77"/>
      <c r="D789" s="78"/>
      <c r="E789" s="78"/>
      <c r="F789" s="79"/>
      <c r="G789" s="22"/>
      <c r="H789" s="22"/>
    </row>
    <row r="790" spans="1:8" ht="18">
      <c r="A790" s="75"/>
      <c r="B790" s="76"/>
      <c r="C790" s="77"/>
      <c r="D790" s="78"/>
      <c r="E790" s="78"/>
      <c r="F790" s="79"/>
      <c r="G790" s="22"/>
      <c r="H790" s="22"/>
    </row>
    <row r="791" spans="1:8" ht="18">
      <c r="A791" s="75"/>
      <c r="B791" s="76"/>
      <c r="C791" s="77"/>
      <c r="D791" s="78"/>
      <c r="E791" s="78"/>
      <c r="F791" s="79"/>
      <c r="G791" s="22"/>
      <c r="H791" s="22"/>
    </row>
    <row r="792" spans="1:8" ht="18">
      <c r="A792" s="75"/>
      <c r="B792" s="76"/>
      <c r="C792" s="77"/>
      <c r="D792" s="78"/>
      <c r="E792" s="78"/>
      <c r="F792" s="79"/>
      <c r="G792" s="22"/>
      <c r="H792" s="22"/>
    </row>
    <row r="793" spans="1:8" ht="18">
      <c r="A793" s="75"/>
      <c r="B793" s="76"/>
      <c r="C793" s="77"/>
      <c r="D793" s="78"/>
      <c r="E793" s="78"/>
      <c r="F793" s="79"/>
      <c r="G793" s="22"/>
      <c r="H793" s="22"/>
    </row>
    <row r="794" spans="1:8" ht="18">
      <c r="A794" s="75"/>
      <c r="B794" s="76"/>
      <c r="C794" s="77"/>
      <c r="D794" s="78"/>
      <c r="E794" s="78"/>
      <c r="F794" s="79"/>
      <c r="G794" s="22"/>
      <c r="H794" s="22"/>
    </row>
    <row r="795" spans="1:8" ht="18">
      <c r="A795" s="75"/>
      <c r="B795" s="76"/>
      <c r="C795" s="77"/>
      <c r="D795" s="78"/>
      <c r="E795" s="78"/>
      <c r="F795" s="79"/>
      <c r="G795" s="22"/>
      <c r="H795" s="22"/>
    </row>
    <row r="796" spans="1:8" ht="18">
      <c r="A796" s="75"/>
      <c r="B796" s="76"/>
      <c r="C796" s="77"/>
      <c r="D796" s="78"/>
      <c r="E796" s="78"/>
      <c r="F796" s="79"/>
      <c r="G796" s="22"/>
      <c r="H796" s="22"/>
    </row>
    <row r="797" spans="1:8" ht="18">
      <c r="A797" s="75"/>
      <c r="B797" s="76"/>
      <c r="C797" s="77"/>
      <c r="D797" s="78"/>
      <c r="E797" s="78"/>
      <c r="F797" s="79"/>
      <c r="G797" s="22"/>
      <c r="H797" s="22"/>
    </row>
    <row r="798" spans="1:8" ht="18">
      <c r="A798" s="75"/>
      <c r="B798" s="76"/>
      <c r="C798" s="77"/>
      <c r="D798" s="78"/>
      <c r="E798" s="78"/>
      <c r="F798" s="79"/>
      <c r="G798" s="22"/>
      <c r="H798" s="22"/>
    </row>
    <row r="799" spans="1:8" ht="18">
      <c r="A799" s="75"/>
      <c r="B799" s="76"/>
      <c r="C799" s="77"/>
      <c r="D799" s="78"/>
      <c r="E799" s="78"/>
      <c r="F799" s="79"/>
      <c r="G799" s="22"/>
      <c r="H799" s="22"/>
    </row>
    <row r="800" spans="1:8" ht="18">
      <c r="A800" s="75"/>
      <c r="B800" s="76"/>
      <c r="C800" s="77"/>
      <c r="D800" s="78"/>
      <c r="E800" s="78"/>
      <c r="F800" s="79"/>
      <c r="G800" s="22"/>
      <c r="H800" s="22"/>
    </row>
    <row r="801" spans="1:8" ht="18">
      <c r="A801" s="75"/>
      <c r="B801" s="76"/>
      <c r="C801" s="77"/>
      <c r="D801" s="78"/>
      <c r="E801" s="78"/>
      <c r="F801" s="79"/>
      <c r="G801" s="22"/>
      <c r="H801" s="22"/>
    </row>
    <row r="802" spans="1:8" ht="18">
      <c r="A802" s="75"/>
      <c r="B802" s="76"/>
      <c r="C802" s="77"/>
      <c r="D802" s="78"/>
      <c r="E802" s="78"/>
      <c r="F802" s="79"/>
      <c r="G802" s="22"/>
      <c r="H802" s="22"/>
    </row>
    <row r="803" spans="1:8" ht="18">
      <c r="A803" s="75"/>
      <c r="B803" s="76"/>
      <c r="C803" s="77"/>
      <c r="D803" s="78"/>
      <c r="E803" s="78"/>
      <c r="F803" s="79"/>
      <c r="G803" s="22"/>
      <c r="H803" s="22"/>
    </row>
    <row r="804" spans="1:8" ht="18">
      <c r="A804" s="75"/>
      <c r="B804" s="76"/>
      <c r="C804" s="77"/>
      <c r="D804" s="78"/>
      <c r="E804" s="78"/>
      <c r="F804" s="79"/>
      <c r="G804" s="22"/>
      <c r="H804" s="22"/>
    </row>
    <row r="805" spans="1:8" ht="18">
      <c r="A805" s="75"/>
      <c r="B805" s="76"/>
      <c r="C805" s="77"/>
      <c r="D805" s="78"/>
      <c r="E805" s="78"/>
      <c r="F805" s="79"/>
      <c r="G805" s="22"/>
      <c r="H805" s="22"/>
    </row>
    <row r="806" spans="1:8" ht="18">
      <c r="A806" s="75"/>
      <c r="B806" s="76"/>
      <c r="C806" s="77"/>
      <c r="D806" s="78"/>
      <c r="E806" s="78"/>
      <c r="F806" s="79"/>
      <c r="G806" s="22"/>
      <c r="H806" s="22"/>
    </row>
    <row r="807" spans="1:8" ht="18">
      <c r="A807" s="75"/>
      <c r="B807" s="76"/>
      <c r="C807" s="77"/>
      <c r="D807" s="78"/>
      <c r="E807" s="78"/>
      <c r="F807" s="79"/>
      <c r="G807" s="22"/>
      <c r="H807" s="22"/>
    </row>
    <row r="808" spans="1:8" ht="18">
      <c r="A808" s="75"/>
      <c r="B808" s="76"/>
      <c r="C808" s="77"/>
      <c r="D808" s="78"/>
      <c r="E808" s="78"/>
      <c r="F808" s="79"/>
      <c r="G808" s="22"/>
      <c r="H808" s="22"/>
    </row>
    <row r="809" spans="1:8" ht="18">
      <c r="A809" s="75"/>
      <c r="B809" s="76"/>
      <c r="C809" s="77"/>
      <c r="D809" s="78"/>
      <c r="E809" s="78"/>
      <c r="F809" s="79"/>
      <c r="G809" s="22"/>
      <c r="H809" s="22"/>
    </row>
    <row r="810" spans="1:8" ht="18">
      <c r="A810" s="75"/>
      <c r="B810" s="76"/>
      <c r="C810" s="77"/>
      <c r="D810" s="78"/>
      <c r="E810" s="78"/>
      <c r="F810" s="79"/>
      <c r="G810" s="22"/>
      <c r="H810" s="22"/>
    </row>
    <row r="811" spans="1:8" ht="18">
      <c r="A811" s="75"/>
      <c r="B811" s="76"/>
      <c r="C811" s="77"/>
      <c r="D811" s="78"/>
      <c r="E811" s="78"/>
      <c r="F811" s="79"/>
      <c r="G811" s="22"/>
      <c r="H811" s="22"/>
    </row>
    <row r="812" spans="1:8" ht="18">
      <c r="A812" s="75"/>
      <c r="B812" s="76"/>
      <c r="C812" s="77"/>
      <c r="D812" s="78"/>
      <c r="E812" s="78"/>
      <c r="F812" s="79"/>
      <c r="G812" s="22"/>
      <c r="H812" s="22"/>
    </row>
    <row r="813" spans="1:8" ht="18">
      <c r="A813" s="75"/>
      <c r="B813" s="76"/>
      <c r="C813" s="77"/>
      <c r="D813" s="78"/>
      <c r="E813" s="78"/>
      <c r="F813" s="79"/>
      <c r="G813" s="22"/>
      <c r="H813" s="22"/>
    </row>
    <row r="814" spans="1:8" ht="18">
      <c r="A814" s="75"/>
      <c r="B814" s="76"/>
      <c r="C814" s="77"/>
      <c r="D814" s="78"/>
      <c r="E814" s="78"/>
      <c r="F814" s="79"/>
      <c r="G814" s="22"/>
      <c r="H814" s="22"/>
    </row>
    <row r="815" spans="1:8" ht="18">
      <c r="A815" s="75"/>
      <c r="B815" s="76"/>
      <c r="C815" s="77"/>
      <c r="D815" s="78"/>
      <c r="E815" s="78"/>
      <c r="F815" s="79"/>
      <c r="G815" s="22"/>
      <c r="H815" s="22"/>
    </row>
    <row r="816" spans="1:8" ht="18">
      <c r="A816" s="75"/>
      <c r="B816" s="76"/>
      <c r="C816" s="77"/>
      <c r="D816" s="78"/>
      <c r="E816" s="78"/>
      <c r="F816" s="79"/>
      <c r="G816" s="22"/>
      <c r="H816" s="22"/>
    </row>
    <row r="817" spans="1:8" ht="18">
      <c r="A817" s="75"/>
      <c r="B817" s="76"/>
      <c r="C817" s="77"/>
      <c r="D817" s="78"/>
      <c r="E817" s="78"/>
      <c r="F817" s="79"/>
      <c r="G817" s="22"/>
      <c r="H817" s="22"/>
    </row>
    <row r="818" spans="1:8" ht="18">
      <c r="A818" s="75"/>
      <c r="B818" s="76"/>
      <c r="C818" s="77"/>
      <c r="D818" s="78"/>
      <c r="E818" s="78"/>
      <c r="F818" s="79"/>
      <c r="G818" s="22"/>
      <c r="H818" s="22"/>
    </row>
    <row r="819" spans="1:8" ht="18">
      <c r="A819" s="75"/>
      <c r="B819" s="76"/>
      <c r="C819" s="77"/>
      <c r="D819" s="78"/>
      <c r="E819" s="78"/>
      <c r="F819" s="79"/>
      <c r="G819" s="22"/>
      <c r="H819" s="22"/>
    </row>
    <row r="820" spans="1:8" ht="18">
      <c r="A820" s="75"/>
      <c r="B820" s="76"/>
      <c r="C820" s="77"/>
      <c r="D820" s="78"/>
      <c r="E820" s="78"/>
      <c r="F820" s="79"/>
      <c r="G820" s="22"/>
      <c r="H820" s="22"/>
    </row>
    <row r="821" spans="1:8" ht="18">
      <c r="A821" s="75"/>
      <c r="B821" s="76"/>
      <c r="C821" s="77"/>
      <c r="D821" s="78"/>
      <c r="E821" s="78"/>
      <c r="F821" s="79"/>
      <c r="G821" s="22"/>
      <c r="H821" s="22"/>
    </row>
    <row r="822" spans="1:8" ht="18">
      <c r="A822" s="75"/>
      <c r="B822" s="76"/>
      <c r="C822" s="77"/>
      <c r="D822" s="78"/>
      <c r="E822" s="78"/>
      <c r="F822" s="79"/>
      <c r="G822" s="22"/>
      <c r="H822" s="22"/>
    </row>
    <row r="823" spans="1:8" ht="18">
      <c r="A823" s="75"/>
      <c r="B823" s="76"/>
      <c r="C823" s="77"/>
      <c r="D823" s="78"/>
      <c r="E823" s="78"/>
      <c r="F823" s="79"/>
      <c r="G823" s="22"/>
      <c r="H823" s="22"/>
    </row>
    <row r="824" spans="1:8" ht="18">
      <c r="A824" s="75"/>
      <c r="B824" s="76"/>
      <c r="C824" s="77"/>
      <c r="D824" s="78"/>
      <c r="E824" s="78"/>
      <c r="F824" s="79"/>
      <c r="G824" s="22"/>
      <c r="H824" s="22"/>
    </row>
    <row r="825" spans="1:8" ht="18">
      <c r="A825" s="75"/>
      <c r="B825" s="76"/>
      <c r="C825" s="77"/>
      <c r="D825" s="78"/>
      <c r="E825" s="78"/>
      <c r="F825" s="79"/>
      <c r="G825" s="22"/>
      <c r="H825" s="22"/>
    </row>
    <row r="826" spans="1:8" ht="18">
      <c r="A826" s="75"/>
      <c r="B826" s="76"/>
      <c r="C826" s="77"/>
      <c r="D826" s="78"/>
      <c r="E826" s="78"/>
      <c r="F826" s="79"/>
      <c r="G826" s="22"/>
      <c r="H826" s="22"/>
    </row>
    <row r="827" spans="1:8" ht="18">
      <c r="A827" s="75"/>
      <c r="B827" s="76"/>
      <c r="C827" s="77"/>
      <c r="D827" s="78"/>
      <c r="E827" s="78"/>
      <c r="F827" s="79"/>
      <c r="G827" s="22"/>
      <c r="H827" s="22"/>
    </row>
    <row r="828" spans="1:8" ht="18">
      <c r="A828" s="75"/>
      <c r="B828" s="76"/>
      <c r="C828" s="77"/>
      <c r="D828" s="78"/>
      <c r="E828" s="78"/>
      <c r="F828" s="79"/>
      <c r="G828" s="22"/>
      <c r="H828" s="22"/>
    </row>
    <row r="829" spans="1:8" ht="18">
      <c r="A829" s="75"/>
      <c r="B829" s="76"/>
      <c r="C829" s="77"/>
      <c r="D829" s="78"/>
      <c r="E829" s="78"/>
      <c r="F829" s="79"/>
      <c r="G829" s="22"/>
      <c r="H829" s="22"/>
    </row>
    <row r="830" spans="1:8" ht="18">
      <c r="A830" s="75"/>
      <c r="B830" s="76"/>
      <c r="C830" s="77"/>
      <c r="D830" s="78"/>
      <c r="E830" s="78"/>
      <c r="F830" s="79"/>
      <c r="G830" s="22"/>
      <c r="H830" s="22"/>
    </row>
    <row r="831" spans="1:8" ht="18">
      <c r="A831" s="75"/>
      <c r="B831" s="76"/>
      <c r="C831" s="77"/>
      <c r="D831" s="78"/>
      <c r="E831" s="78"/>
      <c r="F831" s="79"/>
      <c r="G831" s="22"/>
      <c r="H831" s="22"/>
    </row>
    <row r="832" spans="1:8" ht="18">
      <c r="A832" s="75"/>
      <c r="B832" s="76"/>
      <c r="C832" s="77"/>
      <c r="D832" s="78"/>
      <c r="E832" s="78"/>
      <c r="F832" s="79"/>
      <c r="G832" s="22"/>
      <c r="H832" s="22"/>
    </row>
    <row r="833" spans="1:8" ht="18">
      <c r="A833" s="75"/>
      <c r="B833" s="76"/>
      <c r="C833" s="77"/>
      <c r="D833" s="78"/>
      <c r="E833" s="78"/>
      <c r="F833" s="79"/>
      <c r="G833" s="22"/>
      <c r="H833" s="22"/>
    </row>
    <row r="834" spans="1:8" ht="18">
      <c r="A834" s="75"/>
      <c r="B834" s="76"/>
      <c r="C834" s="77"/>
      <c r="D834" s="78"/>
      <c r="E834" s="78"/>
      <c r="F834" s="79"/>
      <c r="G834" s="22"/>
      <c r="H834" s="22"/>
    </row>
    <row r="835" spans="1:8" ht="18">
      <c r="A835" s="75"/>
      <c r="B835" s="76"/>
      <c r="C835" s="77"/>
      <c r="D835" s="78"/>
      <c r="E835" s="78"/>
      <c r="F835" s="79"/>
      <c r="G835" s="22"/>
      <c r="H835" s="22"/>
    </row>
    <row r="836" spans="1:8" ht="18">
      <c r="A836" s="75"/>
      <c r="B836" s="76"/>
      <c r="C836" s="77"/>
      <c r="D836" s="78"/>
      <c r="E836" s="78"/>
      <c r="F836" s="79"/>
      <c r="G836" s="22"/>
      <c r="H836" s="22"/>
    </row>
    <row r="837" spans="1:8" ht="18">
      <c r="A837" s="75"/>
      <c r="B837" s="76"/>
      <c r="C837" s="77"/>
      <c r="D837" s="78"/>
      <c r="E837" s="78"/>
      <c r="F837" s="79"/>
      <c r="G837" s="22"/>
      <c r="H837" s="22"/>
    </row>
    <row r="838" spans="1:8" ht="18">
      <c r="A838" s="75"/>
      <c r="B838" s="76"/>
      <c r="C838" s="77"/>
      <c r="D838" s="78"/>
      <c r="E838" s="78"/>
      <c r="F838" s="79"/>
      <c r="G838" s="22"/>
      <c r="H838" s="22"/>
    </row>
    <row r="839" spans="1:8" ht="18">
      <c r="A839" s="75"/>
      <c r="B839" s="76"/>
      <c r="C839" s="77"/>
      <c r="D839" s="78"/>
      <c r="E839" s="78"/>
      <c r="F839" s="79"/>
      <c r="G839" s="22"/>
      <c r="H839" s="22"/>
    </row>
    <row r="840" spans="1:8" ht="18">
      <c r="A840" s="75"/>
      <c r="B840" s="76"/>
      <c r="C840" s="77"/>
      <c r="D840" s="78"/>
      <c r="E840" s="78"/>
      <c r="F840" s="79"/>
      <c r="G840" s="22"/>
      <c r="H840" s="22"/>
    </row>
    <row r="841" spans="1:8" ht="18">
      <c r="A841" s="75"/>
      <c r="B841" s="76"/>
      <c r="C841" s="77"/>
      <c r="D841" s="78"/>
      <c r="E841" s="78"/>
      <c r="F841" s="79"/>
      <c r="G841" s="22"/>
      <c r="H841" s="22"/>
    </row>
    <row r="842" spans="1:8" ht="18">
      <c r="A842" s="75"/>
      <c r="B842" s="76"/>
      <c r="C842" s="77"/>
      <c r="D842" s="78"/>
      <c r="E842" s="78"/>
      <c r="F842" s="79"/>
      <c r="G842" s="22"/>
      <c r="H842" s="22"/>
    </row>
    <row r="843" spans="1:8" ht="18">
      <c r="A843" s="75"/>
      <c r="B843" s="76"/>
      <c r="C843" s="77"/>
      <c r="D843" s="78"/>
      <c r="E843" s="78"/>
      <c r="F843" s="79"/>
      <c r="G843" s="22"/>
      <c r="H843" s="22"/>
    </row>
    <row r="844" spans="1:8" ht="18">
      <c r="A844" s="75"/>
      <c r="B844" s="76"/>
      <c r="C844" s="77"/>
      <c r="D844" s="78"/>
      <c r="E844" s="78"/>
      <c r="F844" s="79"/>
      <c r="G844" s="22"/>
      <c r="H844" s="22"/>
    </row>
    <row r="845" spans="1:8" ht="18">
      <c r="A845" s="75"/>
      <c r="B845" s="76"/>
      <c r="C845" s="77"/>
      <c r="D845" s="78"/>
      <c r="E845" s="78"/>
      <c r="F845" s="79"/>
      <c r="G845" s="22"/>
      <c r="H845" s="22"/>
    </row>
    <row r="846" spans="1:8" ht="18">
      <c r="A846" s="75"/>
      <c r="B846" s="76"/>
      <c r="C846" s="77"/>
      <c r="D846" s="78"/>
      <c r="E846" s="78"/>
      <c r="F846" s="79"/>
      <c r="G846" s="22"/>
      <c r="H846" s="22"/>
    </row>
    <row r="847" spans="1:8" ht="18">
      <c r="A847" s="75"/>
      <c r="B847" s="76"/>
      <c r="C847" s="77"/>
      <c r="D847" s="78"/>
      <c r="E847" s="78"/>
      <c r="F847" s="79"/>
      <c r="G847" s="22"/>
      <c r="H847" s="22"/>
    </row>
    <row r="848" spans="1:8" ht="18">
      <c r="A848" s="75"/>
      <c r="B848" s="76"/>
      <c r="C848" s="77"/>
      <c r="D848" s="78"/>
      <c r="E848" s="78"/>
      <c r="F848" s="79"/>
      <c r="G848" s="22"/>
      <c r="H848" s="22"/>
    </row>
    <row r="849" spans="1:8" ht="18">
      <c r="A849" s="75"/>
      <c r="B849" s="76"/>
      <c r="C849" s="77"/>
      <c r="D849" s="78"/>
      <c r="E849" s="78"/>
      <c r="F849" s="79"/>
      <c r="G849" s="22"/>
      <c r="H849" s="22"/>
    </row>
    <row r="850" spans="1:8" ht="18">
      <c r="A850" s="75"/>
      <c r="B850" s="76"/>
      <c r="C850" s="77"/>
      <c r="D850" s="78"/>
      <c r="E850" s="78"/>
      <c r="F850" s="79"/>
      <c r="G850" s="22"/>
      <c r="H850" s="22"/>
    </row>
    <row r="851" spans="1:8" ht="18">
      <c r="A851" s="75"/>
      <c r="B851" s="76"/>
      <c r="C851" s="77"/>
      <c r="D851" s="78"/>
      <c r="E851" s="78"/>
      <c r="F851" s="79"/>
      <c r="G851" s="22"/>
      <c r="H851" s="22"/>
    </row>
    <row r="852" spans="1:8" ht="18">
      <c r="A852" s="75"/>
      <c r="B852" s="76"/>
      <c r="C852" s="77"/>
      <c r="D852" s="78"/>
      <c r="E852" s="78"/>
      <c r="F852" s="79"/>
      <c r="G852" s="22"/>
      <c r="H852" s="22"/>
    </row>
    <row r="853" spans="1:8" ht="18">
      <c r="A853" s="75"/>
      <c r="B853" s="76"/>
      <c r="C853" s="77"/>
      <c r="D853" s="78"/>
      <c r="E853" s="78"/>
      <c r="F853" s="79"/>
      <c r="G853" s="22"/>
      <c r="H853" s="22"/>
    </row>
    <row r="854" spans="1:8" ht="18">
      <c r="A854" s="75"/>
      <c r="B854" s="76"/>
      <c r="C854" s="77"/>
      <c r="D854" s="78"/>
      <c r="E854" s="78"/>
      <c r="F854" s="79"/>
      <c r="G854" s="22"/>
      <c r="H854" s="22"/>
    </row>
    <row r="855" spans="1:8" ht="18">
      <c r="A855" s="75"/>
      <c r="B855" s="76"/>
      <c r="C855" s="77"/>
      <c r="D855" s="78"/>
      <c r="E855" s="78"/>
      <c r="F855" s="79"/>
      <c r="G855" s="22"/>
      <c r="H855" s="22"/>
    </row>
    <row r="856" spans="1:8" ht="18">
      <c r="A856" s="75"/>
      <c r="B856" s="76"/>
      <c r="C856" s="77"/>
      <c r="D856" s="78"/>
      <c r="E856" s="78"/>
      <c r="F856" s="79"/>
      <c r="G856" s="22"/>
      <c r="H856" s="22"/>
    </row>
    <row r="857" spans="1:8" ht="18">
      <c r="A857" s="75"/>
      <c r="B857" s="76"/>
      <c r="C857" s="77"/>
      <c r="D857" s="78"/>
      <c r="E857" s="78"/>
      <c r="F857" s="79"/>
      <c r="G857" s="22"/>
      <c r="H857" s="22"/>
    </row>
    <row r="858" spans="1:8" ht="18">
      <c r="A858" s="75"/>
      <c r="B858" s="76"/>
      <c r="C858" s="77"/>
      <c r="D858" s="78"/>
      <c r="E858" s="78"/>
      <c r="F858" s="79"/>
      <c r="G858" s="22"/>
      <c r="H858" s="22"/>
    </row>
    <row r="859" spans="1:8" ht="18">
      <c r="A859" s="75"/>
      <c r="B859" s="76"/>
      <c r="C859" s="77"/>
      <c r="D859" s="78"/>
      <c r="E859" s="78"/>
      <c r="F859" s="79"/>
      <c r="G859" s="22"/>
      <c r="H859" s="22"/>
    </row>
    <row r="860" spans="1:8" ht="18">
      <c r="A860" s="75"/>
      <c r="B860" s="76"/>
      <c r="C860" s="77"/>
      <c r="D860" s="78"/>
      <c r="E860" s="78"/>
      <c r="F860" s="79"/>
      <c r="G860" s="22"/>
      <c r="H860" s="22"/>
    </row>
    <row r="861" spans="1:8" ht="15">
      <c r="A861" s="18"/>
      <c r="G861" s="22"/>
      <c r="H861" s="22"/>
    </row>
    <row r="862" spans="1:8" ht="15">
      <c r="A862" s="18"/>
      <c r="G862" s="22"/>
      <c r="H862" s="22"/>
    </row>
  </sheetData>
  <autoFilter ref="A1:H862" xr:uid="{00000000-0009-0000-0000-000004000000}"/>
  <conditionalFormatting sqref="G2:H862 B4 B9 B19 B22 B26 B29 B35:B36 B39:B40 B42:B43 B45 B49:B51 B62:B63 B67 B69 B71:B73 B78 B81 B83 B87:B88 B91:B93 B96 B100 B102 B106 B108 B119 B122 B130 B132 B139:B140 B146:B147 B151 B156 B159:B160 B167:B170 B176 B178:B180 B186:B187">
    <cfRule type="containsText" dxfId="3" priority="1" operator="containsText" text="Disponible">
      <formula>NOT(ISERROR(SEARCH(("Disponible"),(G2))))</formula>
    </cfRule>
  </conditionalFormatting>
  <conditionalFormatting sqref="G2:H862">
    <cfRule type="containsText" dxfId="2" priority="2" operator="containsText" text="DISPONIBLE">
      <formula>NOT(ISERROR(SEARCH(("DISPONIBLE"),(G2))))</formula>
    </cfRule>
    <cfRule type="containsText" dxfId="1" priority="3" operator="containsText" text="NUEVO O PEDIENTE POR ALGUN DATO">
      <formula>NOT(ISERROR(SEARCH(("NUEVO O PEDIENTE POR ALGUN DATO"),(G2))))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showGridLines="0" workbookViewId="0"/>
  </sheetViews>
  <sheetFormatPr baseColWidth="10" defaultColWidth="12.5703125" defaultRowHeight="15.75" customHeight="1"/>
  <cols>
    <col min="1" max="1" width="42.42578125" customWidth="1"/>
    <col min="2" max="2" width="45.85546875" customWidth="1"/>
  </cols>
  <sheetData>
    <row r="1" spans="1:3">
      <c r="A1" s="9" t="s">
        <v>2197</v>
      </c>
      <c r="B1" s="81" t="s">
        <v>2198</v>
      </c>
    </row>
    <row r="2" spans="1:3">
      <c r="A2" s="82" t="str">
        <f ca="1">IFERROR(__xludf.DUMMYFUNCTION("FILTER(PERSONAL!$C:$C,PERSONAL!$H:$H=""NUEVO"")"),"#N/A")</f>
        <v>#N/A</v>
      </c>
      <c r="B2" s="82" t="str">
        <f ca="1">IFERROR(__xludf.DUMMYFUNCTION("FILTER(PERSONAL!$B:$B,PERSONAL!$H:$H=""NUEVO"")"),"#N/A")</f>
        <v>#N/A</v>
      </c>
    </row>
    <row r="3" spans="1:3">
      <c r="A3" s="82"/>
      <c r="B3" s="82"/>
    </row>
    <row r="4" spans="1:3">
      <c r="A4" s="82"/>
      <c r="B4" s="82"/>
    </row>
    <row r="5" spans="1:3">
      <c r="A5" s="82"/>
      <c r="B5" s="82"/>
      <c r="C5" s="83"/>
    </row>
    <row r="6" spans="1:3">
      <c r="A6" s="82"/>
      <c r="B6" s="82"/>
    </row>
    <row r="7" spans="1:3">
      <c r="A7" s="3"/>
      <c r="B7" s="3"/>
    </row>
    <row r="8" spans="1:3">
      <c r="A8" s="3"/>
      <c r="B8" s="3"/>
    </row>
    <row r="9" spans="1:3">
      <c r="A9" s="3"/>
      <c r="B9" s="3"/>
    </row>
    <row r="10" spans="1:3">
      <c r="A10" s="3"/>
      <c r="B10" s="3"/>
    </row>
    <row r="11" spans="1:3">
      <c r="A11" s="3"/>
      <c r="B11" s="3"/>
    </row>
    <row r="12" spans="1:3">
      <c r="A12" s="3"/>
      <c r="B12" s="3"/>
    </row>
    <row r="13" spans="1:3">
      <c r="A13" s="3"/>
      <c r="B13" s="3"/>
    </row>
    <row r="14" spans="1:3">
      <c r="A14" s="3"/>
      <c r="B14" s="3"/>
    </row>
    <row r="15" spans="1:3">
      <c r="A15" s="3"/>
      <c r="B15" s="3"/>
    </row>
    <row r="16" spans="1:3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3"/>
      <c r="B225" s="3"/>
    </row>
    <row r="226" spans="1:2">
      <c r="A226" s="3"/>
      <c r="B226" s="3"/>
    </row>
    <row r="227" spans="1:2">
      <c r="A227" s="3"/>
      <c r="B227" s="3"/>
    </row>
    <row r="228" spans="1:2">
      <c r="A228" s="3"/>
      <c r="B228" s="3"/>
    </row>
    <row r="229" spans="1:2">
      <c r="A229" s="3"/>
      <c r="B229" s="3"/>
    </row>
    <row r="230" spans="1:2">
      <c r="A230" s="3"/>
      <c r="B230" s="3"/>
    </row>
    <row r="231" spans="1:2">
      <c r="A231" s="3"/>
      <c r="B231" s="3"/>
    </row>
    <row r="232" spans="1:2">
      <c r="A232" s="3"/>
      <c r="B232" s="3"/>
    </row>
    <row r="233" spans="1:2">
      <c r="A233" s="3"/>
      <c r="B233" s="3"/>
    </row>
    <row r="234" spans="1:2">
      <c r="A234" s="3"/>
      <c r="B234" s="3"/>
    </row>
    <row r="235" spans="1:2">
      <c r="A235" s="3"/>
      <c r="B235" s="3"/>
    </row>
    <row r="236" spans="1:2">
      <c r="A236" s="3"/>
      <c r="B236" s="3"/>
    </row>
    <row r="237" spans="1:2">
      <c r="A237" s="3"/>
      <c r="B237" s="3"/>
    </row>
    <row r="238" spans="1:2">
      <c r="A238" s="3"/>
      <c r="B238" s="3"/>
    </row>
    <row r="239" spans="1:2">
      <c r="A239" s="3"/>
      <c r="B239" s="3"/>
    </row>
    <row r="240" spans="1:2">
      <c r="A240" s="3"/>
      <c r="B240" s="3"/>
    </row>
    <row r="241" spans="1:2">
      <c r="A241" s="3"/>
      <c r="B241" s="3"/>
    </row>
    <row r="242" spans="1:2">
      <c r="A242" s="3"/>
      <c r="B242" s="3"/>
    </row>
    <row r="243" spans="1:2">
      <c r="A243" s="3"/>
      <c r="B243" s="3"/>
    </row>
    <row r="244" spans="1:2">
      <c r="A244" s="3"/>
      <c r="B244" s="3"/>
    </row>
    <row r="245" spans="1:2">
      <c r="A245" s="3"/>
      <c r="B245" s="3"/>
    </row>
    <row r="246" spans="1:2">
      <c r="A246" s="3"/>
      <c r="B246" s="3"/>
    </row>
    <row r="247" spans="1:2">
      <c r="A247" s="3"/>
      <c r="B247" s="3"/>
    </row>
    <row r="248" spans="1:2">
      <c r="A248" s="3"/>
      <c r="B248" s="3"/>
    </row>
    <row r="249" spans="1:2">
      <c r="A249" s="3"/>
      <c r="B249" s="3"/>
    </row>
    <row r="250" spans="1:2">
      <c r="A250" s="3"/>
      <c r="B250" s="3"/>
    </row>
    <row r="251" spans="1:2">
      <c r="A251" s="3"/>
      <c r="B251" s="3"/>
    </row>
    <row r="252" spans="1:2">
      <c r="A252" s="3"/>
      <c r="B252" s="3"/>
    </row>
    <row r="253" spans="1:2">
      <c r="A253" s="3"/>
      <c r="B253" s="3"/>
    </row>
    <row r="254" spans="1:2">
      <c r="A254" s="3"/>
      <c r="B254" s="3"/>
    </row>
    <row r="255" spans="1:2">
      <c r="A255" s="3"/>
      <c r="B255" s="3"/>
    </row>
    <row r="256" spans="1:2">
      <c r="A256" s="3"/>
      <c r="B256" s="3"/>
    </row>
    <row r="257" spans="1:2">
      <c r="A257" s="3"/>
      <c r="B257" s="3"/>
    </row>
    <row r="258" spans="1:2">
      <c r="A258" s="3"/>
      <c r="B258" s="3"/>
    </row>
    <row r="259" spans="1:2">
      <c r="A259" s="3"/>
      <c r="B259" s="3"/>
    </row>
    <row r="260" spans="1:2">
      <c r="A260" s="3"/>
      <c r="B260" s="3"/>
    </row>
    <row r="261" spans="1:2">
      <c r="A261" s="3"/>
      <c r="B261" s="3"/>
    </row>
    <row r="262" spans="1:2">
      <c r="A262" s="3"/>
      <c r="B262" s="3"/>
    </row>
    <row r="263" spans="1:2">
      <c r="A263" s="3"/>
      <c r="B263" s="3"/>
    </row>
    <row r="264" spans="1:2">
      <c r="A264" s="3"/>
      <c r="B264" s="3"/>
    </row>
    <row r="265" spans="1:2">
      <c r="A265" s="3"/>
      <c r="B265" s="3"/>
    </row>
    <row r="266" spans="1:2">
      <c r="A266" s="3"/>
      <c r="B266" s="3"/>
    </row>
    <row r="267" spans="1:2">
      <c r="A267" s="3"/>
      <c r="B267" s="3"/>
    </row>
    <row r="268" spans="1:2">
      <c r="A268" s="3"/>
      <c r="B268" s="3"/>
    </row>
    <row r="269" spans="1:2">
      <c r="A269" s="3"/>
      <c r="B269" s="3"/>
    </row>
    <row r="270" spans="1:2">
      <c r="A270" s="3"/>
      <c r="B270" s="3"/>
    </row>
    <row r="271" spans="1:2">
      <c r="A271" s="3"/>
      <c r="B271" s="3"/>
    </row>
    <row r="272" spans="1:2">
      <c r="A272" s="3"/>
      <c r="B272" s="3"/>
    </row>
    <row r="273" spans="1:2">
      <c r="A273" s="3"/>
      <c r="B273" s="3"/>
    </row>
    <row r="274" spans="1:2">
      <c r="A274" s="3"/>
      <c r="B274" s="3"/>
    </row>
    <row r="275" spans="1:2">
      <c r="A275" s="3"/>
      <c r="B275" s="3"/>
    </row>
    <row r="276" spans="1:2">
      <c r="A276" s="3"/>
      <c r="B276" s="3"/>
    </row>
    <row r="277" spans="1:2">
      <c r="A277" s="3"/>
      <c r="B277" s="3"/>
    </row>
    <row r="278" spans="1:2">
      <c r="A278" s="3"/>
      <c r="B278" s="3"/>
    </row>
    <row r="279" spans="1:2">
      <c r="A279" s="3"/>
      <c r="B279" s="3"/>
    </row>
    <row r="280" spans="1:2">
      <c r="A280" s="3"/>
      <c r="B280" s="3"/>
    </row>
    <row r="281" spans="1:2">
      <c r="A281" s="3"/>
      <c r="B281" s="3"/>
    </row>
    <row r="282" spans="1:2">
      <c r="A282" s="3"/>
      <c r="B282" s="3"/>
    </row>
    <row r="283" spans="1:2">
      <c r="A283" s="3"/>
      <c r="B283" s="3"/>
    </row>
    <row r="284" spans="1:2">
      <c r="A284" s="3"/>
      <c r="B284" s="3"/>
    </row>
    <row r="285" spans="1:2">
      <c r="A285" s="3"/>
      <c r="B285" s="3"/>
    </row>
    <row r="286" spans="1:2">
      <c r="A286" s="3"/>
      <c r="B286" s="3"/>
    </row>
    <row r="287" spans="1:2">
      <c r="A287" s="3"/>
      <c r="B287" s="3"/>
    </row>
    <row r="288" spans="1:2">
      <c r="A288" s="3"/>
      <c r="B288" s="3"/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  <row r="322" spans="1:2">
      <c r="A322" s="3"/>
      <c r="B322" s="3"/>
    </row>
    <row r="323" spans="1:2">
      <c r="A323" s="3"/>
      <c r="B323" s="3"/>
    </row>
    <row r="324" spans="1:2">
      <c r="A324" s="3"/>
      <c r="B324" s="3"/>
    </row>
    <row r="325" spans="1:2">
      <c r="A325" s="3"/>
      <c r="B325" s="3"/>
    </row>
    <row r="326" spans="1:2">
      <c r="A326" s="3"/>
      <c r="B326" s="3"/>
    </row>
    <row r="327" spans="1:2">
      <c r="A327" s="3"/>
      <c r="B327" s="3"/>
    </row>
    <row r="328" spans="1:2">
      <c r="A328" s="3"/>
      <c r="B328" s="3"/>
    </row>
    <row r="329" spans="1:2">
      <c r="A329" s="3"/>
      <c r="B329" s="3"/>
    </row>
    <row r="330" spans="1:2">
      <c r="A330" s="3"/>
      <c r="B330" s="3"/>
    </row>
    <row r="331" spans="1:2">
      <c r="A331" s="3"/>
      <c r="B331" s="3"/>
    </row>
    <row r="332" spans="1:2">
      <c r="A332" s="3"/>
      <c r="B332" s="3"/>
    </row>
    <row r="333" spans="1:2">
      <c r="A333" s="3"/>
      <c r="B333" s="3"/>
    </row>
    <row r="334" spans="1:2">
      <c r="A334" s="3"/>
      <c r="B334" s="3"/>
    </row>
    <row r="335" spans="1:2">
      <c r="A335" s="3"/>
      <c r="B335" s="3"/>
    </row>
    <row r="336" spans="1:2">
      <c r="A336" s="3"/>
      <c r="B336" s="3"/>
    </row>
    <row r="337" spans="1:2">
      <c r="A337" s="3"/>
      <c r="B337" s="3"/>
    </row>
    <row r="338" spans="1:2">
      <c r="A338" s="3"/>
      <c r="B338" s="3"/>
    </row>
    <row r="339" spans="1:2">
      <c r="A339" s="3"/>
      <c r="B339" s="3"/>
    </row>
    <row r="340" spans="1:2">
      <c r="A340" s="3"/>
      <c r="B340" s="3"/>
    </row>
    <row r="341" spans="1:2">
      <c r="A341" s="3"/>
      <c r="B341" s="3"/>
    </row>
    <row r="342" spans="1:2">
      <c r="A342" s="3"/>
      <c r="B342" s="3"/>
    </row>
    <row r="343" spans="1:2">
      <c r="A343" s="3"/>
      <c r="B343" s="3"/>
    </row>
    <row r="344" spans="1:2">
      <c r="A344" s="3"/>
      <c r="B344" s="3"/>
    </row>
    <row r="345" spans="1:2">
      <c r="A345" s="3"/>
      <c r="B345" s="3"/>
    </row>
    <row r="346" spans="1:2">
      <c r="A346" s="3"/>
      <c r="B346" s="3"/>
    </row>
    <row r="347" spans="1:2">
      <c r="A347" s="3"/>
      <c r="B347" s="3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  <row r="370" spans="1:2">
      <c r="A370" s="3"/>
      <c r="B370" s="3"/>
    </row>
    <row r="371" spans="1:2">
      <c r="A371" s="3"/>
      <c r="B371" s="3"/>
    </row>
    <row r="372" spans="1:2">
      <c r="A372" s="3"/>
      <c r="B372" s="3"/>
    </row>
    <row r="373" spans="1:2">
      <c r="A373" s="3"/>
      <c r="B373" s="3"/>
    </row>
    <row r="374" spans="1:2">
      <c r="A374" s="3"/>
      <c r="B374" s="3"/>
    </row>
    <row r="375" spans="1:2">
      <c r="A375" s="3"/>
      <c r="B375" s="3"/>
    </row>
    <row r="376" spans="1:2">
      <c r="A376" s="3"/>
      <c r="B376" s="3"/>
    </row>
    <row r="377" spans="1:2">
      <c r="A377" s="3"/>
      <c r="B377" s="3"/>
    </row>
    <row r="378" spans="1:2">
      <c r="A378" s="3"/>
      <c r="B378" s="3"/>
    </row>
    <row r="379" spans="1:2">
      <c r="A379" s="3"/>
      <c r="B379" s="3"/>
    </row>
    <row r="380" spans="1:2">
      <c r="A380" s="3"/>
      <c r="B380" s="3"/>
    </row>
    <row r="381" spans="1:2">
      <c r="A381" s="3"/>
      <c r="B381" s="3"/>
    </row>
    <row r="382" spans="1:2">
      <c r="A382" s="3"/>
      <c r="B382" s="3"/>
    </row>
    <row r="383" spans="1:2">
      <c r="A383" s="3"/>
      <c r="B383" s="3"/>
    </row>
    <row r="384" spans="1:2">
      <c r="A384" s="3"/>
      <c r="B384" s="3"/>
    </row>
    <row r="385" spans="1:2">
      <c r="A385" s="3"/>
      <c r="B385" s="3"/>
    </row>
    <row r="386" spans="1:2">
      <c r="A386" s="3"/>
      <c r="B386" s="3"/>
    </row>
    <row r="387" spans="1:2">
      <c r="A387" s="3"/>
      <c r="B387" s="3"/>
    </row>
    <row r="388" spans="1:2">
      <c r="A388" s="3"/>
      <c r="B388" s="3"/>
    </row>
    <row r="389" spans="1:2">
      <c r="A389" s="3"/>
      <c r="B389" s="3"/>
    </row>
    <row r="390" spans="1:2">
      <c r="A390" s="3"/>
      <c r="B390" s="3"/>
    </row>
    <row r="391" spans="1:2">
      <c r="A391" s="3"/>
      <c r="B391" s="3"/>
    </row>
    <row r="392" spans="1:2">
      <c r="A392" s="3"/>
      <c r="B392" s="3"/>
    </row>
    <row r="393" spans="1:2">
      <c r="A393" s="3"/>
      <c r="B393" s="3"/>
    </row>
    <row r="394" spans="1:2">
      <c r="A394" s="3"/>
      <c r="B394" s="3"/>
    </row>
    <row r="395" spans="1:2">
      <c r="A395" s="3"/>
      <c r="B395" s="3"/>
    </row>
    <row r="396" spans="1:2">
      <c r="A396" s="3"/>
      <c r="B396" s="3"/>
    </row>
    <row r="397" spans="1:2">
      <c r="A397" s="3"/>
      <c r="B397" s="3"/>
    </row>
    <row r="398" spans="1:2">
      <c r="A398" s="3"/>
      <c r="B398" s="3"/>
    </row>
    <row r="399" spans="1:2">
      <c r="A399" s="3"/>
      <c r="B399" s="3"/>
    </row>
    <row r="400" spans="1:2">
      <c r="A400" s="3"/>
      <c r="B400" s="3"/>
    </row>
    <row r="401" spans="1:2">
      <c r="A401" s="3"/>
      <c r="B401" s="3"/>
    </row>
    <row r="402" spans="1:2">
      <c r="A402" s="3"/>
      <c r="B402" s="3"/>
    </row>
    <row r="403" spans="1:2">
      <c r="A403" s="3"/>
      <c r="B403" s="3"/>
    </row>
    <row r="404" spans="1:2">
      <c r="A404" s="3"/>
      <c r="B404" s="3"/>
    </row>
    <row r="405" spans="1:2">
      <c r="A405" s="3"/>
      <c r="B405" s="3"/>
    </row>
    <row r="406" spans="1:2">
      <c r="A406" s="3"/>
      <c r="B406" s="3"/>
    </row>
    <row r="407" spans="1:2">
      <c r="A407" s="3"/>
      <c r="B407" s="3"/>
    </row>
    <row r="408" spans="1:2">
      <c r="A408" s="3"/>
      <c r="B408" s="3"/>
    </row>
    <row r="409" spans="1:2">
      <c r="A409" s="3"/>
      <c r="B409" s="3"/>
    </row>
    <row r="410" spans="1:2">
      <c r="A410" s="3"/>
      <c r="B410" s="3"/>
    </row>
    <row r="411" spans="1:2">
      <c r="A411" s="3"/>
      <c r="B411" s="3"/>
    </row>
    <row r="412" spans="1:2">
      <c r="A412" s="3"/>
      <c r="B412" s="3"/>
    </row>
    <row r="413" spans="1:2">
      <c r="A413" s="3"/>
      <c r="B413" s="3"/>
    </row>
    <row r="414" spans="1:2">
      <c r="A414" s="3"/>
      <c r="B414" s="3"/>
    </row>
    <row r="415" spans="1:2">
      <c r="A415" s="3"/>
      <c r="B415" s="3"/>
    </row>
    <row r="416" spans="1:2">
      <c r="A416" s="3"/>
      <c r="B416" s="3"/>
    </row>
    <row r="417" spans="1:2">
      <c r="A417" s="3"/>
      <c r="B417" s="3"/>
    </row>
    <row r="418" spans="1:2">
      <c r="A418" s="3"/>
      <c r="B418" s="3"/>
    </row>
    <row r="419" spans="1:2">
      <c r="A419" s="3"/>
      <c r="B419" s="3"/>
    </row>
    <row r="420" spans="1:2">
      <c r="A420" s="3"/>
      <c r="B420" s="3"/>
    </row>
    <row r="421" spans="1:2">
      <c r="A421" s="3"/>
      <c r="B421" s="3"/>
    </row>
    <row r="422" spans="1:2">
      <c r="A422" s="3"/>
      <c r="B422" s="3"/>
    </row>
    <row r="423" spans="1:2">
      <c r="A423" s="3"/>
      <c r="B423" s="3"/>
    </row>
    <row r="424" spans="1:2">
      <c r="A424" s="3"/>
      <c r="B424" s="3"/>
    </row>
    <row r="425" spans="1:2">
      <c r="A425" s="3"/>
      <c r="B425" s="3"/>
    </row>
    <row r="426" spans="1:2">
      <c r="A426" s="3"/>
      <c r="B426" s="3"/>
    </row>
    <row r="427" spans="1:2">
      <c r="A427" s="3"/>
      <c r="B427" s="3"/>
    </row>
    <row r="428" spans="1:2">
      <c r="A428" s="3"/>
      <c r="B428" s="3"/>
    </row>
    <row r="429" spans="1:2">
      <c r="A429" s="3"/>
      <c r="B429" s="3"/>
    </row>
    <row r="430" spans="1:2">
      <c r="A430" s="3"/>
      <c r="B430" s="3"/>
    </row>
    <row r="431" spans="1:2">
      <c r="A431" s="3"/>
      <c r="B431" s="3"/>
    </row>
    <row r="432" spans="1:2">
      <c r="A432" s="3"/>
      <c r="B432" s="3"/>
    </row>
    <row r="433" spans="1:2">
      <c r="A433" s="3"/>
      <c r="B433" s="3"/>
    </row>
    <row r="434" spans="1:2">
      <c r="A434" s="3"/>
      <c r="B434" s="3"/>
    </row>
    <row r="435" spans="1:2">
      <c r="A435" s="3"/>
      <c r="B435" s="3"/>
    </row>
    <row r="436" spans="1:2">
      <c r="A436" s="3"/>
      <c r="B436" s="3"/>
    </row>
    <row r="437" spans="1:2">
      <c r="A437" s="3"/>
      <c r="B437" s="3"/>
    </row>
    <row r="438" spans="1:2">
      <c r="A438" s="3"/>
      <c r="B438" s="3"/>
    </row>
    <row r="439" spans="1:2">
      <c r="A439" s="3"/>
      <c r="B439" s="3"/>
    </row>
    <row r="440" spans="1:2">
      <c r="A440" s="3"/>
      <c r="B440" s="3"/>
    </row>
    <row r="441" spans="1:2">
      <c r="A441" s="3"/>
      <c r="B441" s="3"/>
    </row>
    <row r="442" spans="1:2">
      <c r="A442" s="3"/>
      <c r="B442" s="3"/>
    </row>
    <row r="443" spans="1:2">
      <c r="A443" s="3"/>
      <c r="B443" s="3"/>
    </row>
    <row r="444" spans="1:2">
      <c r="A444" s="3"/>
      <c r="B444" s="3"/>
    </row>
    <row r="445" spans="1:2">
      <c r="A445" s="3"/>
      <c r="B445" s="3"/>
    </row>
    <row r="446" spans="1:2">
      <c r="A446" s="3"/>
      <c r="B446" s="3"/>
    </row>
    <row r="447" spans="1:2">
      <c r="A447" s="3"/>
      <c r="B447" s="3"/>
    </row>
    <row r="448" spans="1:2">
      <c r="A448" s="3"/>
      <c r="B448" s="3"/>
    </row>
    <row r="449" spans="1:2">
      <c r="A449" s="3"/>
      <c r="B449" s="3"/>
    </row>
    <row r="450" spans="1:2">
      <c r="A450" s="3"/>
      <c r="B450" s="3"/>
    </row>
    <row r="451" spans="1:2">
      <c r="A451" s="3"/>
      <c r="B451" s="3"/>
    </row>
    <row r="452" spans="1:2">
      <c r="A452" s="3"/>
      <c r="B452" s="3"/>
    </row>
    <row r="453" spans="1:2">
      <c r="A453" s="3"/>
      <c r="B453" s="3"/>
    </row>
    <row r="454" spans="1:2">
      <c r="A454" s="3"/>
      <c r="B454" s="3"/>
    </row>
    <row r="455" spans="1:2">
      <c r="A455" s="3"/>
      <c r="B455" s="3"/>
    </row>
    <row r="456" spans="1:2">
      <c r="A456" s="3"/>
      <c r="B456" s="3"/>
    </row>
    <row r="457" spans="1:2">
      <c r="A457" s="3"/>
      <c r="B457" s="3"/>
    </row>
    <row r="458" spans="1:2">
      <c r="A458" s="3"/>
      <c r="B458" s="3"/>
    </row>
    <row r="459" spans="1:2">
      <c r="A459" s="3"/>
      <c r="B459" s="3"/>
    </row>
    <row r="460" spans="1:2">
      <c r="A460" s="3"/>
      <c r="B460" s="3"/>
    </row>
    <row r="461" spans="1:2">
      <c r="A461" s="3"/>
      <c r="B461" s="3"/>
    </row>
    <row r="462" spans="1:2">
      <c r="A462" s="3"/>
      <c r="B462" s="3"/>
    </row>
    <row r="463" spans="1:2">
      <c r="A463" s="3"/>
      <c r="B463" s="3"/>
    </row>
    <row r="464" spans="1:2">
      <c r="A464" s="3"/>
      <c r="B464" s="3"/>
    </row>
    <row r="465" spans="1:2">
      <c r="A465" s="3"/>
      <c r="B465" s="3"/>
    </row>
    <row r="466" spans="1:2">
      <c r="A466" s="3"/>
      <c r="B466" s="3"/>
    </row>
    <row r="467" spans="1:2">
      <c r="A467" s="3"/>
      <c r="B467" s="3"/>
    </row>
    <row r="468" spans="1:2">
      <c r="A468" s="3"/>
      <c r="B468" s="3"/>
    </row>
    <row r="469" spans="1:2">
      <c r="A469" s="3"/>
      <c r="B469" s="3"/>
    </row>
    <row r="470" spans="1:2">
      <c r="A470" s="3"/>
      <c r="B470" s="3"/>
    </row>
    <row r="471" spans="1:2">
      <c r="A471" s="3"/>
      <c r="B471" s="3"/>
    </row>
    <row r="472" spans="1:2">
      <c r="A472" s="3"/>
      <c r="B472" s="3"/>
    </row>
    <row r="473" spans="1:2">
      <c r="A473" s="3"/>
      <c r="B473" s="3"/>
    </row>
    <row r="474" spans="1:2">
      <c r="A474" s="3"/>
      <c r="B474" s="3"/>
    </row>
    <row r="475" spans="1:2">
      <c r="A475" s="3"/>
      <c r="B475" s="3"/>
    </row>
    <row r="476" spans="1:2">
      <c r="A476" s="3"/>
      <c r="B476" s="3"/>
    </row>
    <row r="477" spans="1:2">
      <c r="A477" s="3"/>
      <c r="B477" s="3"/>
    </row>
    <row r="478" spans="1:2">
      <c r="A478" s="3"/>
      <c r="B478" s="3"/>
    </row>
    <row r="479" spans="1:2">
      <c r="A479" s="3"/>
      <c r="B479" s="3"/>
    </row>
    <row r="480" spans="1:2">
      <c r="A480" s="3"/>
      <c r="B480" s="3"/>
    </row>
    <row r="481" spans="1:2">
      <c r="A481" s="3"/>
      <c r="B481" s="3"/>
    </row>
    <row r="482" spans="1:2">
      <c r="A482" s="3"/>
      <c r="B482" s="3"/>
    </row>
    <row r="483" spans="1:2">
      <c r="A483" s="3"/>
      <c r="B483" s="3"/>
    </row>
    <row r="484" spans="1:2">
      <c r="A484" s="3"/>
      <c r="B484" s="3"/>
    </row>
    <row r="485" spans="1:2">
      <c r="A485" s="3"/>
      <c r="B485" s="3"/>
    </row>
    <row r="486" spans="1:2">
      <c r="A486" s="3"/>
      <c r="B486" s="3"/>
    </row>
    <row r="487" spans="1:2">
      <c r="A487" s="3"/>
      <c r="B487" s="3"/>
    </row>
    <row r="488" spans="1:2">
      <c r="A488" s="3"/>
      <c r="B488" s="3"/>
    </row>
    <row r="489" spans="1:2">
      <c r="A489" s="3"/>
      <c r="B489" s="3"/>
    </row>
    <row r="490" spans="1:2">
      <c r="A490" s="3"/>
      <c r="B490" s="3"/>
    </row>
    <row r="491" spans="1:2">
      <c r="A491" s="3"/>
      <c r="B491" s="3"/>
    </row>
    <row r="492" spans="1:2">
      <c r="A492" s="3"/>
      <c r="B492" s="3"/>
    </row>
    <row r="493" spans="1:2">
      <c r="A493" s="3"/>
      <c r="B493" s="3"/>
    </row>
    <row r="494" spans="1:2">
      <c r="A494" s="3"/>
      <c r="B494" s="3"/>
    </row>
    <row r="495" spans="1:2">
      <c r="A495" s="3"/>
      <c r="B495" s="3"/>
    </row>
    <row r="496" spans="1:2">
      <c r="A496" s="3"/>
      <c r="B496" s="3"/>
    </row>
    <row r="497" spans="1:2">
      <c r="A497" s="3"/>
      <c r="B497" s="3"/>
    </row>
    <row r="498" spans="1:2">
      <c r="A498" s="3"/>
      <c r="B498" s="3"/>
    </row>
    <row r="499" spans="1:2">
      <c r="A499" s="3"/>
      <c r="B499" s="3"/>
    </row>
    <row r="500" spans="1:2">
      <c r="A500" s="3"/>
      <c r="B500" s="3"/>
    </row>
    <row r="501" spans="1:2">
      <c r="A501" s="3"/>
      <c r="B501" s="3"/>
    </row>
    <row r="502" spans="1:2">
      <c r="A502" s="3"/>
      <c r="B502" s="3"/>
    </row>
    <row r="503" spans="1:2">
      <c r="A503" s="3"/>
      <c r="B503" s="3"/>
    </row>
    <row r="504" spans="1:2">
      <c r="A504" s="3"/>
      <c r="B504" s="3"/>
    </row>
    <row r="505" spans="1:2">
      <c r="A505" s="3"/>
      <c r="B505" s="3"/>
    </row>
    <row r="506" spans="1:2">
      <c r="A506" s="3"/>
      <c r="B506" s="3"/>
    </row>
    <row r="507" spans="1:2">
      <c r="A507" s="3"/>
      <c r="B507" s="3"/>
    </row>
    <row r="508" spans="1:2">
      <c r="A508" s="3"/>
      <c r="B508" s="3"/>
    </row>
    <row r="509" spans="1:2">
      <c r="A509" s="3"/>
      <c r="B509" s="3"/>
    </row>
    <row r="510" spans="1:2">
      <c r="A510" s="3"/>
      <c r="B510" s="3"/>
    </row>
    <row r="511" spans="1:2">
      <c r="A511" s="3"/>
      <c r="B511" s="3"/>
    </row>
    <row r="512" spans="1:2">
      <c r="A512" s="3"/>
      <c r="B512" s="3"/>
    </row>
    <row r="513" spans="1:2">
      <c r="A513" s="3"/>
      <c r="B513" s="3"/>
    </row>
    <row r="514" spans="1:2">
      <c r="A514" s="3"/>
      <c r="B514" s="3"/>
    </row>
    <row r="515" spans="1:2">
      <c r="A515" s="3"/>
      <c r="B515" s="3"/>
    </row>
    <row r="516" spans="1:2">
      <c r="A516" s="3"/>
      <c r="B516" s="3"/>
    </row>
    <row r="517" spans="1:2">
      <c r="A517" s="3"/>
      <c r="B517" s="3"/>
    </row>
    <row r="518" spans="1:2">
      <c r="A518" s="3"/>
      <c r="B518" s="3"/>
    </row>
    <row r="519" spans="1:2">
      <c r="A519" s="3"/>
      <c r="B519" s="3"/>
    </row>
    <row r="520" spans="1:2">
      <c r="A520" s="3"/>
      <c r="B520" s="3"/>
    </row>
    <row r="521" spans="1:2">
      <c r="A521" s="3"/>
      <c r="B521" s="3"/>
    </row>
    <row r="522" spans="1:2">
      <c r="A522" s="3"/>
      <c r="B522" s="3"/>
    </row>
    <row r="523" spans="1:2">
      <c r="A523" s="3"/>
      <c r="B523" s="3"/>
    </row>
    <row r="524" spans="1:2">
      <c r="A524" s="3"/>
      <c r="B524" s="3"/>
    </row>
    <row r="525" spans="1:2">
      <c r="A525" s="3"/>
      <c r="B525" s="3"/>
    </row>
    <row r="526" spans="1:2">
      <c r="A526" s="3"/>
      <c r="B526" s="3"/>
    </row>
    <row r="527" spans="1:2">
      <c r="A527" s="3"/>
      <c r="B527" s="3"/>
    </row>
    <row r="528" spans="1:2">
      <c r="A528" s="3"/>
      <c r="B528" s="3"/>
    </row>
    <row r="529" spans="1:2">
      <c r="A529" s="3"/>
      <c r="B529" s="3"/>
    </row>
    <row r="530" spans="1:2">
      <c r="A530" s="3"/>
      <c r="B530" s="3"/>
    </row>
    <row r="531" spans="1:2">
      <c r="A531" s="3"/>
      <c r="B531" s="3"/>
    </row>
    <row r="532" spans="1:2">
      <c r="A532" s="3"/>
      <c r="B532" s="3"/>
    </row>
    <row r="533" spans="1:2">
      <c r="A533" s="3"/>
      <c r="B533" s="3"/>
    </row>
    <row r="534" spans="1:2">
      <c r="A534" s="3"/>
      <c r="B534" s="3"/>
    </row>
    <row r="535" spans="1:2">
      <c r="A535" s="3"/>
      <c r="B535" s="3"/>
    </row>
    <row r="536" spans="1:2">
      <c r="A536" s="3"/>
      <c r="B536" s="3"/>
    </row>
    <row r="537" spans="1:2">
      <c r="A537" s="3"/>
      <c r="B537" s="3"/>
    </row>
    <row r="538" spans="1:2">
      <c r="A538" s="3"/>
      <c r="B538" s="3"/>
    </row>
    <row r="539" spans="1:2">
      <c r="A539" s="3"/>
      <c r="B539" s="3"/>
    </row>
    <row r="540" spans="1:2">
      <c r="A540" s="3"/>
      <c r="B540" s="3"/>
    </row>
    <row r="541" spans="1:2">
      <c r="A541" s="3"/>
      <c r="B541" s="3"/>
    </row>
    <row r="542" spans="1:2">
      <c r="A542" s="3"/>
      <c r="B542" s="3"/>
    </row>
    <row r="543" spans="1:2">
      <c r="A543" s="3"/>
      <c r="B543" s="3"/>
    </row>
    <row r="544" spans="1:2">
      <c r="A544" s="3"/>
      <c r="B544" s="3"/>
    </row>
    <row r="545" spans="1:2">
      <c r="A545" s="3"/>
      <c r="B545" s="3"/>
    </row>
    <row r="546" spans="1:2">
      <c r="A546" s="3"/>
      <c r="B546" s="3"/>
    </row>
    <row r="547" spans="1:2">
      <c r="A547" s="3"/>
      <c r="B547" s="3"/>
    </row>
    <row r="548" spans="1:2">
      <c r="A548" s="3"/>
      <c r="B548" s="3"/>
    </row>
    <row r="549" spans="1:2">
      <c r="A549" s="3"/>
      <c r="B549" s="3"/>
    </row>
    <row r="550" spans="1:2">
      <c r="A550" s="3"/>
      <c r="B550" s="3"/>
    </row>
    <row r="551" spans="1:2">
      <c r="A551" s="3"/>
      <c r="B551" s="3"/>
    </row>
    <row r="552" spans="1:2">
      <c r="A552" s="3"/>
      <c r="B552" s="3"/>
    </row>
    <row r="553" spans="1:2">
      <c r="A553" s="3"/>
      <c r="B553" s="3"/>
    </row>
    <row r="554" spans="1:2">
      <c r="A554" s="3"/>
      <c r="B554" s="3"/>
    </row>
    <row r="555" spans="1:2">
      <c r="A555" s="3"/>
      <c r="B555" s="3"/>
    </row>
    <row r="556" spans="1:2">
      <c r="A556" s="3"/>
      <c r="B556" s="3"/>
    </row>
    <row r="557" spans="1:2">
      <c r="A557" s="3"/>
      <c r="B557" s="3"/>
    </row>
    <row r="558" spans="1:2">
      <c r="A558" s="3"/>
      <c r="B558" s="3"/>
    </row>
    <row r="559" spans="1:2">
      <c r="A559" s="3"/>
      <c r="B559" s="3"/>
    </row>
    <row r="560" spans="1:2">
      <c r="A560" s="3"/>
      <c r="B560" s="3"/>
    </row>
    <row r="561" spans="1:2">
      <c r="A561" s="3"/>
      <c r="B561" s="3"/>
    </row>
    <row r="562" spans="1:2">
      <c r="A562" s="3"/>
      <c r="B562" s="3"/>
    </row>
    <row r="563" spans="1:2">
      <c r="A563" s="3"/>
      <c r="B563" s="3"/>
    </row>
    <row r="564" spans="1:2">
      <c r="A564" s="3"/>
      <c r="B564" s="3"/>
    </row>
    <row r="565" spans="1:2">
      <c r="A565" s="3"/>
      <c r="B565" s="3"/>
    </row>
    <row r="566" spans="1:2">
      <c r="A566" s="3"/>
      <c r="B566" s="3"/>
    </row>
    <row r="567" spans="1:2">
      <c r="A567" s="3"/>
      <c r="B567" s="3"/>
    </row>
    <row r="568" spans="1:2">
      <c r="A568" s="3"/>
      <c r="B568" s="3"/>
    </row>
    <row r="569" spans="1:2">
      <c r="A569" s="3"/>
      <c r="B569" s="3"/>
    </row>
    <row r="570" spans="1:2">
      <c r="A570" s="3"/>
      <c r="B570" s="3"/>
    </row>
    <row r="571" spans="1:2">
      <c r="A571" s="3"/>
      <c r="B571" s="3"/>
    </row>
    <row r="572" spans="1:2">
      <c r="A572" s="3"/>
      <c r="B572" s="3"/>
    </row>
    <row r="573" spans="1:2">
      <c r="A573" s="3"/>
      <c r="B573" s="3"/>
    </row>
    <row r="574" spans="1:2">
      <c r="A574" s="3"/>
      <c r="B574" s="3"/>
    </row>
    <row r="575" spans="1:2">
      <c r="A575" s="3"/>
      <c r="B575" s="3"/>
    </row>
    <row r="576" spans="1:2">
      <c r="A576" s="3"/>
      <c r="B576" s="3"/>
    </row>
    <row r="577" spans="1:2">
      <c r="A577" s="3"/>
      <c r="B577" s="3"/>
    </row>
    <row r="578" spans="1:2">
      <c r="A578" s="3"/>
      <c r="B578" s="3"/>
    </row>
    <row r="579" spans="1:2">
      <c r="A579" s="3"/>
      <c r="B579" s="3"/>
    </row>
    <row r="580" spans="1:2">
      <c r="A580" s="3"/>
      <c r="B580" s="3"/>
    </row>
    <row r="581" spans="1:2">
      <c r="A581" s="3"/>
      <c r="B581" s="3"/>
    </row>
    <row r="582" spans="1:2">
      <c r="A582" s="3"/>
      <c r="B582" s="3"/>
    </row>
    <row r="583" spans="1:2">
      <c r="A583" s="3"/>
      <c r="B583" s="3"/>
    </row>
    <row r="584" spans="1:2">
      <c r="A584" s="3"/>
      <c r="B584" s="3"/>
    </row>
    <row r="585" spans="1:2">
      <c r="A585" s="3"/>
      <c r="B585" s="3"/>
    </row>
    <row r="586" spans="1:2">
      <c r="A586" s="3"/>
      <c r="B586" s="3"/>
    </row>
    <row r="587" spans="1:2">
      <c r="A587" s="3"/>
      <c r="B587" s="3"/>
    </row>
    <row r="588" spans="1:2">
      <c r="A588" s="3"/>
      <c r="B588" s="3"/>
    </row>
    <row r="589" spans="1:2">
      <c r="A589" s="3"/>
      <c r="B589" s="3"/>
    </row>
    <row r="590" spans="1:2">
      <c r="A590" s="3"/>
      <c r="B590" s="3"/>
    </row>
    <row r="591" spans="1:2">
      <c r="A591" s="3"/>
      <c r="B591" s="3"/>
    </row>
    <row r="592" spans="1:2">
      <c r="A592" s="3"/>
      <c r="B592" s="3"/>
    </row>
    <row r="593" spans="1:2">
      <c r="A593" s="3"/>
      <c r="B593" s="3"/>
    </row>
    <row r="594" spans="1:2">
      <c r="A594" s="3"/>
      <c r="B594" s="3"/>
    </row>
    <row r="595" spans="1:2">
      <c r="A595" s="3"/>
      <c r="B595" s="3"/>
    </row>
    <row r="596" spans="1:2">
      <c r="A596" s="3"/>
      <c r="B596" s="3"/>
    </row>
    <row r="597" spans="1:2">
      <c r="A597" s="3"/>
      <c r="B597" s="3"/>
    </row>
    <row r="598" spans="1:2">
      <c r="A598" s="3"/>
      <c r="B598" s="3"/>
    </row>
    <row r="599" spans="1:2">
      <c r="A599" s="3"/>
      <c r="B599" s="3"/>
    </row>
    <row r="600" spans="1:2">
      <c r="A600" s="3"/>
      <c r="B600" s="3"/>
    </row>
    <row r="601" spans="1:2">
      <c r="A601" s="3"/>
      <c r="B601" s="3"/>
    </row>
    <row r="602" spans="1:2">
      <c r="A602" s="3"/>
      <c r="B602" s="3"/>
    </row>
    <row r="603" spans="1:2">
      <c r="A603" s="3"/>
      <c r="B603" s="3"/>
    </row>
    <row r="604" spans="1:2">
      <c r="A604" s="3"/>
      <c r="B604" s="3"/>
    </row>
    <row r="605" spans="1:2">
      <c r="A605" s="3"/>
      <c r="B605" s="3"/>
    </row>
    <row r="606" spans="1:2">
      <c r="A606" s="3"/>
      <c r="B606" s="3"/>
    </row>
    <row r="607" spans="1:2">
      <c r="A607" s="3"/>
      <c r="B607" s="3"/>
    </row>
    <row r="608" spans="1:2">
      <c r="A608" s="3"/>
      <c r="B608" s="3"/>
    </row>
    <row r="609" spans="1:2">
      <c r="A609" s="3"/>
      <c r="B609" s="3"/>
    </row>
    <row r="610" spans="1:2">
      <c r="A610" s="3"/>
      <c r="B610" s="3"/>
    </row>
    <row r="611" spans="1:2">
      <c r="A611" s="3"/>
      <c r="B611" s="3"/>
    </row>
    <row r="612" spans="1:2">
      <c r="A612" s="3"/>
      <c r="B612" s="3"/>
    </row>
    <row r="613" spans="1:2">
      <c r="A613" s="3"/>
      <c r="B613" s="3"/>
    </row>
    <row r="614" spans="1:2">
      <c r="A614" s="3"/>
      <c r="B614" s="3"/>
    </row>
    <row r="615" spans="1:2">
      <c r="A615" s="3"/>
      <c r="B615" s="3"/>
    </row>
    <row r="616" spans="1:2">
      <c r="A616" s="3"/>
      <c r="B616" s="3"/>
    </row>
    <row r="617" spans="1:2">
      <c r="A617" s="3"/>
      <c r="B617" s="3"/>
    </row>
    <row r="618" spans="1:2">
      <c r="A618" s="3"/>
      <c r="B618" s="3"/>
    </row>
    <row r="619" spans="1:2">
      <c r="A619" s="3"/>
      <c r="B619" s="3"/>
    </row>
    <row r="620" spans="1:2">
      <c r="A620" s="3"/>
      <c r="B620" s="3"/>
    </row>
    <row r="621" spans="1:2">
      <c r="A621" s="3"/>
      <c r="B621" s="3"/>
    </row>
    <row r="622" spans="1:2">
      <c r="A622" s="3"/>
      <c r="B622" s="3"/>
    </row>
    <row r="623" spans="1:2">
      <c r="A623" s="3"/>
      <c r="B623" s="3"/>
    </row>
    <row r="624" spans="1:2">
      <c r="A624" s="3"/>
      <c r="B624" s="3"/>
    </row>
    <row r="625" spans="1:2">
      <c r="A625" s="3"/>
      <c r="B625" s="3"/>
    </row>
    <row r="626" spans="1:2">
      <c r="A626" s="3"/>
      <c r="B626" s="3"/>
    </row>
    <row r="627" spans="1:2">
      <c r="A627" s="3"/>
      <c r="B627" s="3"/>
    </row>
    <row r="628" spans="1:2">
      <c r="A628" s="3"/>
      <c r="B628" s="3"/>
    </row>
    <row r="629" spans="1:2">
      <c r="A629" s="3"/>
      <c r="B629" s="3"/>
    </row>
    <row r="630" spans="1:2">
      <c r="A630" s="3"/>
      <c r="B630" s="3"/>
    </row>
    <row r="631" spans="1:2">
      <c r="A631" s="3"/>
      <c r="B631" s="3"/>
    </row>
    <row r="632" spans="1:2">
      <c r="A632" s="3"/>
      <c r="B632" s="3"/>
    </row>
    <row r="633" spans="1:2">
      <c r="A633" s="3"/>
      <c r="B633" s="3"/>
    </row>
    <row r="634" spans="1:2">
      <c r="A634" s="3"/>
      <c r="B634" s="3"/>
    </row>
    <row r="635" spans="1:2">
      <c r="A635" s="3"/>
      <c r="B635" s="3"/>
    </row>
    <row r="636" spans="1:2">
      <c r="A636" s="3"/>
      <c r="B636" s="3"/>
    </row>
    <row r="637" spans="1:2">
      <c r="A637" s="3"/>
      <c r="B637" s="3"/>
    </row>
    <row r="638" spans="1:2">
      <c r="A638" s="3"/>
      <c r="B638" s="3"/>
    </row>
    <row r="639" spans="1:2">
      <c r="A639" s="3"/>
      <c r="B639" s="3"/>
    </row>
    <row r="640" spans="1:2">
      <c r="A640" s="3"/>
      <c r="B640" s="3"/>
    </row>
    <row r="641" spans="1:2">
      <c r="A641" s="3"/>
      <c r="B641" s="3"/>
    </row>
    <row r="642" spans="1:2">
      <c r="A642" s="3"/>
      <c r="B642" s="3"/>
    </row>
    <row r="643" spans="1:2">
      <c r="A643" s="3"/>
      <c r="B643" s="3"/>
    </row>
    <row r="644" spans="1:2">
      <c r="A644" s="3"/>
      <c r="B644" s="3"/>
    </row>
    <row r="645" spans="1:2">
      <c r="A645" s="3"/>
      <c r="B645" s="3"/>
    </row>
    <row r="646" spans="1:2">
      <c r="A646" s="3"/>
      <c r="B646" s="3"/>
    </row>
    <row r="647" spans="1:2">
      <c r="A647" s="3"/>
      <c r="B647" s="3"/>
    </row>
    <row r="648" spans="1:2">
      <c r="A648" s="3"/>
      <c r="B648" s="3"/>
    </row>
    <row r="649" spans="1:2">
      <c r="A649" s="3"/>
      <c r="B649" s="3"/>
    </row>
    <row r="650" spans="1:2">
      <c r="A650" s="3"/>
      <c r="B650" s="3"/>
    </row>
    <row r="651" spans="1:2">
      <c r="A651" s="3"/>
      <c r="B651" s="3"/>
    </row>
    <row r="652" spans="1:2">
      <c r="A652" s="3"/>
      <c r="B652" s="3"/>
    </row>
    <row r="653" spans="1:2">
      <c r="A653" s="3"/>
      <c r="B653" s="3"/>
    </row>
    <row r="654" spans="1:2">
      <c r="A654" s="3"/>
      <c r="B654" s="3"/>
    </row>
    <row r="655" spans="1:2">
      <c r="A655" s="3"/>
      <c r="B655" s="3"/>
    </row>
    <row r="656" spans="1:2">
      <c r="A656" s="3"/>
      <c r="B656" s="3"/>
    </row>
    <row r="657" spans="1:2">
      <c r="A657" s="3"/>
      <c r="B657" s="3"/>
    </row>
    <row r="658" spans="1:2">
      <c r="A658" s="3"/>
      <c r="B658" s="3"/>
    </row>
    <row r="659" spans="1:2">
      <c r="A659" s="3"/>
      <c r="B659" s="3"/>
    </row>
    <row r="660" spans="1:2">
      <c r="A660" s="3"/>
      <c r="B660" s="3"/>
    </row>
    <row r="661" spans="1:2">
      <c r="A661" s="3"/>
      <c r="B661" s="3"/>
    </row>
    <row r="662" spans="1:2">
      <c r="A662" s="3"/>
      <c r="B662" s="3"/>
    </row>
    <row r="663" spans="1:2">
      <c r="A663" s="3"/>
      <c r="B663" s="3"/>
    </row>
    <row r="664" spans="1:2">
      <c r="A664" s="3"/>
      <c r="B664" s="3"/>
    </row>
    <row r="665" spans="1:2">
      <c r="A665" s="3"/>
      <c r="B665" s="3"/>
    </row>
    <row r="666" spans="1:2">
      <c r="A666" s="3"/>
      <c r="B666" s="3"/>
    </row>
    <row r="667" spans="1:2">
      <c r="A667" s="3"/>
      <c r="B667" s="3"/>
    </row>
    <row r="668" spans="1:2">
      <c r="A668" s="3"/>
      <c r="B668" s="3"/>
    </row>
    <row r="669" spans="1:2">
      <c r="A669" s="3"/>
      <c r="B669" s="3"/>
    </row>
    <row r="670" spans="1:2">
      <c r="A670" s="3"/>
      <c r="B670" s="3"/>
    </row>
    <row r="671" spans="1:2">
      <c r="A671" s="3"/>
      <c r="B671" s="3"/>
    </row>
    <row r="672" spans="1:2">
      <c r="A672" s="3"/>
      <c r="B672" s="3"/>
    </row>
    <row r="673" spans="1:2">
      <c r="A673" s="3"/>
      <c r="B673" s="3"/>
    </row>
    <row r="674" spans="1:2">
      <c r="A674" s="3"/>
      <c r="B674" s="3"/>
    </row>
    <row r="675" spans="1:2">
      <c r="A675" s="3"/>
      <c r="B675" s="3"/>
    </row>
    <row r="676" spans="1:2">
      <c r="A676" s="3"/>
      <c r="B676" s="3"/>
    </row>
    <row r="677" spans="1:2">
      <c r="A677" s="3"/>
      <c r="B677" s="3"/>
    </row>
    <row r="678" spans="1:2">
      <c r="A678" s="3"/>
      <c r="B678" s="3"/>
    </row>
    <row r="679" spans="1:2">
      <c r="A679" s="3"/>
      <c r="B679" s="3"/>
    </row>
    <row r="680" spans="1:2">
      <c r="A680" s="3"/>
      <c r="B680" s="3"/>
    </row>
    <row r="681" spans="1:2">
      <c r="A681" s="3"/>
      <c r="B681" s="3"/>
    </row>
    <row r="682" spans="1:2">
      <c r="A682" s="3"/>
      <c r="B682" s="3"/>
    </row>
    <row r="683" spans="1:2">
      <c r="A683" s="3"/>
      <c r="B683" s="3"/>
    </row>
    <row r="684" spans="1:2">
      <c r="A684" s="3"/>
      <c r="B684" s="3"/>
    </row>
    <row r="685" spans="1:2">
      <c r="A685" s="3"/>
      <c r="B685" s="3"/>
    </row>
    <row r="686" spans="1:2">
      <c r="A686" s="3"/>
      <c r="B686" s="3"/>
    </row>
    <row r="687" spans="1:2">
      <c r="A687" s="3"/>
      <c r="B687" s="3"/>
    </row>
    <row r="688" spans="1:2">
      <c r="A688" s="3"/>
      <c r="B688" s="3"/>
    </row>
    <row r="689" spans="1:2">
      <c r="A689" s="3"/>
      <c r="B689" s="3"/>
    </row>
    <row r="690" spans="1:2">
      <c r="A690" s="3"/>
      <c r="B690" s="3"/>
    </row>
    <row r="691" spans="1:2">
      <c r="A691" s="3"/>
      <c r="B691" s="3"/>
    </row>
    <row r="692" spans="1:2">
      <c r="A692" s="3"/>
      <c r="B692" s="3"/>
    </row>
    <row r="693" spans="1:2">
      <c r="A693" s="3"/>
      <c r="B693" s="3"/>
    </row>
    <row r="694" spans="1:2">
      <c r="A694" s="3"/>
      <c r="B694" s="3"/>
    </row>
    <row r="695" spans="1:2">
      <c r="A695" s="3"/>
      <c r="B695" s="3"/>
    </row>
    <row r="696" spans="1:2">
      <c r="A696" s="3"/>
      <c r="B696" s="3"/>
    </row>
    <row r="697" spans="1:2">
      <c r="A697" s="3"/>
      <c r="B697" s="3"/>
    </row>
    <row r="698" spans="1:2">
      <c r="A698" s="3"/>
      <c r="B698" s="3"/>
    </row>
    <row r="699" spans="1:2">
      <c r="A699" s="3"/>
      <c r="B699" s="3"/>
    </row>
    <row r="700" spans="1:2">
      <c r="A700" s="3"/>
      <c r="B700" s="3"/>
    </row>
    <row r="701" spans="1:2">
      <c r="A701" s="3"/>
      <c r="B701" s="3"/>
    </row>
    <row r="702" spans="1:2">
      <c r="A702" s="3"/>
      <c r="B702" s="3"/>
    </row>
    <row r="703" spans="1:2">
      <c r="A703" s="3"/>
      <c r="B703" s="3"/>
    </row>
    <row r="704" spans="1:2">
      <c r="A704" s="3"/>
      <c r="B704" s="3"/>
    </row>
    <row r="705" spans="1:2">
      <c r="A705" s="3"/>
      <c r="B705" s="3"/>
    </row>
    <row r="706" spans="1:2">
      <c r="A706" s="3"/>
      <c r="B706" s="3"/>
    </row>
    <row r="707" spans="1:2">
      <c r="A707" s="3"/>
      <c r="B707" s="3"/>
    </row>
    <row r="708" spans="1:2">
      <c r="A708" s="3"/>
      <c r="B708" s="3"/>
    </row>
    <row r="709" spans="1:2">
      <c r="A709" s="3"/>
      <c r="B709" s="3"/>
    </row>
    <row r="710" spans="1:2">
      <c r="A710" s="3"/>
      <c r="B710" s="3"/>
    </row>
    <row r="711" spans="1:2">
      <c r="A711" s="3"/>
      <c r="B711" s="3"/>
    </row>
    <row r="712" spans="1:2">
      <c r="A712" s="3"/>
      <c r="B712" s="3"/>
    </row>
    <row r="713" spans="1:2">
      <c r="A713" s="3"/>
      <c r="B713" s="3"/>
    </row>
    <row r="714" spans="1:2">
      <c r="A714" s="3"/>
      <c r="B714" s="3"/>
    </row>
    <row r="715" spans="1:2">
      <c r="A715" s="3"/>
      <c r="B715" s="3"/>
    </row>
    <row r="716" spans="1:2">
      <c r="A716" s="3"/>
      <c r="B716" s="3"/>
    </row>
    <row r="717" spans="1:2">
      <c r="A717" s="3"/>
      <c r="B717" s="3"/>
    </row>
    <row r="718" spans="1:2">
      <c r="A718" s="3"/>
      <c r="B718" s="3"/>
    </row>
    <row r="719" spans="1:2">
      <c r="A719" s="3"/>
      <c r="B719" s="3"/>
    </row>
    <row r="720" spans="1:2">
      <c r="A720" s="3"/>
      <c r="B720" s="3"/>
    </row>
    <row r="721" spans="1:2">
      <c r="A721" s="3"/>
      <c r="B721" s="3"/>
    </row>
    <row r="722" spans="1:2">
      <c r="A722" s="3"/>
      <c r="B722" s="3"/>
    </row>
    <row r="723" spans="1:2">
      <c r="A723" s="3"/>
      <c r="B723" s="3"/>
    </row>
    <row r="724" spans="1:2">
      <c r="A724" s="3"/>
      <c r="B724" s="3"/>
    </row>
    <row r="725" spans="1:2">
      <c r="A725" s="3"/>
      <c r="B725" s="3"/>
    </row>
    <row r="726" spans="1:2">
      <c r="A726" s="3"/>
      <c r="B726" s="3"/>
    </row>
    <row r="727" spans="1:2">
      <c r="A727" s="3"/>
      <c r="B727" s="3"/>
    </row>
    <row r="728" spans="1:2">
      <c r="A728" s="3"/>
      <c r="B728" s="3"/>
    </row>
    <row r="729" spans="1:2">
      <c r="A729" s="3"/>
      <c r="B729" s="3"/>
    </row>
    <row r="730" spans="1:2">
      <c r="A730" s="3"/>
      <c r="B730" s="3"/>
    </row>
    <row r="731" spans="1:2">
      <c r="A731" s="3"/>
      <c r="B731" s="3"/>
    </row>
    <row r="732" spans="1:2">
      <c r="A732" s="3"/>
      <c r="B732" s="3"/>
    </row>
    <row r="733" spans="1:2">
      <c r="A733" s="3"/>
      <c r="B733" s="3"/>
    </row>
    <row r="734" spans="1:2">
      <c r="A734" s="3"/>
      <c r="B734" s="3"/>
    </row>
    <row r="735" spans="1:2">
      <c r="A735" s="3"/>
      <c r="B735" s="3"/>
    </row>
    <row r="736" spans="1:2">
      <c r="A736" s="3"/>
      <c r="B736" s="3"/>
    </row>
    <row r="737" spans="1:2">
      <c r="A737" s="3"/>
      <c r="B737" s="3"/>
    </row>
    <row r="738" spans="1:2">
      <c r="A738" s="3"/>
      <c r="B738" s="3"/>
    </row>
    <row r="739" spans="1:2">
      <c r="A739" s="3"/>
      <c r="B739" s="3"/>
    </row>
    <row r="740" spans="1:2">
      <c r="A740" s="3"/>
      <c r="B740" s="3"/>
    </row>
    <row r="741" spans="1:2">
      <c r="A741" s="3"/>
      <c r="B741" s="3"/>
    </row>
    <row r="742" spans="1:2">
      <c r="A742" s="3"/>
      <c r="B742" s="3"/>
    </row>
    <row r="743" spans="1:2">
      <c r="A743" s="3"/>
      <c r="B743" s="3"/>
    </row>
    <row r="744" spans="1:2">
      <c r="A744" s="3"/>
      <c r="B744" s="3"/>
    </row>
    <row r="745" spans="1:2">
      <c r="A745" s="3"/>
      <c r="B745" s="3"/>
    </row>
    <row r="746" spans="1:2">
      <c r="A746" s="3"/>
      <c r="B746" s="3"/>
    </row>
    <row r="747" spans="1:2">
      <c r="A747" s="3"/>
      <c r="B747" s="3"/>
    </row>
    <row r="748" spans="1:2">
      <c r="A748" s="3"/>
      <c r="B748" s="3"/>
    </row>
    <row r="749" spans="1:2">
      <c r="A749" s="3"/>
      <c r="B749" s="3"/>
    </row>
    <row r="750" spans="1:2">
      <c r="A750" s="3"/>
      <c r="B750" s="3"/>
    </row>
    <row r="751" spans="1:2">
      <c r="A751" s="3"/>
      <c r="B751" s="3"/>
    </row>
    <row r="752" spans="1:2">
      <c r="A752" s="3"/>
      <c r="B752" s="3"/>
    </row>
    <row r="753" spans="1:2">
      <c r="A753" s="3"/>
      <c r="B753" s="3"/>
    </row>
    <row r="754" spans="1:2">
      <c r="A754" s="3"/>
      <c r="B754" s="3"/>
    </row>
    <row r="755" spans="1:2">
      <c r="A755" s="3"/>
      <c r="B755" s="3"/>
    </row>
    <row r="756" spans="1:2">
      <c r="A756" s="3"/>
      <c r="B756" s="3"/>
    </row>
    <row r="757" spans="1:2">
      <c r="A757" s="3"/>
      <c r="B757" s="3"/>
    </row>
    <row r="758" spans="1:2">
      <c r="A758" s="3"/>
      <c r="B758" s="3"/>
    </row>
    <row r="759" spans="1:2">
      <c r="A759" s="3"/>
      <c r="B759" s="3"/>
    </row>
    <row r="760" spans="1:2">
      <c r="A760" s="3"/>
      <c r="B760" s="3"/>
    </row>
    <row r="761" spans="1:2">
      <c r="A761" s="3"/>
      <c r="B761" s="3"/>
    </row>
    <row r="762" spans="1:2">
      <c r="A762" s="3"/>
      <c r="B762" s="3"/>
    </row>
    <row r="763" spans="1:2">
      <c r="A763" s="3"/>
      <c r="B763" s="3"/>
    </row>
    <row r="764" spans="1:2">
      <c r="A764" s="3"/>
      <c r="B764" s="3"/>
    </row>
    <row r="765" spans="1:2">
      <c r="A765" s="3"/>
      <c r="B765" s="3"/>
    </row>
    <row r="766" spans="1:2">
      <c r="A766" s="3"/>
      <c r="B766" s="3"/>
    </row>
    <row r="767" spans="1:2">
      <c r="A767" s="3"/>
      <c r="B767" s="3"/>
    </row>
    <row r="768" spans="1:2">
      <c r="A768" s="3"/>
      <c r="B768" s="3"/>
    </row>
    <row r="769" spans="1:2">
      <c r="A769" s="3"/>
      <c r="B769" s="3"/>
    </row>
    <row r="770" spans="1:2">
      <c r="A770" s="3"/>
      <c r="B770" s="3"/>
    </row>
    <row r="771" spans="1:2">
      <c r="A771" s="3"/>
      <c r="B771" s="3"/>
    </row>
    <row r="772" spans="1:2">
      <c r="A772" s="3"/>
      <c r="B772" s="3"/>
    </row>
    <row r="773" spans="1:2">
      <c r="A773" s="3"/>
      <c r="B773" s="3"/>
    </row>
    <row r="774" spans="1:2">
      <c r="A774" s="3"/>
      <c r="B774" s="3"/>
    </row>
    <row r="775" spans="1:2">
      <c r="A775" s="3"/>
      <c r="B775" s="3"/>
    </row>
    <row r="776" spans="1:2">
      <c r="A776" s="3"/>
      <c r="B776" s="3"/>
    </row>
    <row r="777" spans="1:2">
      <c r="A777" s="3"/>
      <c r="B777" s="3"/>
    </row>
    <row r="778" spans="1:2">
      <c r="A778" s="3"/>
      <c r="B778" s="3"/>
    </row>
    <row r="779" spans="1:2">
      <c r="A779" s="3"/>
      <c r="B779" s="3"/>
    </row>
    <row r="780" spans="1:2">
      <c r="A780" s="3"/>
      <c r="B780" s="3"/>
    </row>
    <row r="781" spans="1:2">
      <c r="A781" s="3"/>
      <c r="B781" s="3"/>
    </row>
    <row r="782" spans="1:2">
      <c r="A782" s="3"/>
      <c r="B782" s="3"/>
    </row>
    <row r="783" spans="1:2">
      <c r="A783" s="3"/>
      <c r="B783" s="3"/>
    </row>
    <row r="784" spans="1:2">
      <c r="A784" s="3"/>
      <c r="B784" s="3"/>
    </row>
    <row r="785" spans="1:2">
      <c r="A785" s="3"/>
      <c r="B785" s="3"/>
    </row>
    <row r="786" spans="1:2">
      <c r="A786" s="3"/>
      <c r="B786" s="3"/>
    </row>
    <row r="787" spans="1:2">
      <c r="A787" s="3"/>
      <c r="B787" s="3"/>
    </row>
    <row r="788" spans="1:2">
      <c r="A788" s="3"/>
      <c r="B788" s="3"/>
    </row>
    <row r="789" spans="1:2">
      <c r="A789" s="3"/>
      <c r="B789" s="3"/>
    </row>
    <row r="790" spans="1:2">
      <c r="A790" s="3"/>
      <c r="B790" s="3"/>
    </row>
    <row r="791" spans="1:2">
      <c r="A791" s="3"/>
      <c r="B791" s="3"/>
    </row>
    <row r="792" spans="1:2">
      <c r="A792" s="3"/>
      <c r="B792" s="3"/>
    </row>
    <row r="793" spans="1:2">
      <c r="A793" s="3"/>
      <c r="B793" s="3"/>
    </row>
    <row r="794" spans="1:2">
      <c r="A794" s="3"/>
      <c r="B794" s="3"/>
    </row>
    <row r="795" spans="1:2">
      <c r="A795" s="3"/>
      <c r="B795" s="3"/>
    </row>
    <row r="796" spans="1:2">
      <c r="A796" s="3"/>
      <c r="B796" s="3"/>
    </row>
    <row r="797" spans="1:2">
      <c r="A797" s="3"/>
      <c r="B797" s="3"/>
    </row>
    <row r="798" spans="1:2">
      <c r="A798" s="3"/>
      <c r="B798" s="3"/>
    </row>
    <row r="799" spans="1:2">
      <c r="A799" s="3"/>
      <c r="B799" s="3"/>
    </row>
    <row r="800" spans="1:2">
      <c r="A800" s="3"/>
      <c r="B800" s="3"/>
    </row>
    <row r="801" spans="1:2">
      <c r="A801" s="3"/>
      <c r="B801" s="3"/>
    </row>
    <row r="802" spans="1:2">
      <c r="A802" s="3"/>
      <c r="B802" s="3"/>
    </row>
    <row r="803" spans="1:2">
      <c r="A803" s="3"/>
      <c r="B803" s="3"/>
    </row>
    <row r="804" spans="1:2">
      <c r="A804" s="3"/>
      <c r="B804" s="3"/>
    </row>
    <row r="805" spans="1:2">
      <c r="A805" s="3"/>
      <c r="B805" s="3"/>
    </row>
    <row r="806" spans="1:2">
      <c r="A806" s="3"/>
      <c r="B806" s="3"/>
    </row>
    <row r="807" spans="1:2">
      <c r="A807" s="3"/>
      <c r="B807" s="3"/>
    </row>
    <row r="808" spans="1:2">
      <c r="A808" s="3"/>
      <c r="B808" s="3"/>
    </row>
    <row r="809" spans="1:2">
      <c r="A809" s="3"/>
      <c r="B809" s="3"/>
    </row>
    <row r="810" spans="1:2">
      <c r="A810" s="3"/>
      <c r="B810" s="3"/>
    </row>
    <row r="811" spans="1:2">
      <c r="A811" s="3"/>
      <c r="B811" s="3"/>
    </row>
    <row r="812" spans="1:2">
      <c r="A812" s="3"/>
      <c r="B812" s="3"/>
    </row>
    <row r="813" spans="1:2">
      <c r="A813" s="3"/>
      <c r="B813" s="3"/>
    </row>
    <row r="814" spans="1:2">
      <c r="A814" s="3"/>
      <c r="B814" s="3"/>
    </row>
    <row r="815" spans="1:2">
      <c r="A815" s="3"/>
      <c r="B815" s="3"/>
    </row>
    <row r="816" spans="1:2">
      <c r="A816" s="3"/>
      <c r="B816" s="3"/>
    </row>
    <row r="817" spans="1:2">
      <c r="A817" s="3"/>
      <c r="B817" s="3"/>
    </row>
    <row r="818" spans="1:2">
      <c r="A818" s="3"/>
      <c r="B818" s="3"/>
    </row>
    <row r="819" spans="1:2">
      <c r="A819" s="3"/>
      <c r="B819" s="3"/>
    </row>
    <row r="820" spans="1:2">
      <c r="A820" s="3"/>
      <c r="B820" s="3"/>
    </row>
    <row r="821" spans="1:2">
      <c r="A821" s="3"/>
      <c r="B821" s="3"/>
    </row>
    <row r="822" spans="1:2">
      <c r="A822" s="3"/>
      <c r="B822" s="3"/>
    </row>
    <row r="823" spans="1:2">
      <c r="A823" s="3"/>
      <c r="B823" s="3"/>
    </row>
    <row r="824" spans="1:2">
      <c r="A824" s="3"/>
      <c r="B824" s="3"/>
    </row>
    <row r="825" spans="1:2">
      <c r="A825" s="3"/>
      <c r="B825" s="3"/>
    </row>
    <row r="826" spans="1:2">
      <c r="A826" s="3"/>
      <c r="B826" s="3"/>
    </row>
    <row r="827" spans="1:2">
      <c r="A827" s="3"/>
      <c r="B827" s="3"/>
    </row>
    <row r="828" spans="1:2">
      <c r="A828" s="3"/>
      <c r="B828" s="3"/>
    </row>
    <row r="829" spans="1:2">
      <c r="A829" s="3"/>
      <c r="B829" s="3"/>
    </row>
    <row r="830" spans="1:2">
      <c r="A830" s="3"/>
      <c r="B830" s="3"/>
    </row>
    <row r="831" spans="1:2">
      <c r="A831" s="3"/>
      <c r="B831" s="3"/>
    </row>
    <row r="832" spans="1:2">
      <c r="A832" s="3"/>
      <c r="B832" s="3"/>
    </row>
    <row r="833" spans="1:2">
      <c r="A833" s="3"/>
      <c r="B833" s="3"/>
    </row>
    <row r="834" spans="1:2">
      <c r="A834" s="3"/>
      <c r="B834" s="3"/>
    </row>
    <row r="835" spans="1:2">
      <c r="A835" s="3"/>
      <c r="B835" s="3"/>
    </row>
    <row r="836" spans="1:2">
      <c r="A836" s="3"/>
      <c r="B836" s="3"/>
    </row>
    <row r="837" spans="1:2">
      <c r="A837" s="3"/>
      <c r="B837" s="3"/>
    </row>
    <row r="838" spans="1:2">
      <c r="A838" s="3"/>
      <c r="B838" s="3"/>
    </row>
    <row r="839" spans="1:2">
      <c r="A839" s="3"/>
      <c r="B839" s="3"/>
    </row>
    <row r="840" spans="1:2">
      <c r="A840" s="3"/>
      <c r="B840" s="3"/>
    </row>
    <row r="841" spans="1:2">
      <c r="A841" s="3"/>
      <c r="B841" s="3"/>
    </row>
    <row r="842" spans="1:2">
      <c r="A842" s="3"/>
      <c r="B842" s="3"/>
    </row>
    <row r="843" spans="1:2">
      <c r="A843" s="3"/>
      <c r="B843" s="3"/>
    </row>
    <row r="844" spans="1:2">
      <c r="A844" s="3"/>
      <c r="B844" s="3"/>
    </row>
    <row r="845" spans="1:2">
      <c r="A845" s="3"/>
      <c r="B845" s="3"/>
    </row>
    <row r="846" spans="1:2">
      <c r="A846" s="3"/>
      <c r="B846" s="3"/>
    </row>
    <row r="847" spans="1:2">
      <c r="A847" s="3"/>
      <c r="B847" s="3"/>
    </row>
    <row r="848" spans="1:2">
      <c r="A848" s="3"/>
      <c r="B848" s="3"/>
    </row>
    <row r="849" spans="1:2">
      <c r="A849" s="3"/>
      <c r="B849" s="3"/>
    </row>
    <row r="850" spans="1:2">
      <c r="A850" s="3"/>
      <c r="B850" s="3"/>
    </row>
    <row r="851" spans="1:2">
      <c r="A851" s="3"/>
      <c r="B851" s="3"/>
    </row>
    <row r="852" spans="1:2">
      <c r="A852" s="3"/>
      <c r="B852" s="3"/>
    </row>
    <row r="853" spans="1:2">
      <c r="A853" s="3"/>
      <c r="B853" s="3"/>
    </row>
    <row r="854" spans="1:2">
      <c r="A854" s="3"/>
      <c r="B854" s="3"/>
    </row>
    <row r="855" spans="1:2">
      <c r="A855" s="3"/>
      <c r="B855" s="3"/>
    </row>
    <row r="856" spans="1:2">
      <c r="A856" s="3"/>
      <c r="B856" s="3"/>
    </row>
    <row r="857" spans="1:2">
      <c r="A857" s="3"/>
      <c r="B857" s="3"/>
    </row>
    <row r="858" spans="1:2">
      <c r="A858" s="3"/>
      <c r="B858" s="3"/>
    </row>
    <row r="859" spans="1:2">
      <c r="A859" s="3"/>
      <c r="B859" s="3"/>
    </row>
    <row r="860" spans="1:2">
      <c r="A860" s="3"/>
      <c r="B860" s="3"/>
    </row>
    <row r="861" spans="1:2">
      <c r="A861" s="3"/>
      <c r="B861" s="3"/>
    </row>
    <row r="862" spans="1:2">
      <c r="A862" s="3"/>
      <c r="B862" s="3"/>
    </row>
    <row r="863" spans="1:2">
      <c r="A863" s="3"/>
      <c r="B863" s="3"/>
    </row>
    <row r="864" spans="1:2">
      <c r="A864" s="3"/>
      <c r="B864" s="3"/>
    </row>
    <row r="865" spans="1:2">
      <c r="A865" s="3"/>
      <c r="B865" s="3"/>
    </row>
    <row r="866" spans="1:2">
      <c r="A866" s="3"/>
      <c r="B866" s="3"/>
    </row>
    <row r="867" spans="1:2">
      <c r="A867" s="3"/>
      <c r="B867" s="3"/>
    </row>
    <row r="868" spans="1:2">
      <c r="A868" s="3"/>
      <c r="B868" s="3"/>
    </row>
    <row r="869" spans="1:2">
      <c r="A869" s="3"/>
      <c r="B869" s="3"/>
    </row>
    <row r="870" spans="1:2">
      <c r="A870" s="3"/>
      <c r="B870" s="3"/>
    </row>
    <row r="871" spans="1:2">
      <c r="A871" s="3"/>
      <c r="B871" s="3"/>
    </row>
    <row r="872" spans="1:2">
      <c r="A872" s="3"/>
      <c r="B872" s="3"/>
    </row>
    <row r="873" spans="1:2">
      <c r="A873" s="3"/>
      <c r="B873" s="3"/>
    </row>
    <row r="874" spans="1:2">
      <c r="A874" s="3"/>
      <c r="B874" s="3"/>
    </row>
    <row r="875" spans="1:2">
      <c r="A875" s="3"/>
      <c r="B875" s="3"/>
    </row>
    <row r="876" spans="1:2">
      <c r="A876" s="3"/>
      <c r="B876" s="3"/>
    </row>
    <row r="877" spans="1:2">
      <c r="A877" s="3"/>
      <c r="B877" s="3"/>
    </row>
    <row r="878" spans="1:2">
      <c r="A878" s="3"/>
      <c r="B878" s="3"/>
    </row>
    <row r="879" spans="1:2">
      <c r="A879" s="3"/>
      <c r="B879" s="3"/>
    </row>
    <row r="880" spans="1:2">
      <c r="A880" s="3"/>
      <c r="B880" s="3"/>
    </row>
    <row r="881" spans="1:2">
      <c r="A881" s="3"/>
      <c r="B881" s="3"/>
    </row>
    <row r="882" spans="1:2">
      <c r="A882" s="3"/>
      <c r="B882" s="3"/>
    </row>
    <row r="883" spans="1:2">
      <c r="A883" s="3"/>
      <c r="B883" s="3"/>
    </row>
    <row r="884" spans="1:2">
      <c r="A884" s="3"/>
      <c r="B884" s="3"/>
    </row>
    <row r="885" spans="1:2">
      <c r="A885" s="3"/>
      <c r="B885" s="3"/>
    </row>
    <row r="886" spans="1:2">
      <c r="A886" s="3"/>
      <c r="B886" s="3"/>
    </row>
    <row r="887" spans="1:2">
      <c r="A887" s="3"/>
      <c r="B887" s="3"/>
    </row>
    <row r="888" spans="1:2">
      <c r="A888" s="3"/>
      <c r="B888" s="3"/>
    </row>
    <row r="889" spans="1:2">
      <c r="A889" s="3"/>
      <c r="B889" s="3"/>
    </row>
    <row r="890" spans="1:2">
      <c r="A890" s="3"/>
      <c r="B890" s="3"/>
    </row>
    <row r="891" spans="1:2">
      <c r="A891" s="3"/>
      <c r="B891" s="3"/>
    </row>
    <row r="892" spans="1:2">
      <c r="A892" s="3"/>
      <c r="B892" s="3"/>
    </row>
    <row r="893" spans="1:2">
      <c r="A893" s="3"/>
      <c r="B893" s="3"/>
    </row>
    <row r="894" spans="1:2">
      <c r="A894" s="3"/>
      <c r="B894" s="3"/>
    </row>
    <row r="895" spans="1:2">
      <c r="A895" s="3"/>
      <c r="B895" s="3"/>
    </row>
    <row r="896" spans="1:2">
      <c r="A896" s="3"/>
      <c r="B896" s="3"/>
    </row>
    <row r="897" spans="1:2">
      <c r="A897" s="3"/>
      <c r="B897" s="3"/>
    </row>
    <row r="898" spans="1:2">
      <c r="A898" s="3"/>
      <c r="B898" s="3"/>
    </row>
    <row r="899" spans="1:2">
      <c r="A899" s="3"/>
      <c r="B899" s="3"/>
    </row>
    <row r="900" spans="1:2">
      <c r="A900" s="3"/>
      <c r="B900" s="3"/>
    </row>
    <row r="901" spans="1:2">
      <c r="A901" s="3"/>
      <c r="B901" s="3"/>
    </row>
    <row r="902" spans="1:2">
      <c r="A902" s="3"/>
      <c r="B902" s="3"/>
    </row>
    <row r="903" spans="1:2">
      <c r="A903" s="3"/>
      <c r="B903" s="3"/>
    </row>
    <row r="904" spans="1:2">
      <c r="A904" s="3"/>
      <c r="B904" s="3"/>
    </row>
    <row r="905" spans="1:2">
      <c r="A905" s="3"/>
      <c r="B905" s="3"/>
    </row>
    <row r="906" spans="1:2">
      <c r="A906" s="3"/>
      <c r="B906" s="3"/>
    </row>
    <row r="907" spans="1:2">
      <c r="A907" s="3"/>
      <c r="B907" s="3"/>
    </row>
    <row r="908" spans="1:2">
      <c r="A908" s="3"/>
      <c r="B908" s="3"/>
    </row>
    <row r="909" spans="1:2">
      <c r="A909" s="3"/>
      <c r="B909" s="3"/>
    </row>
    <row r="910" spans="1:2">
      <c r="A910" s="3"/>
      <c r="B910" s="3"/>
    </row>
    <row r="911" spans="1:2">
      <c r="A911" s="3"/>
      <c r="B911" s="3"/>
    </row>
    <row r="912" spans="1:2">
      <c r="A912" s="3"/>
      <c r="B912" s="3"/>
    </row>
    <row r="913" spans="1:2">
      <c r="A913" s="3"/>
      <c r="B913" s="3"/>
    </row>
    <row r="914" spans="1:2">
      <c r="A914" s="3"/>
      <c r="B914" s="3"/>
    </row>
    <row r="915" spans="1:2">
      <c r="A915" s="3"/>
      <c r="B915" s="3"/>
    </row>
    <row r="916" spans="1:2">
      <c r="A916" s="3"/>
      <c r="B916" s="3"/>
    </row>
    <row r="917" spans="1:2">
      <c r="A917" s="3"/>
      <c r="B917" s="3"/>
    </row>
    <row r="918" spans="1:2">
      <c r="A918" s="3"/>
      <c r="B918" s="3"/>
    </row>
    <row r="919" spans="1:2">
      <c r="A919" s="3"/>
      <c r="B919" s="3"/>
    </row>
    <row r="920" spans="1:2">
      <c r="A920" s="3"/>
      <c r="B920" s="3"/>
    </row>
    <row r="921" spans="1:2">
      <c r="A921" s="3"/>
      <c r="B921" s="3"/>
    </row>
    <row r="922" spans="1:2">
      <c r="A922" s="3"/>
      <c r="B922" s="3"/>
    </row>
    <row r="923" spans="1:2">
      <c r="A923" s="3"/>
      <c r="B923" s="3"/>
    </row>
    <row r="924" spans="1:2">
      <c r="A924" s="3"/>
      <c r="B924" s="3"/>
    </row>
    <row r="925" spans="1:2">
      <c r="A925" s="3"/>
      <c r="B925" s="3"/>
    </row>
    <row r="926" spans="1:2">
      <c r="A926" s="3"/>
      <c r="B926" s="3"/>
    </row>
    <row r="927" spans="1:2">
      <c r="A927" s="3"/>
      <c r="B927" s="3"/>
    </row>
    <row r="928" spans="1:2">
      <c r="A928" s="3"/>
      <c r="B928" s="3"/>
    </row>
    <row r="929" spans="1:2">
      <c r="A929" s="3"/>
      <c r="B929" s="3"/>
    </row>
    <row r="930" spans="1:2">
      <c r="A930" s="3"/>
      <c r="B930" s="3"/>
    </row>
    <row r="931" spans="1:2">
      <c r="A931" s="3"/>
      <c r="B931" s="3"/>
    </row>
    <row r="932" spans="1:2">
      <c r="A932" s="3"/>
      <c r="B932" s="3"/>
    </row>
    <row r="933" spans="1:2">
      <c r="A933" s="3"/>
      <c r="B933" s="3"/>
    </row>
    <row r="934" spans="1:2">
      <c r="A934" s="3"/>
      <c r="B934" s="3"/>
    </row>
    <row r="935" spans="1:2">
      <c r="A935" s="3"/>
      <c r="B935" s="3"/>
    </row>
    <row r="936" spans="1:2">
      <c r="A936" s="3"/>
      <c r="B936" s="3"/>
    </row>
    <row r="937" spans="1:2">
      <c r="A937" s="3"/>
      <c r="B937" s="3"/>
    </row>
    <row r="938" spans="1:2">
      <c r="A938" s="3"/>
      <c r="B938" s="3"/>
    </row>
    <row r="939" spans="1:2">
      <c r="A939" s="3"/>
      <c r="B939" s="3"/>
    </row>
    <row r="940" spans="1:2">
      <c r="A940" s="3"/>
      <c r="B940" s="3"/>
    </row>
    <row r="941" spans="1:2">
      <c r="A941" s="3"/>
      <c r="B941" s="3"/>
    </row>
    <row r="942" spans="1:2">
      <c r="A942" s="3"/>
      <c r="B942" s="3"/>
    </row>
    <row r="943" spans="1:2">
      <c r="A943" s="3"/>
      <c r="B943" s="3"/>
    </row>
    <row r="944" spans="1:2">
      <c r="A944" s="3"/>
      <c r="B944" s="3"/>
    </row>
    <row r="945" spans="1:2">
      <c r="A945" s="3"/>
      <c r="B945" s="3"/>
    </row>
    <row r="946" spans="1:2">
      <c r="A946" s="3"/>
      <c r="B946" s="3"/>
    </row>
    <row r="947" spans="1:2">
      <c r="A947" s="3"/>
      <c r="B947" s="3"/>
    </row>
    <row r="948" spans="1:2">
      <c r="A948" s="3"/>
      <c r="B948" s="3"/>
    </row>
    <row r="949" spans="1:2">
      <c r="A949" s="3"/>
      <c r="B949" s="3"/>
    </row>
    <row r="950" spans="1:2">
      <c r="A950" s="3"/>
      <c r="B950" s="3"/>
    </row>
    <row r="951" spans="1:2">
      <c r="A951" s="3"/>
      <c r="B951" s="3"/>
    </row>
    <row r="952" spans="1:2">
      <c r="A952" s="3"/>
      <c r="B952" s="3"/>
    </row>
    <row r="953" spans="1:2">
      <c r="A953" s="3"/>
      <c r="B953" s="3"/>
    </row>
    <row r="954" spans="1:2">
      <c r="A954" s="3"/>
      <c r="B954" s="3"/>
    </row>
    <row r="955" spans="1:2">
      <c r="A955" s="3"/>
      <c r="B955" s="3"/>
    </row>
    <row r="956" spans="1:2">
      <c r="A956" s="3"/>
      <c r="B956" s="3"/>
    </row>
    <row r="957" spans="1:2">
      <c r="A957" s="3"/>
      <c r="B957" s="3"/>
    </row>
    <row r="958" spans="1:2">
      <c r="A958" s="3"/>
      <c r="B958" s="3"/>
    </row>
    <row r="959" spans="1:2">
      <c r="A959" s="3"/>
      <c r="B959" s="3"/>
    </row>
    <row r="960" spans="1:2">
      <c r="A960" s="3"/>
      <c r="B960" s="3"/>
    </row>
    <row r="961" spans="1:2">
      <c r="A961" s="3"/>
      <c r="B961" s="3"/>
    </row>
    <row r="962" spans="1:2">
      <c r="A962" s="3"/>
      <c r="B962" s="3"/>
    </row>
    <row r="963" spans="1:2">
      <c r="A963" s="3"/>
      <c r="B963" s="3"/>
    </row>
    <row r="964" spans="1:2">
      <c r="A964" s="3"/>
      <c r="B964" s="3"/>
    </row>
    <row r="965" spans="1:2">
      <c r="A965" s="3"/>
      <c r="B965" s="3"/>
    </row>
    <row r="966" spans="1:2">
      <c r="A966" s="3"/>
      <c r="B966" s="3"/>
    </row>
    <row r="967" spans="1:2">
      <c r="A967" s="3"/>
      <c r="B967" s="3"/>
    </row>
    <row r="968" spans="1:2">
      <c r="A968" s="3"/>
      <c r="B968" s="3"/>
    </row>
    <row r="969" spans="1:2">
      <c r="A969" s="3"/>
      <c r="B969" s="3"/>
    </row>
    <row r="970" spans="1:2">
      <c r="A970" s="3"/>
      <c r="B970" s="3"/>
    </row>
    <row r="971" spans="1:2">
      <c r="A971" s="3"/>
      <c r="B971" s="3"/>
    </row>
    <row r="972" spans="1:2">
      <c r="A972" s="3"/>
      <c r="B972" s="3"/>
    </row>
    <row r="973" spans="1:2">
      <c r="A973" s="3"/>
      <c r="B973" s="3"/>
    </row>
    <row r="974" spans="1:2">
      <c r="A974" s="3"/>
      <c r="B974" s="3"/>
    </row>
    <row r="975" spans="1:2">
      <c r="A975" s="3"/>
      <c r="B975" s="3"/>
    </row>
    <row r="976" spans="1:2">
      <c r="A976" s="3"/>
      <c r="B976" s="3"/>
    </row>
    <row r="977" spans="1:2">
      <c r="A977" s="3"/>
      <c r="B977" s="3"/>
    </row>
    <row r="978" spans="1:2">
      <c r="A978" s="3"/>
      <c r="B978" s="3"/>
    </row>
    <row r="979" spans="1:2">
      <c r="A979" s="3"/>
      <c r="B979" s="3"/>
    </row>
    <row r="980" spans="1:2">
      <c r="A980" s="3"/>
      <c r="B980" s="3"/>
    </row>
    <row r="981" spans="1:2">
      <c r="A981" s="3"/>
      <c r="B981" s="3"/>
    </row>
    <row r="982" spans="1:2">
      <c r="A982" s="3"/>
      <c r="B982" s="3"/>
    </row>
    <row r="983" spans="1:2">
      <c r="A983" s="3"/>
      <c r="B983" s="3"/>
    </row>
    <row r="984" spans="1:2">
      <c r="A984" s="3"/>
      <c r="B984" s="3"/>
    </row>
    <row r="985" spans="1:2">
      <c r="A985" s="3"/>
      <c r="B985" s="3"/>
    </row>
    <row r="986" spans="1:2">
      <c r="A986" s="3"/>
      <c r="B986" s="3"/>
    </row>
    <row r="987" spans="1:2">
      <c r="A987" s="3"/>
      <c r="B987" s="3"/>
    </row>
    <row r="988" spans="1:2">
      <c r="A988" s="3"/>
      <c r="B988" s="3"/>
    </row>
    <row r="989" spans="1:2">
      <c r="A989" s="3"/>
      <c r="B989" s="3"/>
    </row>
    <row r="990" spans="1:2">
      <c r="A990" s="3"/>
      <c r="B990" s="3"/>
    </row>
    <row r="991" spans="1:2">
      <c r="A991" s="3"/>
      <c r="B991" s="3"/>
    </row>
    <row r="992" spans="1:2">
      <c r="A992" s="3"/>
      <c r="B992" s="3"/>
    </row>
    <row r="993" spans="1:2">
      <c r="A993" s="3"/>
      <c r="B993" s="3"/>
    </row>
    <row r="994" spans="1:2">
      <c r="A994" s="3"/>
      <c r="B994" s="3"/>
    </row>
    <row r="995" spans="1:2">
      <c r="A995" s="3"/>
      <c r="B995" s="3"/>
    </row>
    <row r="996" spans="1:2">
      <c r="A996" s="3"/>
      <c r="B996" s="3"/>
    </row>
    <row r="997" spans="1:2">
      <c r="A997" s="3"/>
      <c r="B997" s="3"/>
    </row>
    <row r="998" spans="1:2">
      <c r="A998" s="3"/>
      <c r="B998" s="3"/>
    </row>
    <row r="999" spans="1:2">
      <c r="A999" s="3"/>
      <c r="B999" s="3"/>
    </row>
    <row r="1000" spans="1:2">
      <c r="A1000" s="3"/>
      <c r="B1000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  <pageSetUpPr fitToPage="1"/>
  </sheetPr>
  <dimension ref="A1:E948"/>
  <sheetViews>
    <sheetView showGridLines="0" workbookViewId="0"/>
  </sheetViews>
  <sheetFormatPr baseColWidth="10" defaultColWidth="12.5703125" defaultRowHeight="15.75" customHeight="1"/>
  <cols>
    <col min="1" max="2" width="23.42578125" customWidth="1"/>
    <col min="3" max="3" width="22.85546875" customWidth="1"/>
    <col min="5" max="5" width="33.42578125" customWidth="1"/>
  </cols>
  <sheetData>
    <row r="1" spans="1:5" ht="36">
      <c r="A1" s="9" t="s">
        <v>2213</v>
      </c>
      <c r="B1" s="9" t="s">
        <v>7</v>
      </c>
      <c r="C1" s="9" t="s">
        <v>2214</v>
      </c>
      <c r="D1" s="9" t="s">
        <v>2188</v>
      </c>
      <c r="E1" s="9" t="s">
        <v>5</v>
      </c>
    </row>
    <row r="2" spans="1:5" ht="23.25">
      <c r="A2" s="85">
        <v>3</v>
      </c>
      <c r="B2" s="5" t="s">
        <v>954</v>
      </c>
      <c r="C2" s="3" t="s">
        <v>2215</v>
      </c>
      <c r="D2" s="78" t="s">
        <v>28</v>
      </c>
      <c r="E2" s="22" t="str">
        <f>IF(B2="","",IF(A2=0,"NO HAY ESE CODIGO",IF(COUNTIF(ASIGNACIONES!$B$3:$B948,B2)=1,"DOTACION ASIGNADA",IF(C2="VISITAS","DOTACION VISITA",IF(C2="MTTO","DOTACION MTTO",IF(C2="PLANTA EMERGENCIA","DOTACION RES DE EMERGENCIA",IF(C2="EXTERNOS","DOTACION DE EXTERNO","DOTACION DISPONIBLE")))))))</f>
        <v>DOTACION ASIGNADA</v>
      </c>
    </row>
    <row r="3" spans="1:5" ht="23.25">
      <c r="A3" s="85">
        <v>3</v>
      </c>
      <c r="B3" s="5" t="s">
        <v>183</v>
      </c>
      <c r="C3" s="3" t="s">
        <v>2215</v>
      </c>
      <c r="D3" s="78" t="s">
        <v>28</v>
      </c>
      <c r="E3" s="22" t="str">
        <f>IF(B3="","",IF(A3=0,"NO HAY ESE CODIGO",IF(COUNTIF(ASIGNACIONES!$B$3:$B948,B3)=1,"DOTACION ASIGNADA",IF(C3="VISITAS","DOTACION VISITA",IF(C3="MTTO","DOTACION MTTO",IF(C3="PLANTA EMERGENCIA","DOTACION RES DE EMERGENCIA",IF(C3="EXTERNOS","DOTACION DE EXTERNO","DOTACION DISPONIBLE")))))))</f>
        <v>DOTACION ASIGNADA</v>
      </c>
    </row>
    <row r="4" spans="1:5" ht="23.25">
      <c r="A4" s="85">
        <v>3</v>
      </c>
      <c r="B4" s="5" t="s">
        <v>237</v>
      </c>
      <c r="C4" s="3" t="s">
        <v>2215</v>
      </c>
      <c r="D4" s="78" t="s">
        <v>97</v>
      </c>
      <c r="E4" s="22" t="str">
        <f>IF(B4="","",IF(A4=0,"NO HAY ESE CODIGO",IF(COUNTIF(ASIGNACIONES!$B$3:$B948,B4)=1,"DOTACION ASIGNADA",IF(C4="VISITAS","DOTACION VISITA",IF(C4="MTTO","DOTACION MTTO",IF(C4="PLANTA EMERGENCIA","DOTACION RES DE EMERGENCIA",IF(C4="EXTERNOS","DOTACION DE EXTERNO","DOTACION DISPONIBLE")))))))</f>
        <v>DOTACION ASIGNADA</v>
      </c>
    </row>
    <row r="5" spans="1:5" ht="23.25">
      <c r="A5" s="85">
        <v>3</v>
      </c>
      <c r="B5" s="5" t="s">
        <v>431</v>
      </c>
      <c r="C5" s="3" t="s">
        <v>2215</v>
      </c>
      <c r="D5" s="78" t="s">
        <v>30</v>
      </c>
      <c r="E5" s="22" t="str">
        <f>IF(B5="","",IF(A5=0,"NO HAY ESE CODIGO",IF(COUNTIF(ASIGNACIONES!$B$3:$B948,B5)=1,"DOTACION ASIGNADA",IF(C5="VISITAS","DOTACION VISITA",IF(C5="MTTO","DOTACION MTTO",IF(C5="PLANTA EMERGENCIA","DOTACION RES DE EMERGENCIA",IF(C5="EXTERNOS","DOTACION DE EXTERNO","DOTACION DISPONIBLE")))))))</f>
        <v>DOTACION ASIGNADA</v>
      </c>
    </row>
    <row r="6" spans="1:5" ht="23.25">
      <c r="A6" s="85">
        <v>3</v>
      </c>
      <c r="B6" s="5" t="s">
        <v>200</v>
      </c>
      <c r="C6" s="3" t="s">
        <v>2215</v>
      </c>
      <c r="D6" s="78" t="s">
        <v>28</v>
      </c>
      <c r="E6" s="22" t="str">
        <f>IF(B6="","",IF(A6=0,"NO HAY ESE CODIGO",IF(COUNTIF(ASIGNACIONES!$B$3:$B948,B6)=1,"DOTACION ASIGNADA",IF(C6="VISITAS","DOTACION VISITA",IF(C6="MTTO","DOTACION MTTO",IF(C6="PLANTA EMERGENCIA","DOTACION RES DE EMERGENCIA",IF(C6="EXTERNOS","DOTACION DE EXTERNO","DOTACION DISPONIBLE")))))))</f>
        <v>DOTACION ASIGNADA</v>
      </c>
    </row>
    <row r="7" spans="1:5" ht="23.25">
      <c r="A7" s="85">
        <v>3</v>
      </c>
      <c r="B7" s="5" t="s">
        <v>260</v>
      </c>
      <c r="C7" s="3" t="s">
        <v>2215</v>
      </c>
      <c r="D7" s="78" t="s">
        <v>28</v>
      </c>
      <c r="E7" s="22" t="str">
        <f>IF(B7="","",IF(A7=0,"NO HAY ESE CODIGO",IF(COUNTIF(ASIGNACIONES!$B$3:$B948,B7)=1,"DOTACION ASIGNADA",IF(C7="VISITAS","DOTACION VISITA",IF(C7="MTTO","DOTACION MTTO",IF(C7="PLANTA EMERGENCIA","DOTACION RES DE EMERGENCIA",IF(C7="EXTERNOS","DOTACION DE EXTERNO","DOTACION DISPONIBLE")))))))</f>
        <v>DOTACION ASIGNADA</v>
      </c>
    </row>
    <row r="8" spans="1:5" ht="23.25">
      <c r="A8" s="85">
        <v>3</v>
      </c>
      <c r="B8" s="5" t="s">
        <v>178</v>
      </c>
      <c r="C8" s="3" t="s">
        <v>2215</v>
      </c>
      <c r="D8" s="78" t="s">
        <v>97</v>
      </c>
      <c r="E8" s="22" t="str">
        <f>IF(B8="","",IF(A8=0,"NO HAY ESE CODIGO",IF(COUNTIF(ASIGNACIONES!$B$3:$B948,B8)=1,"DOTACION ASIGNADA",IF(C8="VISITAS","DOTACION VISITA",IF(C8="MTTO","DOTACION MTTO",IF(C8="PLANTA EMERGENCIA","DOTACION RES DE EMERGENCIA",IF(C8="EXTERNOS","DOTACION DE EXTERNO","DOTACION DISPONIBLE")))))))</f>
        <v>DOTACION ASIGNADA</v>
      </c>
    </row>
    <row r="9" spans="1:5" ht="23.25">
      <c r="A9" s="85">
        <v>3</v>
      </c>
      <c r="B9" s="5" t="s">
        <v>392</v>
      </c>
      <c r="C9" s="3" t="s">
        <v>2215</v>
      </c>
      <c r="D9" s="78" t="s">
        <v>30</v>
      </c>
      <c r="E9" s="22" t="str">
        <f>IF(B9="","",IF(A9=0,"NO HAY ESE CODIGO",IF(COUNTIF(ASIGNACIONES!$B$3:$B948,B9)=1,"DOTACION ASIGNADA",IF(C9="VISITAS","DOTACION VISITA",IF(C9="MTTO","DOTACION MTTO",IF(C9="PLANTA EMERGENCIA","DOTACION RES DE EMERGENCIA",IF(C9="EXTERNOS","DOTACION DE EXTERNO","DOTACION DISPONIBLE")))))))</f>
        <v>DOTACION ASIGNADA</v>
      </c>
    </row>
    <row r="10" spans="1:5" ht="23.25">
      <c r="A10" s="85">
        <v>3</v>
      </c>
      <c r="B10" s="5" t="s">
        <v>270</v>
      </c>
      <c r="C10" s="3" t="s">
        <v>2215</v>
      </c>
      <c r="D10" s="78" t="s">
        <v>30</v>
      </c>
      <c r="E10" s="22" t="str">
        <f>IF(B10="","",IF(A10=0,"NO HAY ESE CODIGO",IF(COUNTIF(ASIGNACIONES!$B$3:$B948,B10)=1,"DOTACION ASIGNADA",IF(C10="VISITAS","DOTACION VISITA",IF(C10="MTTO","DOTACION MTTO",IF(C10="PLANTA EMERGENCIA","DOTACION RES DE EMERGENCIA",IF(C10="EXTERNOS","DOTACION DE EXTERNO","DOTACION DISPONIBLE")))))))</f>
        <v>DOTACION ASIGNADA</v>
      </c>
    </row>
    <row r="11" spans="1:5" ht="23.25">
      <c r="A11" s="85">
        <v>2</v>
      </c>
      <c r="B11" s="5" t="s">
        <v>1213</v>
      </c>
      <c r="C11" s="3" t="s">
        <v>2215</v>
      </c>
      <c r="D11" s="78" t="s">
        <v>28</v>
      </c>
      <c r="E11" s="22" t="str">
        <f>IF(B11="","",IF(A11=0,"NO HAY ESE CODIGO",IF(COUNTIF(ASIGNACIONES!$B$3:$B948,B11)=1,"DOTACION ASIGNADA",IF(C11="VISITAS","DOTACION VISITA",IF(C11="MTTO","DOTACION MTTO",IF(C11="PLANTA EMERGENCIA","DOTACION RES DE EMERGENCIA",IF(C11="EXTERNOS","DOTACION DE EXTERNO","DOTACION DISPONIBLE")))))))</f>
        <v>DOTACION DISPONIBLE</v>
      </c>
    </row>
    <row r="12" spans="1:5" ht="23.25">
      <c r="A12" s="85">
        <v>3</v>
      </c>
      <c r="B12" s="5" t="s">
        <v>1375</v>
      </c>
      <c r="C12" s="3" t="s">
        <v>2215</v>
      </c>
      <c r="D12" s="78" t="s">
        <v>97</v>
      </c>
      <c r="E12" s="22" t="str">
        <f>IF(B12="","",IF(A12=0,"NO HAY ESE CODIGO",IF(COUNTIF(ASIGNACIONES!$B$3:$B948,B12)=1,"DOTACION ASIGNADA",IF(C12="VISITAS","DOTACION VISITA",IF(C12="MTTO","DOTACION MTTO",IF(C12="PLANTA EMERGENCIA","DOTACION RES DE EMERGENCIA",IF(C12="EXTERNOS","DOTACION DE EXTERNO","DOTACION DISPONIBLE")))))))</f>
        <v>DOTACION ASIGNADA</v>
      </c>
    </row>
    <row r="13" spans="1:5" ht="23.25">
      <c r="A13" s="85">
        <v>3</v>
      </c>
      <c r="B13" s="5" t="s">
        <v>245</v>
      </c>
      <c r="C13" s="3" t="s">
        <v>2215</v>
      </c>
      <c r="D13" s="78" t="s">
        <v>28</v>
      </c>
      <c r="E13" s="22" t="str">
        <f>IF(B13="","",IF(A13=0,"NO HAY ESE CODIGO",IF(COUNTIF(ASIGNACIONES!$B$3:$B948,B13)=1,"DOTACION ASIGNADA",IF(C13="VISITAS","DOTACION VISITA",IF(C13="MTTO","DOTACION MTTO",IF(C13="PLANTA EMERGENCIA","DOTACION RES DE EMERGENCIA",IF(C13="EXTERNOS","DOTACION DE EXTERNO","DOTACION DISPONIBLE")))))))</f>
        <v>DOTACION ASIGNADA</v>
      </c>
    </row>
    <row r="14" spans="1:5" ht="23.25">
      <c r="A14" s="85">
        <v>3</v>
      </c>
      <c r="B14" s="5" t="s">
        <v>280</v>
      </c>
      <c r="C14" s="3" t="s">
        <v>2215</v>
      </c>
      <c r="D14" s="78" t="s">
        <v>30</v>
      </c>
      <c r="E14" s="22" t="str">
        <f>IF(B14="","",IF(A14=0,"NO HAY ESE CODIGO",IF(COUNTIF(ASIGNACIONES!$B$3:$B948,B14)=1,"DOTACION ASIGNADA",IF(C14="VISITAS","DOTACION VISITA",IF(C14="MTTO","DOTACION MTTO",IF(C14="PLANTA EMERGENCIA","DOTACION RES DE EMERGENCIA",IF(C14="EXTERNOS","DOTACION DE EXTERNO","DOTACION DISPONIBLE")))))))</f>
        <v>DOTACION ASIGNADA</v>
      </c>
    </row>
    <row r="15" spans="1:5" ht="23.25">
      <c r="A15" s="85">
        <v>3</v>
      </c>
      <c r="B15" s="5" t="s">
        <v>1157</v>
      </c>
      <c r="C15" s="3" t="s">
        <v>2215</v>
      </c>
      <c r="D15" s="78" t="s">
        <v>30</v>
      </c>
      <c r="E15" s="22" t="str">
        <f>IF(B15="","",IF(A15=0,"NO HAY ESE CODIGO",IF(COUNTIF(ASIGNACIONES!$B$3:$B948,B15)=1,"DOTACION ASIGNADA",IF(C15="VISITAS","DOTACION VISITA",IF(C15="MTTO","DOTACION MTTO",IF(C15="PLANTA EMERGENCIA","DOTACION RES DE EMERGENCIA",IF(C15="EXTERNOS","DOTACION DE EXTERNO","DOTACION DISPONIBLE")))))))</f>
        <v>DOTACION DISPONIBLE</v>
      </c>
    </row>
    <row r="16" spans="1:5" ht="23.25">
      <c r="A16" s="85">
        <v>3</v>
      </c>
      <c r="B16" s="5" t="s">
        <v>289</v>
      </c>
      <c r="C16" s="3" t="s">
        <v>2215</v>
      </c>
      <c r="D16" s="78" t="s">
        <v>28</v>
      </c>
      <c r="E16" s="22" t="str">
        <f>IF(B16="","",IF(A16=0,"NO HAY ESE CODIGO",IF(COUNTIF(ASIGNACIONES!$B$3:$B948,B16)=1,"DOTACION ASIGNADA",IF(C16="VISITAS","DOTACION VISITA",IF(C16="MTTO","DOTACION MTTO",IF(C16="PLANTA EMERGENCIA","DOTACION RES DE EMERGENCIA",IF(C16="EXTERNOS","DOTACION DE EXTERNO","DOTACION DISPONIBLE")))))))</f>
        <v>DOTACION ASIGNADA</v>
      </c>
    </row>
    <row r="17" spans="1:5" ht="23.25">
      <c r="A17" s="85">
        <v>3</v>
      </c>
      <c r="B17" s="5" t="s">
        <v>1543</v>
      </c>
      <c r="C17" s="3" t="s">
        <v>2215</v>
      </c>
      <c r="D17" s="78" t="s">
        <v>28</v>
      </c>
      <c r="E17" s="22" t="str">
        <f>IF(B17="","",IF(A17=0,"NO HAY ESE CODIGO",IF(COUNTIF(ASIGNACIONES!$B$3:$B948,B17)=1,"DOTACION ASIGNADA",IF(C17="VISITAS","DOTACION VISITA",IF(C17="MTTO","DOTACION MTTO",IF(C17="PLANTA EMERGENCIA","DOTACION RES DE EMERGENCIA",IF(C17="EXTERNOS","DOTACION DE EXTERNO","DOTACION DISPONIBLE")))))))</f>
        <v>DOTACION ASIGNADA</v>
      </c>
    </row>
    <row r="18" spans="1:5" ht="23.25">
      <c r="A18" s="85">
        <v>3</v>
      </c>
      <c r="B18" s="5" t="s">
        <v>93</v>
      </c>
      <c r="C18" s="3" t="s">
        <v>2215</v>
      </c>
      <c r="D18" s="78" t="s">
        <v>97</v>
      </c>
      <c r="E18" s="22" t="str">
        <f>IF(B18="","",IF(A18=0,"NO HAY ESE CODIGO",IF(COUNTIF(ASIGNACIONES!$B$3:$B948,B18)=1,"DOTACION ASIGNADA",IF(C18="VISITAS","DOTACION VISITA",IF(C18="MTTO","DOTACION MTTO",IF(C18="PLANTA EMERGENCIA","DOTACION RES DE EMERGENCIA",IF(C18="EXTERNOS","DOTACION DE EXTERNO","DOTACION DISPONIBLE")))))))</f>
        <v>DOTACION ASIGNADA</v>
      </c>
    </row>
    <row r="19" spans="1:5" ht="23.25">
      <c r="A19" s="85">
        <v>2</v>
      </c>
      <c r="B19" s="5" t="s">
        <v>471</v>
      </c>
      <c r="C19" s="3" t="s">
        <v>2215</v>
      </c>
      <c r="D19" s="78" t="s">
        <v>48</v>
      </c>
      <c r="E19" s="22" t="str">
        <f>IF(B19="","",IF(A19=0,"NO HAY ESE CODIGO",IF(COUNTIF(ASIGNACIONES!$B$3:$B948,B19)=1,"DOTACION ASIGNADA",IF(C19="VISITAS","DOTACION VISITA",IF(C19="MTTO","DOTACION MTTO",IF(C19="PLANTA EMERGENCIA","DOTACION RES DE EMERGENCIA",IF(C19="EXTERNOS","DOTACION DE EXTERNO","DOTACION DISPONIBLE")))))))</f>
        <v>DOTACION ASIGNADA</v>
      </c>
    </row>
    <row r="20" spans="1:5" ht="23.25">
      <c r="A20" s="85">
        <v>3</v>
      </c>
      <c r="B20" s="5" t="s">
        <v>118</v>
      </c>
      <c r="C20" s="3" t="s">
        <v>2215</v>
      </c>
      <c r="D20" s="78" t="s">
        <v>48</v>
      </c>
      <c r="E20" s="22" t="str">
        <f>IF(B20="","",IF(A20=0,"NO HAY ESE CODIGO",IF(COUNTIF(ASIGNACIONES!$B$3:$B948,B20)=1,"DOTACION ASIGNADA",IF(C20="VISITAS","DOTACION VISITA",IF(C20="MTTO","DOTACION MTTO",IF(C20="PLANTA EMERGENCIA","DOTACION RES DE EMERGENCIA",IF(C20="EXTERNOS","DOTACION DE EXTERNO","DOTACION DISPONIBLE")))))))</f>
        <v>DOTACION ASIGNADA</v>
      </c>
    </row>
    <row r="21" spans="1:5" ht="23.25">
      <c r="A21" s="85">
        <v>3</v>
      </c>
      <c r="B21" s="5" t="s">
        <v>24</v>
      </c>
      <c r="C21" s="3" t="s">
        <v>2215</v>
      </c>
      <c r="D21" s="78" t="s">
        <v>30</v>
      </c>
      <c r="E21" s="22" t="str">
        <f>IF(B21="","",IF(A21=0,"NO HAY ESE CODIGO",IF(COUNTIF(ASIGNACIONES!$B$3:$B948,B21)=1,"DOTACION ASIGNADA",IF(C21="VISITAS","DOTACION VISITA",IF(C21="MTTO","DOTACION MTTO",IF(C21="PLANTA EMERGENCIA","DOTACION RES DE EMERGENCIA",IF(C21="EXTERNOS","DOTACION DE EXTERNO","DOTACION DISPONIBLE")))))))</f>
        <v>DOTACION ASIGNADA</v>
      </c>
    </row>
    <row r="22" spans="1:5" ht="23.25">
      <c r="A22" s="85">
        <v>3</v>
      </c>
      <c r="B22" s="5" t="s">
        <v>2134</v>
      </c>
      <c r="C22" s="3" t="s">
        <v>2215</v>
      </c>
      <c r="D22" s="78" t="s">
        <v>716</v>
      </c>
      <c r="E22" s="22" t="str">
        <f>IF(B22="","",IF(A22=0,"NO HAY ESE CODIGO",IF(COUNTIF(ASIGNACIONES!$B$3:$B948,B22)=1,"DOTACION ASIGNADA",IF(C22="VISITAS","DOTACION VISITA",IF(C22="MTTO","DOTACION MTTO",IF(C22="PLANTA EMERGENCIA","DOTACION RES DE EMERGENCIA",IF(C22="EXTERNOS","DOTACION DE EXTERNO","DOTACION DISPONIBLE")))))))</f>
        <v>DOTACION ASIGNADA</v>
      </c>
    </row>
    <row r="23" spans="1:5" ht="23.25">
      <c r="A23" s="85">
        <v>3</v>
      </c>
      <c r="B23" s="5" t="s">
        <v>319</v>
      </c>
      <c r="C23" s="3" t="s">
        <v>2215</v>
      </c>
      <c r="D23" s="78" t="s">
        <v>97</v>
      </c>
      <c r="E23" s="22" t="str">
        <f>IF(B23="","",IF(A23=0,"NO HAY ESE CODIGO",IF(COUNTIF(ASIGNACIONES!$B$3:$B948,B23)=1,"DOTACION ASIGNADA",IF(C23="VISITAS","DOTACION VISITA",IF(C23="MTTO","DOTACION MTTO",IF(C23="PLANTA EMERGENCIA","DOTACION RES DE EMERGENCIA",IF(C23="EXTERNOS","DOTACION DE EXTERNO","DOTACION DISPONIBLE")))))))</f>
        <v>DOTACION ASIGNADA</v>
      </c>
    </row>
    <row r="24" spans="1:5" ht="23.25">
      <c r="A24" s="85">
        <v>3</v>
      </c>
      <c r="B24" s="5" t="s">
        <v>1820</v>
      </c>
      <c r="C24" s="3" t="s">
        <v>2215</v>
      </c>
      <c r="D24" s="78" t="s">
        <v>97</v>
      </c>
      <c r="E24" s="22" t="str">
        <f>IF(B24="","",IF(A24=0,"NO HAY ESE CODIGO",IF(COUNTIF(ASIGNACIONES!$B$3:$B948,B24)=1,"DOTACION ASIGNADA",IF(C24="VISITAS","DOTACION VISITA",IF(C24="MTTO","DOTACION MTTO",IF(C24="PLANTA EMERGENCIA","DOTACION RES DE EMERGENCIA",IF(C24="EXTERNOS","DOTACION DE EXTERNO","DOTACION DISPONIBLE")))))))</f>
        <v>DOTACION ASIGNADA</v>
      </c>
    </row>
    <row r="25" spans="1:5" ht="23.25">
      <c r="A25" s="85">
        <v>1</v>
      </c>
      <c r="B25" s="5" t="s">
        <v>593</v>
      </c>
      <c r="C25" s="3" t="s">
        <v>2215</v>
      </c>
      <c r="D25" s="78" t="s">
        <v>48</v>
      </c>
      <c r="E25" s="22" t="str">
        <f>IF(B25="","",IF(A25=0,"NO HAY ESE CODIGO",IF(COUNTIF(ASIGNACIONES!$B$3:$B948,B25)=1,"DOTACION ASIGNADA",IF(C25="VISITAS","DOTACION VISITA",IF(C25="MTTO","DOTACION MTTO",IF(C25="PLANTA EMERGENCIA","DOTACION RES DE EMERGENCIA",IF(C25="EXTERNOS","DOTACION DE EXTERNO","DOTACION DISPONIBLE")))))))</f>
        <v>DOTACION ASIGNADA</v>
      </c>
    </row>
    <row r="26" spans="1:5" ht="23.25">
      <c r="A26" s="85">
        <v>3</v>
      </c>
      <c r="B26" s="5" t="s">
        <v>329</v>
      </c>
      <c r="C26" s="3" t="s">
        <v>2215</v>
      </c>
      <c r="D26" s="78" t="s">
        <v>28</v>
      </c>
      <c r="E26" s="22" t="str">
        <f>IF(B26="","",IF(A26=0,"NO HAY ESE CODIGO",IF(COUNTIF(ASIGNACIONES!$B$3:$B948,B26)=1,"DOTACION ASIGNADA",IF(C26="VISITAS","DOTACION VISITA",IF(C26="MTTO","DOTACION MTTO",IF(C26="PLANTA EMERGENCIA","DOTACION RES DE EMERGENCIA",IF(C26="EXTERNOS","DOTACION DE EXTERNO","DOTACION DISPONIBLE")))))))</f>
        <v>DOTACION ASIGNADA</v>
      </c>
    </row>
    <row r="27" spans="1:5" ht="23.25">
      <c r="A27" s="85">
        <v>3</v>
      </c>
      <c r="B27" s="5" t="s">
        <v>1968</v>
      </c>
      <c r="C27" s="3" t="s">
        <v>2215</v>
      </c>
      <c r="D27" s="78" t="s">
        <v>30</v>
      </c>
      <c r="E27" s="22" t="str">
        <f>IF(B27="","",IF(A27=0,"NO HAY ESE CODIGO",IF(COUNTIF(ASIGNACIONES!$B$3:$B948,B27)=1,"DOTACION ASIGNADA",IF(C27="VISITAS","DOTACION VISITA",IF(C27="MTTO","DOTACION MTTO",IF(C27="PLANTA EMERGENCIA","DOTACION RES DE EMERGENCIA",IF(C27="EXTERNOS","DOTACION DE EXTERNO","DOTACION DISPONIBLE")))))))</f>
        <v>DOTACION DISPONIBLE</v>
      </c>
    </row>
    <row r="28" spans="1:5" ht="24" customHeight="1">
      <c r="A28" s="85">
        <v>3</v>
      </c>
      <c r="B28" s="5" t="s">
        <v>526</v>
      </c>
      <c r="C28" s="3" t="s">
        <v>2215</v>
      </c>
      <c r="D28" s="78" t="s">
        <v>30</v>
      </c>
      <c r="E28" s="22" t="str">
        <f>IF(B28="","",IF(A28=0,"NO HAY ESE CODIGO",IF(COUNTIF(ASIGNACIONES!$B$3:$B948,B28)=1,"DOTACION ASIGNADA",IF(C28="VISITAS","DOTACION VISITA",IF(C28="MTTO","DOTACION MTTO",IF(C28="PLANTA EMERGENCIA","DOTACION RES DE EMERGENCIA",IF(C28="EXTERNOS","DOTACION DE EXTERNO","DOTACION DISPONIBLE")))))))</f>
        <v>DOTACION ASIGNADA</v>
      </c>
    </row>
    <row r="29" spans="1:5" ht="23.25">
      <c r="A29" s="85">
        <v>3</v>
      </c>
      <c r="B29" s="5" t="s">
        <v>982</v>
      </c>
      <c r="C29" s="3" t="s">
        <v>2215</v>
      </c>
      <c r="D29" s="78" t="s">
        <v>28</v>
      </c>
      <c r="E29" s="22" t="str">
        <f>IF(B29="","",IF(A29=0,"NO HAY ESE CODIGO",IF(COUNTIF(ASIGNACIONES!$B$3:$B948,B29)=1,"DOTACION ASIGNADA",IF(C29="VISITAS","DOTACION VISITA",IF(C29="MTTO","DOTACION MTTO",IF(C29="PLANTA EMERGENCIA","DOTACION RES DE EMERGENCIA",IF(C29="EXTERNOS","DOTACION DE EXTERNO","DOTACION DISPONIBLE")))))))</f>
        <v>DOTACION ASIGNADA</v>
      </c>
    </row>
    <row r="30" spans="1:5" ht="23.25">
      <c r="A30" s="85">
        <v>3</v>
      </c>
      <c r="B30" s="5" t="s">
        <v>339</v>
      </c>
      <c r="C30" s="3" t="s">
        <v>2215</v>
      </c>
      <c r="D30" s="78" t="s">
        <v>97</v>
      </c>
      <c r="E30" s="22" t="str">
        <f>IF(B30="","",IF(A30=0,"NO HAY ESE CODIGO",IF(COUNTIF(ASIGNACIONES!$B$3:$B948,B30)=1,"DOTACION ASIGNADA",IF(C30="VISITAS","DOTACION VISITA",IF(C30="MTTO","DOTACION MTTO",IF(C30="PLANTA EMERGENCIA","DOTACION RES DE EMERGENCIA",IF(C30="EXTERNOS","DOTACION DE EXTERNO","DOTACION DISPONIBLE")))))))</f>
        <v>DOTACION ASIGNADA</v>
      </c>
    </row>
    <row r="31" spans="1:5" ht="23.25">
      <c r="A31" s="85">
        <v>3</v>
      </c>
      <c r="B31" s="5" t="s">
        <v>173</v>
      </c>
      <c r="C31" s="3" t="s">
        <v>2215</v>
      </c>
      <c r="D31" s="78" t="s">
        <v>97</v>
      </c>
      <c r="E31" s="22" t="str">
        <f>IF(B31="","",IF(A31=0,"NO HAY ESE CODIGO",IF(COUNTIF(ASIGNACIONES!$B$3:$B948,B31)=1,"DOTACION ASIGNADA",IF(C31="VISITAS","DOTACION VISITA",IF(C31="MTTO","DOTACION MTTO",IF(C31="PLANTA EMERGENCIA","DOTACION RES DE EMERGENCIA",IF(C31="EXTERNOS","DOTACION DE EXTERNO","DOTACION DISPONIBLE")))))))</f>
        <v>DOTACION ASIGNADA</v>
      </c>
    </row>
    <row r="32" spans="1:5" ht="23.25">
      <c r="A32" s="85">
        <v>3</v>
      </c>
      <c r="B32" s="5" t="s">
        <v>1475</v>
      </c>
      <c r="C32" s="3" t="s">
        <v>2215</v>
      </c>
      <c r="D32" s="78" t="s">
        <v>28</v>
      </c>
      <c r="E32" s="22" t="str">
        <f>IF(B32="","",IF(A32=0,"NO HAY ESE CODIGO",IF(COUNTIF(ASIGNACIONES!$B$3:$B948,B32)=1,"DOTACION ASIGNADA",IF(C32="VISITAS","DOTACION VISITA",IF(C32="MTTO","DOTACION MTTO",IF(C32="PLANTA EMERGENCIA","DOTACION RES DE EMERGENCIA",IF(C32="EXTERNOS","DOTACION DE EXTERNO","DOTACION DISPONIBLE")))))))</f>
        <v>DOTACION ASIGNADA</v>
      </c>
    </row>
    <row r="33" spans="1:5" ht="23.25">
      <c r="A33" s="85">
        <v>2</v>
      </c>
      <c r="B33" s="5" t="s">
        <v>1765</v>
      </c>
      <c r="C33" s="3" t="s">
        <v>2215</v>
      </c>
      <c r="D33" s="78" t="s">
        <v>30</v>
      </c>
      <c r="E33" s="22" t="str">
        <f>IF(B33="","",IF(A33=0,"NO HAY ESE CODIGO",IF(COUNTIF(ASIGNACIONES!$B$3:$B948,B33)=1,"DOTACION ASIGNADA",IF(C33="VISITAS","DOTACION VISITA",IF(C33="MTTO","DOTACION MTTO",IF(C33="PLANTA EMERGENCIA","DOTACION RES DE EMERGENCIA",IF(C33="EXTERNOS","DOTACION DE EXTERNO","DOTACION DISPONIBLE")))))))</f>
        <v>DOTACION ASIGNADA</v>
      </c>
    </row>
    <row r="34" spans="1:5" ht="23.25">
      <c r="A34" s="85">
        <v>3</v>
      </c>
      <c r="B34" s="5" t="s">
        <v>1721</v>
      </c>
      <c r="C34" s="3" t="s">
        <v>2215</v>
      </c>
      <c r="D34" s="78" t="s">
        <v>28</v>
      </c>
      <c r="E34" s="22" t="str">
        <f>IF(B34="","",IF(A34=0,"NO HAY ESE CODIGO",IF(COUNTIF(ASIGNACIONES!$B$3:$B948,B34)=1,"DOTACION ASIGNADA",IF(C34="VISITAS","DOTACION VISITA",IF(C34="MTTO","DOTACION MTTO",IF(C34="PLANTA EMERGENCIA","DOTACION RES DE EMERGENCIA",IF(C34="EXTERNOS","DOTACION DE EXTERNO","DOTACION DISPONIBLE")))))))</f>
        <v>DOTACION ASIGNADA</v>
      </c>
    </row>
    <row r="35" spans="1:5" ht="23.25">
      <c r="A35" s="85">
        <v>3</v>
      </c>
      <c r="B35" s="5" t="s">
        <v>1083</v>
      </c>
      <c r="C35" s="3" t="s">
        <v>2215</v>
      </c>
      <c r="D35" s="78" t="s">
        <v>48</v>
      </c>
      <c r="E35" s="22" t="str">
        <f>IF(B35="","",IF(A35=0,"NO HAY ESE CODIGO",IF(COUNTIF(ASIGNACIONES!$B$3:$B948,B35)=1,"DOTACION ASIGNADA",IF(C35="VISITAS","DOTACION VISITA",IF(C35="MTTO","DOTACION MTTO",IF(C35="PLANTA EMERGENCIA","DOTACION RES DE EMERGENCIA",IF(C35="EXTERNOS","DOTACION DE EXTERNO","DOTACION DISPONIBLE")))))))</f>
        <v>DOTACION ASIGNADA</v>
      </c>
    </row>
    <row r="36" spans="1:5" ht="23.25">
      <c r="A36" s="85">
        <v>3</v>
      </c>
      <c r="B36" s="5" t="s">
        <v>2032</v>
      </c>
      <c r="C36" s="3" t="s">
        <v>2215</v>
      </c>
      <c r="D36" s="78" t="s">
        <v>28</v>
      </c>
      <c r="E36" s="22" t="str">
        <f>IF(B36="","",IF(A36=0,"NO HAY ESE CODIGO",IF(COUNTIF(ASIGNACIONES!$B$3:$B948,B36)=1,"DOTACION ASIGNADA",IF(C36="VISITAS","DOTACION VISITA",IF(C36="MTTO","DOTACION MTTO",IF(C36="PLANTA EMERGENCIA","DOTACION RES DE EMERGENCIA",IF(C36="EXTERNOS","DOTACION DE EXTERNO","DOTACION DISPONIBLE")))))))</f>
        <v>DOTACION ASIGNADA</v>
      </c>
    </row>
    <row r="37" spans="1:5" ht="23.25">
      <c r="A37" s="85">
        <v>3</v>
      </c>
      <c r="B37" s="5" t="s">
        <v>426</v>
      </c>
      <c r="C37" s="3" t="s">
        <v>2215</v>
      </c>
      <c r="D37" s="78" t="s">
        <v>28</v>
      </c>
      <c r="E37" s="22" t="str">
        <f>IF(B37="","",IF(A37=0,"NO HAY ESE CODIGO",IF(COUNTIF(ASIGNACIONES!$B$3:$B948,B37)=1,"DOTACION ASIGNADA",IF(C37="VISITAS","DOTACION VISITA",IF(C37="MTTO","DOTACION MTTO",IF(C37="PLANTA EMERGENCIA","DOTACION RES DE EMERGENCIA",IF(C37="EXTERNOS","DOTACION DE EXTERNO","DOTACION DISPONIBLE")))))))</f>
        <v>DOTACION ASIGNADA</v>
      </c>
    </row>
    <row r="38" spans="1:5" ht="23.25">
      <c r="A38" s="85">
        <v>3</v>
      </c>
      <c r="B38" s="5" t="s">
        <v>734</v>
      </c>
      <c r="C38" s="3" t="s">
        <v>2215</v>
      </c>
      <c r="D38" s="78" t="s">
        <v>28</v>
      </c>
      <c r="E38" s="22" t="str">
        <f>IF(B38="","",IF(A38=0,"NO HAY ESE CODIGO",IF(COUNTIF(ASIGNACIONES!$B$3:$B948,B38)=1,"DOTACION ASIGNADA",IF(C38="VISITAS","DOTACION VISITA",IF(C38="MTTO","DOTACION MTTO",IF(C38="PLANTA EMERGENCIA","DOTACION RES DE EMERGENCIA",IF(C38="EXTERNOS","DOTACION DE EXTERNO","DOTACION DISPONIBLE")))))))</f>
        <v>DOTACION ASIGNADA</v>
      </c>
    </row>
    <row r="39" spans="1:5" ht="23.25">
      <c r="A39" s="85">
        <v>3</v>
      </c>
      <c r="B39" s="5" t="s">
        <v>353</v>
      </c>
      <c r="C39" s="3" t="s">
        <v>2215</v>
      </c>
      <c r="D39" s="78" t="s">
        <v>30</v>
      </c>
      <c r="E39" s="22" t="str">
        <f>IF(B39="","",IF(A39=0,"NO HAY ESE CODIGO",IF(COUNTIF(ASIGNACIONES!$B$3:$B948,B39)=1,"DOTACION ASIGNADA",IF(C39="VISITAS","DOTACION VISITA",IF(C39="MTTO","DOTACION MTTO",IF(C39="PLANTA EMERGENCIA","DOTACION RES DE EMERGENCIA",IF(C39="EXTERNOS","DOTACION DE EXTERNO","DOTACION DISPONIBLE")))))))</f>
        <v>DOTACION ASIGNADA</v>
      </c>
    </row>
    <row r="40" spans="1:5" ht="23.25">
      <c r="A40" s="85">
        <v>3</v>
      </c>
      <c r="B40" s="5" t="s">
        <v>1647</v>
      </c>
      <c r="C40" s="3" t="s">
        <v>2215</v>
      </c>
      <c r="D40" s="78" t="s">
        <v>28</v>
      </c>
      <c r="E40" s="22" t="str">
        <f>IF(B40="","",IF(A40=0,"NO HAY ESE CODIGO",IF(COUNTIF(ASIGNACIONES!$B$3:$B948,B40)=1,"DOTACION ASIGNADA",IF(C40="VISITAS","DOTACION VISITA",IF(C40="MTTO","DOTACION MTTO",IF(C40="PLANTA EMERGENCIA","DOTACION RES DE EMERGENCIA",IF(C40="EXTERNOS","DOTACION DE EXTERNO","DOTACION DISPONIBLE")))))))</f>
        <v>DOTACION DISPONIBLE</v>
      </c>
    </row>
    <row r="41" spans="1:5" ht="23.25">
      <c r="A41" s="85">
        <v>3</v>
      </c>
      <c r="B41" s="5" t="s">
        <v>2161</v>
      </c>
      <c r="C41" s="3" t="s">
        <v>2215</v>
      </c>
      <c r="D41" s="78" t="s">
        <v>48</v>
      </c>
      <c r="E41" s="22" t="str">
        <f>IF(B41="","",IF(A41=0,"NO HAY ESE CODIGO",IF(COUNTIF(ASIGNACIONES!$B$3:$B948,B41)=1,"DOTACION ASIGNADA",IF(C41="VISITAS","DOTACION VISITA",IF(C41="MTTO","DOTACION MTTO",IF(C41="PLANTA EMERGENCIA","DOTACION RES DE EMERGENCIA",IF(C41="EXTERNOS","DOTACION DE EXTERNO","DOTACION DISPONIBLE")))))))</f>
        <v>DOTACION DISPONIBLE</v>
      </c>
    </row>
    <row r="42" spans="1:5" ht="23.25">
      <c r="A42" s="85">
        <v>3</v>
      </c>
      <c r="B42" s="5" t="s">
        <v>1463</v>
      </c>
      <c r="C42" s="3" t="s">
        <v>2215</v>
      </c>
      <c r="D42" s="78" t="s">
        <v>28</v>
      </c>
      <c r="E42" s="22" t="str">
        <f>IF(B42="","",IF(A42=0,"NO HAY ESE CODIGO",IF(COUNTIF(ASIGNACIONES!$B$3:$B948,B42)=1,"DOTACION ASIGNADA",IF(C42="VISITAS","DOTACION VISITA",IF(C42="MTTO","DOTACION MTTO",IF(C42="PLANTA EMERGENCIA","DOTACION RES DE EMERGENCIA",IF(C42="EXTERNOS","DOTACION DE EXTERNO","DOTACION DISPONIBLE")))))))</f>
        <v>DOTACION DISPONIBLE</v>
      </c>
    </row>
    <row r="43" spans="1:5" ht="23.25">
      <c r="A43" s="85">
        <v>3</v>
      </c>
      <c r="B43" s="5" t="s">
        <v>1788</v>
      </c>
      <c r="C43" s="3" t="s">
        <v>2215</v>
      </c>
      <c r="D43" s="78" t="s">
        <v>28</v>
      </c>
      <c r="E43" s="22" t="str">
        <f>IF(B43="","",IF(A43=0,"NO HAY ESE CODIGO",IF(COUNTIF(ASIGNACIONES!$B$3:$B948,B43)=1,"DOTACION ASIGNADA",IF(C43="VISITAS","DOTACION VISITA",IF(C43="MTTO","DOTACION MTTO",IF(C43="PLANTA EMERGENCIA","DOTACION RES DE EMERGENCIA",IF(C43="EXTERNOS","DOTACION DE EXTERNO","DOTACION DISPONIBLE")))))))</f>
        <v>DOTACION ASIGNADA</v>
      </c>
    </row>
    <row r="44" spans="1:5" ht="23.25">
      <c r="A44" s="85">
        <v>3</v>
      </c>
      <c r="B44" s="5" t="s">
        <v>847</v>
      </c>
      <c r="C44" s="3" t="s">
        <v>2215</v>
      </c>
      <c r="D44" s="78" t="s">
        <v>30</v>
      </c>
      <c r="E44" s="22" t="str">
        <f>IF(B44="","",IF(A44=0,"NO HAY ESE CODIGO",IF(COUNTIF(ASIGNACIONES!$B$3:$B948,B44)=1,"DOTACION ASIGNADA",IF(C44="VISITAS","DOTACION VISITA",IF(C44="MTTO","DOTACION MTTO",IF(C44="PLANTA EMERGENCIA","DOTACION RES DE EMERGENCIA",IF(C44="EXTERNOS","DOTACION DE EXTERNO","DOTACION DISPONIBLE")))))))</f>
        <v>DOTACION DISPONIBLE</v>
      </c>
    </row>
    <row r="45" spans="1:5" ht="23.25">
      <c r="A45" s="85">
        <v>3</v>
      </c>
      <c r="B45" s="5" t="s">
        <v>368</v>
      </c>
      <c r="C45" s="3" t="s">
        <v>2215</v>
      </c>
      <c r="D45" s="78" t="s">
        <v>28</v>
      </c>
      <c r="E45" s="22" t="str">
        <f>IF(B45="","",IF(A45=0,"NO HAY ESE CODIGO",IF(COUNTIF(ASIGNACIONES!$B$3:$B948,B45)=1,"DOTACION ASIGNADA",IF(C45="VISITAS","DOTACION VISITA",IF(C45="MTTO","DOTACION MTTO",IF(C45="PLANTA EMERGENCIA","DOTACION RES DE EMERGENCIA",IF(C45="EXTERNOS","DOTACION DE EXTERNO","DOTACION DISPONIBLE")))))))</f>
        <v>DOTACION ASIGNADA</v>
      </c>
    </row>
    <row r="46" spans="1:5" ht="23.25">
      <c r="A46" s="85">
        <v>3</v>
      </c>
      <c r="B46" s="5" t="s">
        <v>1897</v>
      </c>
      <c r="C46" s="3" t="s">
        <v>2215</v>
      </c>
      <c r="D46" s="78" t="s">
        <v>97</v>
      </c>
      <c r="E46" s="22" t="str">
        <f>IF(B46="","",IF(A46=0,"NO HAY ESE CODIGO",IF(COUNTIF(ASIGNACIONES!$B$3:$B948,B46)=1,"DOTACION ASIGNADA",IF(C46="VISITAS","DOTACION VISITA",IF(C46="MTTO","DOTACION MTTO",IF(C46="PLANTA EMERGENCIA","DOTACION RES DE EMERGENCIA",IF(C46="EXTERNOS","DOTACION DE EXTERNO","DOTACION DISPONIBLE")))))))</f>
        <v>DOTACION ASIGNADA</v>
      </c>
    </row>
    <row r="47" spans="1:5" ht="23.25">
      <c r="A47" s="85">
        <v>3</v>
      </c>
      <c r="B47" s="5" t="s">
        <v>1172</v>
      </c>
      <c r="C47" s="3" t="s">
        <v>2215</v>
      </c>
      <c r="D47" s="78" t="s">
        <v>97</v>
      </c>
      <c r="E47" s="22" t="str">
        <f>IF(B47="","",IF(A47=0,"NO HAY ESE CODIGO",IF(COUNTIF(ASIGNACIONES!$B$3:$B948,B47)=1,"DOTACION ASIGNADA",IF(C47="VISITAS","DOTACION VISITA",IF(C47="MTTO","DOTACION MTTO",IF(C47="PLANTA EMERGENCIA","DOTACION RES DE EMERGENCIA",IF(C47="EXTERNOS","DOTACION DE EXTERNO","DOTACION DISPONIBLE")))))))</f>
        <v>DOTACION ASIGNADA</v>
      </c>
    </row>
    <row r="48" spans="1:5" ht="23.25">
      <c r="A48" s="85">
        <v>3</v>
      </c>
      <c r="B48" s="5" t="s">
        <v>381</v>
      </c>
      <c r="C48" s="3" t="s">
        <v>2215</v>
      </c>
      <c r="D48" s="78" t="s">
        <v>28</v>
      </c>
      <c r="E48" s="22" t="str">
        <f>IF(B48="","",IF(A48=0,"NO HAY ESE CODIGO",IF(COUNTIF(ASIGNACIONES!$B$3:$B948,B48)=1,"DOTACION ASIGNADA",IF(C48="VISITAS","DOTACION VISITA",IF(C48="MTTO","DOTACION MTTO",IF(C48="PLANTA EMERGENCIA","DOTACION RES DE EMERGENCIA",IF(C48="EXTERNOS","DOTACION DE EXTERNO","DOTACION DISPONIBLE")))))))</f>
        <v>DOTACION ASIGNADA</v>
      </c>
    </row>
    <row r="49" spans="1:5" ht="23.25">
      <c r="A49" s="85">
        <v>3</v>
      </c>
      <c r="B49" s="5" t="s">
        <v>1178</v>
      </c>
      <c r="C49" s="3" t="s">
        <v>2215</v>
      </c>
      <c r="D49" s="78" t="s">
        <v>28</v>
      </c>
      <c r="E49" s="22" t="str">
        <f>IF(B49="","",IF(A49=0,"NO HAY ESE CODIGO",IF(COUNTIF(ASIGNACIONES!$B$3:$B948,B49)=1,"DOTACION ASIGNADA",IF(C49="VISITAS","DOTACION VISITA",IF(C49="MTTO","DOTACION MTTO",IF(C49="PLANTA EMERGENCIA","DOTACION RES DE EMERGENCIA",IF(C49="EXTERNOS","DOTACION DE EXTERNO","DOTACION DISPONIBLE")))))))</f>
        <v>DOTACION ASIGNADA</v>
      </c>
    </row>
    <row r="50" spans="1:5" ht="23.25">
      <c r="A50" s="85">
        <v>3</v>
      </c>
      <c r="B50" s="5" t="s">
        <v>411</v>
      </c>
      <c r="C50" s="3" t="s">
        <v>2215</v>
      </c>
      <c r="D50" s="78" t="s">
        <v>30</v>
      </c>
      <c r="E50" s="22" t="str">
        <f>IF(B50="","",IF(A50=0,"NO HAY ESE CODIGO",IF(COUNTIF(ASIGNACIONES!$B$3:$B948,B50)=1,"DOTACION ASIGNADA",IF(C50="VISITAS","DOTACION VISITA",IF(C50="MTTO","DOTACION MTTO",IF(C50="PLANTA EMERGENCIA","DOTACION RES DE EMERGENCIA",IF(C50="EXTERNOS","DOTACION DE EXTERNO","DOTACION DISPONIBLE")))))))</f>
        <v>DOTACION ASIGNADA</v>
      </c>
    </row>
    <row r="51" spans="1:5" ht="23.25">
      <c r="A51" s="85">
        <v>3</v>
      </c>
      <c r="B51" s="5" t="s">
        <v>2089</v>
      </c>
      <c r="C51" s="3" t="s">
        <v>2215</v>
      </c>
      <c r="D51" s="78" t="s">
        <v>97</v>
      </c>
      <c r="E51" s="22" t="str">
        <f>IF(B51="","",IF(A51=0,"NO HAY ESE CODIGO",IF(COUNTIF(ASIGNACIONES!$B$3:$B948,B51)=1,"DOTACION ASIGNADA",IF(C51="VISITAS","DOTACION VISITA",IF(C51="MTTO","DOTACION MTTO",IF(C51="PLANTA EMERGENCIA","DOTACION RES DE EMERGENCIA",IF(C51="EXTERNOS","DOTACION DE EXTERNO","DOTACION DISPONIBLE")))))))</f>
        <v>DOTACION ASIGNADA</v>
      </c>
    </row>
    <row r="52" spans="1:5" ht="23.25">
      <c r="A52" s="85">
        <v>3</v>
      </c>
      <c r="B52" s="5" t="s">
        <v>414</v>
      </c>
      <c r="C52" s="3" t="s">
        <v>2215</v>
      </c>
      <c r="D52" s="78" t="s">
        <v>28</v>
      </c>
      <c r="E52" s="22" t="str">
        <f>IF(B52="","",IF(A52=0,"NO HAY ESE CODIGO",IF(COUNTIF(ASIGNACIONES!$B$3:$B948,B52)=1,"DOTACION ASIGNADA",IF(C52="VISITAS","DOTACION VISITA",IF(C52="MTTO","DOTACION MTTO",IF(C52="PLANTA EMERGENCIA","DOTACION RES DE EMERGENCIA",IF(C52="EXTERNOS","DOTACION DE EXTERNO","DOTACION DISPONIBLE")))))))</f>
        <v>DOTACION ASIGNADA</v>
      </c>
    </row>
    <row r="53" spans="1:5" ht="23.25">
      <c r="A53" s="85">
        <v>3</v>
      </c>
      <c r="B53" s="5" t="s">
        <v>278</v>
      </c>
      <c r="C53" s="3" t="s">
        <v>2215</v>
      </c>
      <c r="D53" s="78" t="s">
        <v>30</v>
      </c>
      <c r="E53" s="22" t="str">
        <f>IF(B53="","",IF(A53=0,"NO HAY ESE CODIGO",IF(COUNTIF(ASIGNACIONES!$B$3:$B948,B53)=1,"DOTACION ASIGNADA",IF(C53="VISITAS","DOTACION VISITA",IF(C53="MTTO","DOTACION MTTO",IF(C53="PLANTA EMERGENCIA","DOTACION RES DE EMERGENCIA",IF(C53="EXTERNOS","DOTACION DE EXTERNO","DOTACION DISPONIBLE")))))))</f>
        <v>DOTACION DISPONIBLE</v>
      </c>
    </row>
    <row r="54" spans="1:5" ht="23.25">
      <c r="A54" s="85">
        <v>3</v>
      </c>
      <c r="B54" s="5" t="s">
        <v>541</v>
      </c>
      <c r="C54" s="3" t="s">
        <v>2215</v>
      </c>
      <c r="D54" s="78" t="s">
        <v>30</v>
      </c>
      <c r="E54" s="22" t="str">
        <f>IF(B54="","",IF(A54=0,"NO HAY ESE CODIGO",IF(COUNTIF(ASIGNACIONES!$B$3:$B948,B54)=1,"DOTACION ASIGNADA",IF(C54="VISITAS","DOTACION VISITA",IF(C54="MTTO","DOTACION MTTO",IF(C54="PLANTA EMERGENCIA","DOTACION RES DE EMERGENCIA",IF(C54="EXTERNOS","DOTACION DE EXTERNO","DOTACION DISPONIBLE")))))))</f>
        <v>DOTACION ASIGNADA</v>
      </c>
    </row>
    <row r="55" spans="1:5" ht="23.25">
      <c r="A55" s="85">
        <v>3</v>
      </c>
      <c r="B55" s="5" t="s">
        <v>435</v>
      </c>
      <c r="C55" s="3" t="s">
        <v>2215</v>
      </c>
      <c r="D55" s="78" t="s">
        <v>48</v>
      </c>
      <c r="E55" s="22" t="str">
        <f>IF(B55="","",IF(A55=0,"NO HAY ESE CODIGO",IF(COUNTIF(ASIGNACIONES!$B$3:$B948,B55)=1,"DOTACION ASIGNADA",IF(C55="VISITAS","DOTACION VISITA",IF(C55="MTTO","DOTACION MTTO",IF(C55="PLANTA EMERGENCIA","DOTACION RES DE EMERGENCIA",IF(C55="EXTERNOS","DOTACION DE EXTERNO","DOTACION DISPONIBLE")))))))</f>
        <v>DOTACION ASIGNADA</v>
      </c>
    </row>
    <row r="56" spans="1:5" ht="23.25">
      <c r="A56" s="85">
        <v>3</v>
      </c>
      <c r="B56" s="5" t="s">
        <v>448</v>
      </c>
      <c r="C56" s="3" t="s">
        <v>2215</v>
      </c>
      <c r="D56" s="78" t="s">
        <v>30</v>
      </c>
      <c r="E56" s="22" t="str">
        <f>IF(B56="","",IF(A56=0,"NO HAY ESE CODIGO",IF(COUNTIF(ASIGNACIONES!$B$3:$B948,B56)=1,"DOTACION ASIGNADA",IF(C56="VISITAS","DOTACION VISITA",IF(C56="MTTO","DOTACION MTTO",IF(C56="PLANTA EMERGENCIA","DOTACION RES DE EMERGENCIA",IF(C56="EXTERNOS","DOTACION DE EXTERNO","DOTACION DISPONIBLE")))))))</f>
        <v>DOTACION ASIGNADA</v>
      </c>
    </row>
    <row r="57" spans="1:5" ht="23.25">
      <c r="A57" s="85">
        <v>3</v>
      </c>
      <c r="B57" s="5" t="s">
        <v>464</v>
      </c>
      <c r="C57" s="3" t="s">
        <v>2215</v>
      </c>
      <c r="D57" s="78" t="s">
        <v>30</v>
      </c>
      <c r="E57" s="22" t="str">
        <f>IF(B57="","",IF(A57=0,"NO HAY ESE CODIGO",IF(COUNTIF(ASIGNACIONES!$B$3:$B948,B57)=1,"DOTACION ASIGNADA",IF(C57="VISITAS","DOTACION VISITA",IF(C57="MTTO","DOTACION MTTO",IF(C57="PLANTA EMERGENCIA","DOTACION RES DE EMERGENCIA",IF(C57="EXTERNOS","DOTACION DE EXTERNO","DOTACION DISPONIBLE")))))))</f>
        <v>DOTACION ASIGNADA</v>
      </c>
    </row>
    <row r="58" spans="1:5" ht="23.25">
      <c r="A58" s="85">
        <v>3</v>
      </c>
      <c r="B58" s="5" t="s">
        <v>1304</v>
      </c>
      <c r="C58" s="3" t="s">
        <v>2215</v>
      </c>
      <c r="D58" s="78" t="s">
        <v>28</v>
      </c>
      <c r="E58" s="22" t="str">
        <f>IF(B58="","",IF(A58=0,"NO HAY ESE CODIGO",IF(COUNTIF(ASIGNACIONES!$B$3:$B948,B58)=1,"DOTACION ASIGNADA",IF(C58="VISITAS","DOTACION VISITA",IF(C58="MTTO","DOTACION MTTO",IF(C58="PLANTA EMERGENCIA","DOTACION RES DE EMERGENCIA",IF(C58="EXTERNOS","DOTACION DE EXTERNO","DOTACION DISPONIBLE")))))))</f>
        <v>DOTACION ASIGNADA</v>
      </c>
    </row>
    <row r="59" spans="1:5" ht="23.25">
      <c r="A59" s="85">
        <v>3</v>
      </c>
      <c r="B59" s="5" t="s">
        <v>458</v>
      </c>
      <c r="C59" s="3" t="s">
        <v>2215</v>
      </c>
      <c r="D59" s="78" t="s">
        <v>28</v>
      </c>
      <c r="E59" s="22" t="str">
        <f>IF(B59="","",IF(A59=0,"NO HAY ESE CODIGO",IF(COUNTIF(ASIGNACIONES!$B$3:$B948,B59)=1,"DOTACION ASIGNADA",IF(C59="VISITAS","DOTACION VISITA",IF(C59="MTTO","DOTACION MTTO",IF(C59="PLANTA EMERGENCIA","DOTACION RES DE EMERGENCIA",IF(C59="EXTERNOS","DOTACION DE EXTERNO","DOTACION DISPONIBLE")))))))</f>
        <v>DOTACION ASIGNADA</v>
      </c>
    </row>
    <row r="60" spans="1:5" ht="23.25">
      <c r="A60" s="85">
        <v>3</v>
      </c>
      <c r="B60" s="5" t="s">
        <v>492</v>
      </c>
      <c r="C60" s="3" t="s">
        <v>2215</v>
      </c>
      <c r="D60" s="78" t="s">
        <v>28</v>
      </c>
      <c r="E60" s="22" t="str">
        <f>IF(B60="","",IF(A60=0,"NO HAY ESE CODIGO",IF(COUNTIF(ASIGNACIONES!$B$3:$B948,B60)=1,"DOTACION ASIGNADA",IF(C60="VISITAS","DOTACION VISITA",IF(C60="MTTO","DOTACION MTTO",IF(C60="PLANTA EMERGENCIA","DOTACION RES DE EMERGENCIA",IF(C60="EXTERNOS","DOTACION DE EXTERNO","DOTACION DISPONIBLE")))))))</f>
        <v>DOTACION ASIGNADA</v>
      </c>
    </row>
    <row r="61" spans="1:5" ht="23.25">
      <c r="A61" s="85">
        <v>3</v>
      </c>
      <c r="B61" s="5" t="s">
        <v>510</v>
      </c>
      <c r="C61" s="3" t="s">
        <v>2215</v>
      </c>
      <c r="D61" s="78" t="s">
        <v>30</v>
      </c>
      <c r="E61" s="22" t="str">
        <f>IF(B61="","",IF(A61=0,"NO HAY ESE CODIGO",IF(COUNTIF(ASIGNACIONES!$B$3:$B948,B61)=1,"DOTACION ASIGNADA",IF(C61="VISITAS","DOTACION VISITA",IF(C61="MTTO","DOTACION MTTO",IF(C61="PLANTA EMERGENCIA","DOTACION RES DE EMERGENCIA",IF(C61="EXTERNOS","DOTACION DE EXTERNO","DOTACION DISPONIBLE")))))))</f>
        <v>DOTACION ASIGNADA</v>
      </c>
    </row>
    <row r="62" spans="1:5" ht="23.25">
      <c r="A62" s="85">
        <v>3</v>
      </c>
      <c r="B62" s="5" t="s">
        <v>146</v>
      </c>
      <c r="C62" s="3" t="s">
        <v>2215</v>
      </c>
      <c r="D62" s="78" t="s">
        <v>28</v>
      </c>
      <c r="E62" s="22" t="str">
        <f>IF(B62="","",IF(A62=0,"NO HAY ESE CODIGO",IF(COUNTIF(ASIGNACIONES!$B$3:$B948,B62)=1,"DOTACION ASIGNADA",IF(C62="VISITAS","DOTACION VISITA",IF(C62="MTTO","DOTACION MTTO",IF(C62="PLANTA EMERGENCIA","DOTACION RES DE EMERGENCIA",IF(C62="EXTERNOS","DOTACION DE EXTERNO","DOTACION DISPONIBLE")))))))</f>
        <v>DOTACION ASIGNADA</v>
      </c>
    </row>
    <row r="63" spans="1:5" ht="23.25">
      <c r="A63" s="85">
        <v>3</v>
      </c>
      <c r="B63" s="5" t="s">
        <v>1146</v>
      </c>
      <c r="C63" s="3" t="s">
        <v>2215</v>
      </c>
      <c r="D63" s="78" t="s">
        <v>1148</v>
      </c>
      <c r="E63" s="22" t="str">
        <f>IF(B63="","",IF(A63=0,"NO HAY ESE CODIGO",IF(COUNTIF(ASIGNACIONES!$B$3:$B948,B63)=1,"DOTACION ASIGNADA",IF(C63="VISITAS","DOTACION VISITA",IF(C63="MTTO","DOTACION MTTO",IF(C63="PLANTA EMERGENCIA","DOTACION RES DE EMERGENCIA",IF(C63="EXTERNOS","DOTACION DE EXTERNO","DOTACION DISPONIBLE")))))))</f>
        <v>DOTACION ASIGNADA</v>
      </c>
    </row>
    <row r="64" spans="1:5" ht="23.25">
      <c r="A64" s="85">
        <v>3</v>
      </c>
      <c r="B64" s="42" t="s">
        <v>215</v>
      </c>
      <c r="C64" s="3" t="s">
        <v>2215</v>
      </c>
      <c r="D64" s="78" t="s">
        <v>28</v>
      </c>
      <c r="E64" s="22" t="str">
        <f>IF(B64="","",IF(A64=0,"NO HAY ESE CODIGO",IF(COUNTIF(ASIGNACIONES!$B$3:$B948,B64)=1,"DOTACION ASIGNADA",IF(C64="VISITAS","DOTACION VISITA",IF(C64="MTTO","DOTACION MTTO",IF(C64="PLANTA EMERGENCIA","DOTACION RES DE EMERGENCIA",IF(C64="EXTERNOS","DOTACION DE EXTERNO","DOTACION DISPONIBLE")))))))</f>
        <v>DOTACION DISPONIBLE</v>
      </c>
    </row>
    <row r="65" spans="1:5" ht="23.25">
      <c r="A65" s="85">
        <v>2</v>
      </c>
      <c r="B65" s="5" t="s">
        <v>82</v>
      </c>
      <c r="C65" s="3" t="s">
        <v>2215</v>
      </c>
      <c r="D65" s="78" t="s">
        <v>716</v>
      </c>
      <c r="E65" s="22" t="str">
        <f>IF(B65="","",IF(A65=0,"NO HAY ESE CODIGO",IF(COUNTIF(ASIGNACIONES!$B$3:$B948,B65)=1,"DOTACION ASIGNADA",IF(C65="VISITAS","DOTACION VISITA",IF(C65="MTTO","DOTACION MTTO",IF(C65="PLANTA EMERGENCIA","DOTACION RES DE EMERGENCIA",IF(C65="EXTERNOS","DOTACION DE EXTERNO","DOTACION DISPONIBLE")))))))</f>
        <v>DOTACION ASIGNADA</v>
      </c>
    </row>
    <row r="66" spans="1:5" ht="23.25">
      <c r="A66" s="85">
        <v>3</v>
      </c>
      <c r="B66" s="5" t="s">
        <v>522</v>
      </c>
      <c r="C66" s="3" t="s">
        <v>2215</v>
      </c>
      <c r="D66" s="78" t="s">
        <v>30</v>
      </c>
      <c r="E66" s="22" t="str">
        <f>IF(B66="","",IF(A66=0,"NO HAY ESE CODIGO",IF(COUNTIF(ASIGNACIONES!$B$3:$B948,B66)=1,"DOTACION ASIGNADA",IF(C66="VISITAS","DOTACION VISITA",IF(C66="MTTO","DOTACION MTTO",IF(C66="PLANTA EMERGENCIA","DOTACION RES DE EMERGENCIA",IF(C66="EXTERNOS","DOTACION DE EXTERNO","DOTACION DISPONIBLE")))))))</f>
        <v>DOTACION ASIGNADA</v>
      </c>
    </row>
    <row r="67" spans="1:5" ht="23.25">
      <c r="A67" s="85">
        <v>3</v>
      </c>
      <c r="B67" s="5" t="s">
        <v>535</v>
      </c>
      <c r="C67" s="3" t="s">
        <v>2215</v>
      </c>
      <c r="D67" s="78" t="s">
        <v>30</v>
      </c>
      <c r="E67" s="22" t="str">
        <f>IF(B67="","",IF(A67=0,"NO HAY ESE CODIGO",IF(COUNTIF(ASIGNACIONES!$B$3:$B948,B67)=1,"DOTACION ASIGNADA",IF(C67="VISITAS","DOTACION VISITA",IF(C67="MTTO","DOTACION MTTO",IF(C67="PLANTA EMERGENCIA","DOTACION RES DE EMERGENCIA",IF(C67="EXTERNOS","DOTACION DE EXTERNO","DOTACION DISPONIBLE")))))))</f>
        <v>DOTACION ASIGNADA</v>
      </c>
    </row>
    <row r="68" spans="1:5" ht="23.25">
      <c r="A68" s="85">
        <v>3</v>
      </c>
      <c r="B68" s="5" t="s">
        <v>58</v>
      </c>
      <c r="C68" s="3" t="s">
        <v>2215</v>
      </c>
      <c r="D68" s="78" t="s">
        <v>30</v>
      </c>
      <c r="E68" s="22" t="str">
        <f>IF(B68="","",IF(A68=0,"NO HAY ESE CODIGO",IF(COUNTIF(ASIGNACIONES!$B$3:$B948,B68)=1,"DOTACION ASIGNADA",IF(C68="VISITAS","DOTACION VISITA",IF(C68="MTTO","DOTACION MTTO",IF(C68="PLANTA EMERGENCIA","DOTACION RES DE EMERGENCIA",IF(C68="EXTERNOS","DOTACION DE EXTERNO","DOTACION DISPONIBLE")))))))</f>
        <v>DOTACION DISPONIBLE</v>
      </c>
    </row>
    <row r="69" spans="1:5" ht="23.25">
      <c r="A69" s="85">
        <v>2</v>
      </c>
      <c r="B69" s="5" t="s">
        <v>644</v>
      </c>
      <c r="C69" s="3" t="s">
        <v>2215</v>
      </c>
      <c r="D69" s="78" t="s">
        <v>502</v>
      </c>
      <c r="E69" s="22" t="str">
        <f>IF(B69="","",IF(A69=0,"NO HAY ESE CODIGO",IF(COUNTIF(ASIGNACIONES!$B$3:$B948,B69)=1,"DOTACION ASIGNADA",IF(C69="VISITAS","DOTACION VISITA",IF(C69="MTTO","DOTACION MTTO",IF(C69="PLANTA EMERGENCIA","DOTACION RES DE EMERGENCIA",IF(C69="EXTERNOS","DOTACION DE EXTERNO","DOTACION DISPONIBLE")))))))</f>
        <v>DOTACION ASIGNADA</v>
      </c>
    </row>
    <row r="70" spans="1:5" ht="23.25">
      <c r="A70" s="85">
        <v>3</v>
      </c>
      <c r="B70" s="5" t="s">
        <v>891</v>
      </c>
      <c r="C70" s="3" t="s">
        <v>2215</v>
      </c>
      <c r="D70" s="78" t="s">
        <v>28</v>
      </c>
      <c r="E70" s="22" t="str">
        <f>IF(B70="","",IF(A70=0,"NO HAY ESE CODIGO",IF(COUNTIF(ASIGNACIONES!$B$3:$B948,B70)=1,"DOTACION ASIGNADA",IF(C70="VISITAS","DOTACION VISITA",IF(C70="MTTO","DOTACION MTTO",IF(C70="PLANTA EMERGENCIA","DOTACION RES DE EMERGENCIA",IF(C70="EXTERNOS","DOTACION DE EXTERNO","DOTACION DISPONIBLE")))))))</f>
        <v>DOTACION DISPONIBLE</v>
      </c>
    </row>
    <row r="71" spans="1:5" ht="23.25">
      <c r="A71" s="22">
        <v>3</v>
      </c>
      <c r="B71" s="5" t="s">
        <v>545</v>
      </c>
      <c r="C71" s="3" t="s">
        <v>2215</v>
      </c>
      <c r="D71" s="78" t="s">
        <v>30</v>
      </c>
      <c r="E71" s="22" t="str">
        <f>IF(B71="","",IF(A71=0,"NO HAY ESE CODIGO",IF(COUNTIF(ASIGNACIONES!$B$3:$B948,B71)=1,"DOTACION ASIGNADA",IF(C71="VISITAS","DOTACION VISITA",IF(C71="MTTO","DOTACION MTTO",IF(C71="PLANTA EMERGENCIA","DOTACION RES DE EMERGENCIA",IF(C71="EXTERNOS","DOTACION DE EXTERNO","DOTACION DISPONIBLE")))))))</f>
        <v>DOTACION ASIGNADA</v>
      </c>
    </row>
    <row r="72" spans="1:5" ht="23.25">
      <c r="A72" s="85">
        <v>3</v>
      </c>
      <c r="B72" s="5" t="s">
        <v>895</v>
      </c>
      <c r="C72" s="3" t="s">
        <v>2215</v>
      </c>
      <c r="D72" s="78" t="s">
        <v>28</v>
      </c>
      <c r="E72" s="22" t="str">
        <f>IF(B72="","",IF(A72=0,"NO HAY ESE CODIGO",IF(COUNTIF(ASIGNACIONES!$B$3:$B948,B72)=1,"DOTACION ASIGNADA",IF(C72="VISITAS","DOTACION VISITA",IF(C72="MTTO","DOTACION MTTO",IF(C72="PLANTA EMERGENCIA","DOTACION RES DE EMERGENCIA",IF(C72="EXTERNOS","DOTACION DE EXTERNO","DOTACION DISPONIBLE")))))))</f>
        <v>DOTACION ASIGNADA</v>
      </c>
    </row>
    <row r="73" spans="1:5" ht="23.25">
      <c r="A73" s="85">
        <v>3</v>
      </c>
      <c r="B73" s="5" t="s">
        <v>2049</v>
      </c>
      <c r="C73" s="3" t="s">
        <v>2215</v>
      </c>
      <c r="D73" s="78" t="s">
        <v>97</v>
      </c>
      <c r="E73" s="22" t="str">
        <f>IF(B73="","",IF(A73=0,"NO HAY ESE CODIGO",IF(COUNTIF(ASIGNACIONES!$B$3:$B948,B73)=1,"DOTACION ASIGNADA",IF(C73="VISITAS","DOTACION VISITA",IF(C73="MTTO","DOTACION MTTO",IF(C73="PLANTA EMERGENCIA","DOTACION RES DE EMERGENCIA",IF(C73="EXTERNOS","DOTACION DE EXTERNO","DOTACION DISPONIBLE")))))))</f>
        <v>DOTACION DISPONIBLE</v>
      </c>
    </row>
    <row r="74" spans="1:5" ht="23.25">
      <c r="A74" s="85">
        <v>3</v>
      </c>
      <c r="B74" s="5" t="s">
        <v>561</v>
      </c>
      <c r="C74" s="3" t="s">
        <v>2215</v>
      </c>
      <c r="D74" s="78" t="s">
        <v>30</v>
      </c>
      <c r="E74" s="22" t="str">
        <f>IF(B74="","",IF(A74=0,"NO HAY ESE CODIGO",IF(COUNTIF(ASIGNACIONES!$B$3:$B948,B74)=1,"DOTACION ASIGNADA",IF(C74="VISITAS","DOTACION VISITA",IF(C74="MTTO","DOTACION MTTO",IF(C74="PLANTA EMERGENCIA","DOTACION RES DE EMERGENCIA",IF(C74="EXTERNOS","DOTACION DE EXTERNO","DOTACION DISPONIBLE")))))))</f>
        <v>DOTACION ASIGNADA</v>
      </c>
    </row>
    <row r="75" spans="1:5" ht="23.25">
      <c r="A75" s="85">
        <v>3</v>
      </c>
      <c r="B75" s="5" t="s">
        <v>405</v>
      </c>
      <c r="C75" s="3" t="s">
        <v>2215</v>
      </c>
      <c r="D75" s="78" t="s">
        <v>28</v>
      </c>
      <c r="E75" s="22" t="str">
        <f>IF(B75="","",IF(A75=0,"NO HAY ESE CODIGO",IF(COUNTIF(ASIGNACIONES!$B$3:$B948,B75)=1,"DOTACION ASIGNADA",IF(C75="VISITAS","DOTACION VISITA",IF(C75="MTTO","DOTACION MTTO",IF(C75="PLANTA EMERGENCIA","DOTACION RES DE EMERGENCIA",IF(C75="EXTERNOS","DOTACION DE EXTERNO","DOTACION DISPONIBLE")))))))</f>
        <v>DOTACION DISPONIBLE</v>
      </c>
    </row>
    <row r="76" spans="1:5" ht="23.25">
      <c r="A76" s="85">
        <v>3</v>
      </c>
      <c r="B76" s="5" t="s">
        <v>575</v>
      </c>
      <c r="C76" s="3" t="s">
        <v>2215</v>
      </c>
      <c r="D76" s="78" t="s">
        <v>28</v>
      </c>
      <c r="E76" s="22" t="str">
        <f>IF(B76="","",IF(A76=0,"NO HAY ESE CODIGO",IF(COUNTIF(ASIGNACIONES!$B$3:$B948,B76)=1,"DOTACION ASIGNADA",IF(C76="VISITAS","DOTACION VISITA",IF(C76="MTTO","DOTACION MTTO",IF(C76="PLANTA EMERGENCIA","DOTACION RES DE EMERGENCIA",IF(C76="EXTERNOS","DOTACION DE EXTERNO","DOTACION DISPONIBLE")))))))</f>
        <v>DOTACION ASIGNADA</v>
      </c>
    </row>
    <row r="77" spans="1:5" ht="23.25">
      <c r="A77" s="85">
        <v>3</v>
      </c>
      <c r="B77" s="5" t="s">
        <v>565</v>
      </c>
      <c r="C77" s="3" t="s">
        <v>2215</v>
      </c>
      <c r="D77" s="78" t="s">
        <v>28</v>
      </c>
      <c r="E77" s="22" t="str">
        <f>IF(B77="","",IF(A77=0,"NO HAY ESE CODIGO",IF(COUNTIF(ASIGNACIONES!$B$3:$B948,B77)=1,"DOTACION ASIGNADA",IF(C77="VISITAS","DOTACION VISITA",IF(C77="MTTO","DOTACION MTTO",IF(C77="PLANTA EMERGENCIA","DOTACION RES DE EMERGENCIA",IF(C77="EXTERNOS","DOTACION DE EXTERNO","DOTACION DISPONIBLE")))))))</f>
        <v>DOTACION DISPONIBLE</v>
      </c>
    </row>
    <row r="78" spans="1:5" ht="23.25">
      <c r="A78" s="85">
        <v>3</v>
      </c>
      <c r="B78" s="5" t="s">
        <v>1573</v>
      </c>
      <c r="C78" s="3" t="s">
        <v>2215</v>
      </c>
      <c r="D78" s="78" t="s">
        <v>28</v>
      </c>
      <c r="E78" s="22" t="str">
        <f>IF(B78="","",IF(A78=0,"NO HAY ESE CODIGO",IF(COUNTIF(ASIGNACIONES!$B$3:$B948,B78)=1,"DOTACION ASIGNADA",IF(C78="VISITAS","DOTACION VISITA",IF(C78="MTTO","DOTACION MTTO",IF(C78="PLANTA EMERGENCIA","DOTACION RES DE EMERGENCIA",IF(C78="EXTERNOS","DOTACION DE EXTERNO","DOTACION DISPONIBLE")))))))</f>
        <v>DOTACION DISPONIBLE</v>
      </c>
    </row>
    <row r="79" spans="1:5" ht="23.25">
      <c r="A79" s="85">
        <v>3</v>
      </c>
      <c r="B79" s="5" t="s">
        <v>586</v>
      </c>
      <c r="C79" s="3" t="s">
        <v>2215</v>
      </c>
      <c r="D79" s="78" t="s">
        <v>28</v>
      </c>
      <c r="E79" s="22" t="str">
        <f>IF(B79="","",IF(A79=0,"NO HAY ESE CODIGO",IF(COUNTIF(ASIGNACIONES!$B$3:$B948,B79)=1,"DOTACION ASIGNADA",IF(C79="VISITAS","DOTACION VISITA",IF(C79="MTTO","DOTACION MTTO",IF(C79="PLANTA EMERGENCIA","DOTACION RES DE EMERGENCIA",IF(C79="EXTERNOS","DOTACION DE EXTERNO","DOTACION DISPONIBLE")))))))</f>
        <v>DOTACION ASIGNADA</v>
      </c>
    </row>
    <row r="80" spans="1:5" ht="23.25">
      <c r="A80" s="85">
        <v>3</v>
      </c>
      <c r="B80" s="5" t="s">
        <v>599</v>
      </c>
      <c r="C80" s="3" t="s">
        <v>2215</v>
      </c>
      <c r="D80" s="78" t="s">
        <v>28</v>
      </c>
      <c r="E80" s="22" t="str">
        <f>IF(B80="","",IF(A80=0,"NO HAY ESE CODIGO",IF(COUNTIF(ASIGNACIONES!$B$3:$B948,B80)=1,"DOTACION ASIGNADA",IF(C80="VISITAS","DOTACION VISITA",IF(C80="MTTO","DOTACION MTTO",IF(C80="PLANTA EMERGENCIA","DOTACION RES DE EMERGENCIA",IF(C80="EXTERNOS","DOTACION DE EXTERNO","DOTACION DISPONIBLE")))))))</f>
        <v>DOTACION ASIGNADA</v>
      </c>
    </row>
    <row r="81" spans="1:5" ht="23.25">
      <c r="A81" s="85">
        <v>3</v>
      </c>
      <c r="B81" s="5" t="s">
        <v>1116</v>
      </c>
      <c r="C81" s="3" t="s">
        <v>2215</v>
      </c>
      <c r="D81" s="78" t="s">
        <v>28</v>
      </c>
      <c r="E81" s="22" t="str">
        <f>IF(B81="","",IF(A81=0,"NO HAY ESE CODIGO",IF(COUNTIF(ASIGNACIONES!$B$3:$B948,B81)=1,"DOTACION ASIGNADA",IF(C81="VISITAS","DOTACION VISITA",IF(C81="MTTO","DOTACION MTTO",IF(C81="PLANTA EMERGENCIA","DOTACION RES DE EMERGENCIA",IF(C81="EXTERNOS","DOTACION DE EXTERNO","DOTACION DISPONIBLE")))))))</f>
        <v>DOTACION ASIGNADA</v>
      </c>
    </row>
    <row r="82" spans="1:5" ht="23.25">
      <c r="A82" s="85">
        <v>3</v>
      </c>
      <c r="B82" s="5" t="s">
        <v>1310</v>
      </c>
      <c r="C82" s="3" t="s">
        <v>2215</v>
      </c>
      <c r="D82" s="78" t="s">
        <v>28</v>
      </c>
      <c r="E82" s="22" t="str">
        <f>IF(B82="","",IF(A82=0,"NO HAY ESE CODIGO",IF(COUNTIF(ASIGNACIONES!$B$3:$B948,B82)=1,"DOTACION ASIGNADA",IF(C82="VISITAS","DOTACION VISITA",IF(C82="MTTO","DOTACION MTTO",IF(C82="PLANTA EMERGENCIA","DOTACION RES DE EMERGENCIA",IF(C82="EXTERNOS","DOTACION DE EXTERNO","DOTACION DISPONIBLE")))))))</f>
        <v>DOTACION ASIGNADA</v>
      </c>
    </row>
    <row r="83" spans="1:5" ht="23.25">
      <c r="A83" s="85">
        <v>3</v>
      </c>
      <c r="B83" s="5" t="s">
        <v>1058</v>
      </c>
      <c r="C83" s="3" t="s">
        <v>2215</v>
      </c>
      <c r="D83" s="78" t="s">
        <v>28</v>
      </c>
      <c r="E83" s="22" t="str">
        <f>IF(B83="","",IF(A83=0,"NO HAY ESE CODIGO",IF(COUNTIF(ASIGNACIONES!$B$3:$B948,B83)=1,"DOTACION ASIGNADA",IF(C83="VISITAS","DOTACION VISITA",IF(C83="MTTO","DOTACION MTTO",IF(C83="PLANTA EMERGENCIA","DOTACION RES DE EMERGENCIA",IF(C83="EXTERNOS","DOTACION DE EXTERNO","DOTACION DISPONIBLE")))))))</f>
        <v>DOTACION DISPONIBLE</v>
      </c>
    </row>
    <row r="84" spans="1:5" ht="23.25">
      <c r="A84" s="85">
        <v>3</v>
      </c>
      <c r="B84" s="5" t="s">
        <v>610</v>
      </c>
      <c r="C84" s="3" t="s">
        <v>2215</v>
      </c>
      <c r="D84" s="78" t="s">
        <v>28</v>
      </c>
      <c r="E84" s="22" t="str">
        <f>IF(B84="","",IF(A84=0,"NO HAY ESE CODIGO",IF(COUNTIF(ASIGNACIONES!$B$3:$B948,B84)=1,"DOTACION ASIGNADA",IF(C84="VISITAS","DOTACION VISITA",IF(C84="MTTO","DOTACION MTTO",IF(C84="PLANTA EMERGENCIA","DOTACION RES DE EMERGENCIA",IF(C84="EXTERNOS","DOTACION DE EXTERNO","DOTACION DISPONIBLE")))))))</f>
        <v>DOTACION ASIGNADA</v>
      </c>
    </row>
    <row r="85" spans="1:5" ht="23.25">
      <c r="A85" s="85">
        <v>3</v>
      </c>
      <c r="B85" s="5" t="s">
        <v>2068</v>
      </c>
      <c r="C85" s="3" t="s">
        <v>2215</v>
      </c>
      <c r="D85" s="78" t="s">
        <v>30</v>
      </c>
      <c r="E85" s="22" t="str">
        <f>IF(B85="","",IF(A85=0,"NO HAY ESE CODIGO",IF(COUNTIF(ASIGNACIONES!$B$3:$B948,B85)=1,"DOTACION ASIGNADA",IF(C85="VISITAS","DOTACION VISITA",IF(C85="MTTO","DOTACION MTTO",IF(C85="PLANTA EMERGENCIA","DOTACION RES DE EMERGENCIA",IF(C85="EXTERNOS","DOTACION DE EXTERNO","DOTACION DISPONIBLE")))))))</f>
        <v>DOTACION DISPONIBLE</v>
      </c>
    </row>
    <row r="86" spans="1:5" ht="23.25">
      <c r="A86" s="85">
        <v>3</v>
      </c>
      <c r="B86" s="5" t="s">
        <v>618</v>
      </c>
      <c r="C86" s="3" t="s">
        <v>2215</v>
      </c>
      <c r="D86" s="78" t="s">
        <v>30</v>
      </c>
      <c r="E86" s="22" t="str">
        <f>IF(B86="","",IF(A86=0,"NO HAY ESE CODIGO",IF(COUNTIF(ASIGNACIONES!$B$3:$B948,B86)=1,"DOTACION ASIGNADA",IF(C86="VISITAS","DOTACION VISITA",IF(C86="MTTO","DOTACION MTTO",IF(C86="PLANTA EMERGENCIA","DOTACION RES DE EMERGENCIA",IF(C86="EXTERNOS","DOTACION DE EXTERNO","DOTACION DISPONIBLE")))))))</f>
        <v>DOTACION ASIGNADA</v>
      </c>
    </row>
    <row r="87" spans="1:5" ht="23.25">
      <c r="A87" s="85">
        <v>3</v>
      </c>
      <c r="B87" s="5" t="s">
        <v>354</v>
      </c>
      <c r="C87" s="3" t="s">
        <v>2215</v>
      </c>
      <c r="D87" s="78" t="s">
        <v>28</v>
      </c>
      <c r="E87" s="22" t="str">
        <f>IF(B87="","",IF(A87=0,"NO HAY ESE CODIGO",IF(COUNTIF(ASIGNACIONES!$B$3:$B948,B87)=1,"DOTACION ASIGNADA",IF(C87="VISITAS","DOTACION VISITA",IF(C87="MTTO","DOTACION MTTO",IF(C87="PLANTA EMERGENCIA","DOTACION RES DE EMERGENCIA",IF(C87="EXTERNOS","DOTACION DE EXTERNO","DOTACION DISPONIBLE")))))))</f>
        <v>DOTACION ASIGNADA</v>
      </c>
    </row>
    <row r="88" spans="1:5" ht="23.25">
      <c r="A88" s="85">
        <v>3</v>
      </c>
      <c r="B88" s="5" t="s">
        <v>1848</v>
      </c>
      <c r="C88" s="3" t="s">
        <v>2215</v>
      </c>
      <c r="D88" s="78" t="s">
        <v>30</v>
      </c>
      <c r="E88" s="22" t="str">
        <f>IF(B88="","",IF(A88=0,"NO HAY ESE CODIGO",IF(COUNTIF(ASIGNACIONES!$B$3:$B948,B88)=1,"DOTACION ASIGNADA",IF(C88="VISITAS","DOTACION VISITA",IF(C88="MTTO","DOTACION MTTO",IF(C88="PLANTA EMERGENCIA","DOTACION RES DE EMERGENCIA",IF(C88="EXTERNOS","DOTACION DE EXTERNO","DOTACION DISPONIBLE")))))))</f>
        <v>DOTACION ASIGNADA</v>
      </c>
    </row>
    <row r="89" spans="1:5" ht="23.25">
      <c r="A89" s="85">
        <v>3</v>
      </c>
      <c r="B89" s="5" t="s">
        <v>635</v>
      </c>
      <c r="C89" s="3" t="s">
        <v>2215</v>
      </c>
      <c r="D89" s="78" t="s">
        <v>30</v>
      </c>
      <c r="E89" s="22" t="str">
        <f>IF(B89="","",IF(A89=0,"NO HAY ESE CODIGO",IF(COUNTIF(ASIGNACIONES!$B$3:$B948,B89)=1,"DOTACION ASIGNADA",IF(C89="VISITAS","DOTACION VISITA",IF(C89="MTTO","DOTACION MTTO",IF(C89="PLANTA EMERGENCIA","DOTACION RES DE EMERGENCIA",IF(C89="EXTERNOS","DOTACION DE EXTERNO","DOTACION DISPONIBLE")))))))</f>
        <v>DOTACION ASIGNADA</v>
      </c>
    </row>
    <row r="90" spans="1:5" ht="23.25">
      <c r="A90" s="85">
        <v>3</v>
      </c>
      <c r="B90" s="5" t="s">
        <v>1338</v>
      </c>
      <c r="C90" s="3" t="s">
        <v>2215</v>
      </c>
      <c r="D90" s="78" t="s">
        <v>28</v>
      </c>
      <c r="E90" s="22" t="str">
        <f>IF(B90="","",IF(A90=0,"NO HAY ESE CODIGO",IF(COUNTIF(ASIGNACIONES!$B$3:$B948,B90)=1,"DOTACION ASIGNADA",IF(C90="VISITAS","DOTACION VISITA",IF(C90="MTTO","DOTACION MTTO",IF(C90="PLANTA EMERGENCIA","DOTACION RES DE EMERGENCIA",IF(C90="EXTERNOS","DOTACION DE EXTERNO","DOTACION DISPONIBLE")))))))</f>
        <v>DOTACION DISPONIBLE</v>
      </c>
    </row>
    <row r="91" spans="1:5" ht="23.25">
      <c r="A91" s="85">
        <v>3</v>
      </c>
      <c r="B91" s="5" t="s">
        <v>652</v>
      </c>
      <c r="C91" s="3" t="s">
        <v>2215</v>
      </c>
      <c r="D91" s="78" t="s">
        <v>48</v>
      </c>
      <c r="E91" s="22" t="str">
        <f>IF(B91="","",IF(A91=0,"NO HAY ESE CODIGO",IF(COUNTIF(ASIGNACIONES!$B$3:$B948,B91)=1,"DOTACION ASIGNADA",IF(C91="VISITAS","DOTACION VISITA",IF(C91="MTTO","DOTACION MTTO",IF(C91="PLANTA EMERGENCIA","DOTACION RES DE EMERGENCIA",IF(C91="EXTERNOS","DOTACION DE EXTERNO","DOTACION DISPONIBLE")))))))</f>
        <v>DOTACION ASIGNADA</v>
      </c>
    </row>
    <row r="92" spans="1:5" ht="23.25">
      <c r="A92" s="85">
        <v>3</v>
      </c>
      <c r="B92" s="5" t="s">
        <v>1361</v>
      </c>
      <c r="C92" s="3" t="s">
        <v>2215</v>
      </c>
      <c r="D92" s="78" t="s">
        <v>30</v>
      </c>
      <c r="E92" s="22" t="str">
        <f>IF(B92="","",IF(A92=0,"NO HAY ESE CODIGO",IF(COUNTIF(ASIGNACIONES!$B$3:$B948,B92)=1,"DOTACION ASIGNADA",IF(C92="VISITAS","DOTACION VISITA",IF(C92="MTTO","DOTACION MTTO",IF(C92="PLANTA EMERGENCIA","DOTACION RES DE EMERGENCIA",IF(C92="EXTERNOS","DOTACION DE EXTERNO","DOTACION DISPONIBLE")))))))</f>
        <v>DOTACION ASIGNADA</v>
      </c>
    </row>
    <row r="93" spans="1:5" ht="23.25">
      <c r="A93" s="85">
        <v>3</v>
      </c>
      <c r="B93" s="5" t="s">
        <v>638</v>
      </c>
      <c r="C93" s="3" t="s">
        <v>2215</v>
      </c>
      <c r="D93" s="78" t="s">
        <v>30</v>
      </c>
      <c r="E93" s="22" t="str">
        <f>IF(B93="","",IF(A93=0,"NO HAY ESE CODIGO",IF(COUNTIF(ASIGNACIONES!$B$3:$B948,B93)=1,"DOTACION ASIGNADA",IF(C93="VISITAS","DOTACION VISITA",IF(C93="MTTO","DOTACION MTTO",IF(C93="PLANTA EMERGENCIA","DOTACION RES DE EMERGENCIA",IF(C93="EXTERNOS","DOTACION DE EXTERNO","DOTACION DISPONIBLE")))))))</f>
        <v>DOTACION ASIGNADA</v>
      </c>
    </row>
    <row r="94" spans="1:5" ht="23.25">
      <c r="A94" s="85">
        <v>3</v>
      </c>
      <c r="B94" s="5" t="s">
        <v>128</v>
      </c>
      <c r="C94" s="3" t="s">
        <v>2215</v>
      </c>
      <c r="D94" s="78" t="s">
        <v>30</v>
      </c>
      <c r="E94" s="22" t="str">
        <f>IF(B94="","",IF(A94=0,"NO HAY ESE CODIGO",IF(COUNTIF(ASIGNACIONES!$B$3:$B948,B94)=1,"DOTACION ASIGNADA",IF(C94="VISITAS","DOTACION VISITA",IF(C94="MTTO","DOTACION MTTO",IF(C94="PLANTA EMERGENCIA","DOTACION RES DE EMERGENCIA",IF(C94="EXTERNOS","DOTACION DE EXTERNO","DOTACION DISPONIBLE")))))))</f>
        <v>DOTACION ASIGNADA</v>
      </c>
    </row>
    <row r="95" spans="1:5" ht="23.25">
      <c r="A95" s="85">
        <v>3</v>
      </c>
      <c r="B95" s="5" t="s">
        <v>554</v>
      </c>
      <c r="C95" s="3" t="s">
        <v>2215</v>
      </c>
      <c r="D95" s="78" t="s">
        <v>48</v>
      </c>
      <c r="E95" s="22" t="str">
        <f>IF(B95="","",IF(A95=0,"NO HAY ESE CODIGO",IF(COUNTIF(ASIGNACIONES!$B$3:$B948,B95)=1,"DOTACION ASIGNADA",IF(C95="VISITAS","DOTACION VISITA",IF(C95="MTTO","DOTACION MTTO",IF(C95="PLANTA EMERGENCIA","DOTACION RES DE EMERGENCIA",IF(C95="EXTERNOS","DOTACION DE EXTERNO","DOTACION DISPONIBLE")))))))</f>
        <v>DOTACION ASIGNADA</v>
      </c>
    </row>
    <row r="96" spans="1:5" ht="23.25">
      <c r="A96" s="85">
        <v>3</v>
      </c>
      <c r="B96" s="5" t="s">
        <v>1958</v>
      </c>
      <c r="C96" s="3" t="s">
        <v>2215</v>
      </c>
      <c r="D96" s="78" t="s">
        <v>30</v>
      </c>
      <c r="E96" s="22" t="str">
        <f>IF(B96="","",IF(A96=0,"NO HAY ESE CODIGO",IF(COUNTIF(ASIGNACIONES!$B$3:$B948,B96)=1,"DOTACION ASIGNADA",IF(C96="VISITAS","DOTACION VISITA",IF(C96="MTTO","DOTACION MTTO",IF(C96="PLANTA EMERGENCIA","DOTACION RES DE EMERGENCIA",IF(C96="EXTERNOS","DOTACION DE EXTERNO","DOTACION DISPONIBLE")))))))</f>
        <v>DOTACION DISPONIBLE</v>
      </c>
    </row>
    <row r="97" spans="1:5" ht="23.25">
      <c r="A97" s="85">
        <v>3</v>
      </c>
      <c r="B97" s="5" t="s">
        <v>667</v>
      </c>
      <c r="C97" s="3" t="s">
        <v>2215</v>
      </c>
      <c r="D97" s="78" t="s">
        <v>30</v>
      </c>
      <c r="E97" s="22" t="str">
        <f>IF(B97="","",IF(A97=0,"NO HAY ESE CODIGO",IF(COUNTIF(ASIGNACIONES!$B$3:$B948,B97)=1,"DOTACION ASIGNADA",IF(C97="VISITAS","DOTACION VISITA",IF(C97="MTTO","DOTACION MTTO",IF(C97="PLANTA EMERGENCIA","DOTACION RES DE EMERGENCIA",IF(C97="EXTERNOS","DOTACION DE EXTERNO","DOTACION DISPONIBLE")))))))</f>
        <v>DOTACION ASIGNADA</v>
      </c>
    </row>
    <row r="98" spans="1:5" ht="23.25">
      <c r="A98" s="85">
        <v>3</v>
      </c>
      <c r="B98" s="5" t="s">
        <v>189</v>
      </c>
      <c r="C98" s="3" t="s">
        <v>2215</v>
      </c>
      <c r="D98" s="78" t="s">
        <v>30</v>
      </c>
      <c r="E98" s="22" t="str">
        <f>IF(B98="","",IF(A98=0,"NO HAY ESE CODIGO",IF(COUNTIF(ASIGNACIONES!$B$3:$B948,B98)=1,"DOTACION ASIGNADA",IF(C98="VISITAS","DOTACION VISITA",IF(C98="MTTO","DOTACION MTTO",IF(C98="PLANTA EMERGENCIA","DOTACION RES DE EMERGENCIA",IF(C98="EXTERNOS","DOTACION DE EXTERNO","DOTACION DISPONIBLE")))))))</f>
        <v>DOTACION ASIGNADA</v>
      </c>
    </row>
    <row r="99" spans="1:5" ht="23.25">
      <c r="A99" s="85">
        <v>3</v>
      </c>
      <c r="B99" s="5" t="s">
        <v>713</v>
      </c>
      <c r="C99" s="3" t="s">
        <v>2215</v>
      </c>
      <c r="D99" s="78" t="s">
        <v>716</v>
      </c>
      <c r="E99" s="22" t="str">
        <f>IF(B99="","",IF(A99=0,"NO HAY ESE CODIGO",IF(COUNTIF(ASIGNACIONES!$B$3:$B948,B99)=1,"DOTACION ASIGNADA",IF(C99="VISITAS","DOTACION VISITA",IF(C99="MTTO","DOTACION MTTO",IF(C99="PLANTA EMERGENCIA","DOTACION RES DE EMERGENCIA",IF(C99="EXTERNOS","DOTACION DE EXTERNO","DOTACION DISPONIBLE")))))))</f>
        <v>DOTACION ASIGNADA</v>
      </c>
    </row>
    <row r="100" spans="1:5" ht="23.25">
      <c r="A100" s="85">
        <v>3</v>
      </c>
      <c r="B100" s="5" t="s">
        <v>1439</v>
      </c>
      <c r="C100" s="3" t="s">
        <v>2215</v>
      </c>
      <c r="D100" s="78" t="s">
        <v>48</v>
      </c>
      <c r="E100" s="22" t="str">
        <f>IF(B100="","",IF(A100=0,"NO HAY ESE CODIGO",IF(COUNTIF(ASIGNACIONES!$B$3:$B948,B100)=1,"DOTACION ASIGNADA",IF(C100="VISITAS","DOTACION VISITA",IF(C100="MTTO","DOTACION MTTO",IF(C100="PLANTA EMERGENCIA","DOTACION RES DE EMERGENCIA",IF(C100="EXTERNOS","DOTACION DE EXTERNO","DOTACION DISPONIBLE")))))))</f>
        <v>DOTACION DISPONIBLE</v>
      </c>
    </row>
    <row r="101" spans="1:5" ht="23.25">
      <c r="A101" s="85">
        <v>3</v>
      </c>
      <c r="B101" s="5" t="s">
        <v>1705</v>
      </c>
      <c r="C101" s="3" t="s">
        <v>2215</v>
      </c>
      <c r="D101" s="78" t="s">
        <v>30</v>
      </c>
      <c r="E101" s="22" t="str">
        <f>IF(B101="","",IF(A101=0,"NO HAY ESE CODIGO",IF(COUNTIF(ASIGNACIONES!$B$3:$B948,B101)=1,"DOTACION ASIGNADA",IF(C101="VISITAS","DOTACION VISITA",IF(C101="MTTO","DOTACION MTTO",IF(C101="PLANTA EMERGENCIA","DOTACION RES DE EMERGENCIA",IF(C101="EXTERNOS","DOTACION DE EXTERNO","DOTACION DISPONIBLE")))))))</f>
        <v>DOTACION ASIGNADA</v>
      </c>
    </row>
    <row r="102" spans="1:5" ht="23.25">
      <c r="A102" s="85">
        <v>3</v>
      </c>
      <c r="B102" s="5" t="s">
        <v>372</v>
      </c>
      <c r="C102" s="3" t="s">
        <v>2215</v>
      </c>
      <c r="D102" s="78" t="s">
        <v>30</v>
      </c>
      <c r="E102" s="22" t="str">
        <f>IF(B102="","",IF(A102=0,"NO HAY ESE CODIGO",IF(COUNTIF(ASIGNACIONES!$B$3:$B948,B102)=1,"DOTACION ASIGNADA",IF(C102="VISITAS","DOTACION VISITA",IF(C102="MTTO","DOTACION MTTO",IF(C102="PLANTA EMERGENCIA","DOTACION RES DE EMERGENCIA",IF(C102="EXTERNOS","DOTACION DE EXTERNO","DOTACION DISPONIBLE")))))))</f>
        <v>DOTACION ASIGNADA</v>
      </c>
    </row>
    <row r="103" spans="1:5" ht="23.25">
      <c r="A103" s="85">
        <v>3</v>
      </c>
      <c r="B103" s="5" t="s">
        <v>679</v>
      </c>
      <c r="C103" s="56" t="s">
        <v>2215</v>
      </c>
      <c r="D103" s="78" t="s">
        <v>28</v>
      </c>
      <c r="E103" s="22" t="str">
        <f>IF(B103="","",IF(A103=0,"NO HAY ESE CODIGO",IF(COUNTIF(ASIGNACIONES!$B$3:$B948,B103)=1,"DOTACION ASIGNADA",IF(C103="VISITAS","DOTACION VISITA",IF(C103="MTTO","DOTACION MTTO",IF(C103="PLANTA EMERGENCIA","DOTACION RES DE EMERGENCIA",IF(C103="EXTERNOS","DOTACION DE EXTERNO","DOTACION DISPONIBLE")))))))</f>
        <v>DOTACION ASIGNADA</v>
      </c>
    </row>
    <row r="104" spans="1:5" ht="23.25">
      <c r="A104" s="85">
        <v>3</v>
      </c>
      <c r="B104" s="5" t="s">
        <v>491</v>
      </c>
      <c r="C104" s="3" t="s">
        <v>2215</v>
      </c>
      <c r="D104" s="78" t="s">
        <v>30</v>
      </c>
      <c r="E104" s="22" t="str">
        <f>IF(B104="","",IF(A104=0,"NO HAY ESE CODIGO",IF(COUNTIF(ASIGNACIONES!$B$3:$B948,B104)=1,"DOTACION ASIGNADA",IF(C104="VISITAS","DOTACION VISITA",IF(C104="MTTO","DOTACION MTTO",IF(C104="PLANTA EMERGENCIA","DOTACION RES DE EMERGENCIA",IF(C104="EXTERNOS","DOTACION DE EXTERNO","DOTACION DISPONIBLE")))))))</f>
        <v>DOTACION DISPONIBLE</v>
      </c>
    </row>
    <row r="105" spans="1:5" ht="23.25">
      <c r="A105" s="85">
        <v>3</v>
      </c>
      <c r="B105" s="5" t="s">
        <v>691</v>
      </c>
      <c r="C105" s="3" t="s">
        <v>2215</v>
      </c>
      <c r="D105" s="78" t="s">
        <v>30</v>
      </c>
      <c r="E105" s="22" t="str">
        <f>IF(B105="","",IF(A105=0,"NO HAY ESE CODIGO",IF(COUNTIF(ASIGNACIONES!$B$3:$B948,B105)=1,"DOTACION ASIGNADA",IF(C105="VISITAS","DOTACION VISITA",IF(C105="MTTO","DOTACION MTTO",IF(C105="PLANTA EMERGENCIA","DOTACION RES DE EMERGENCIA",IF(C105="EXTERNOS","DOTACION DE EXTERNO","DOTACION DISPONIBLE")))))))</f>
        <v>DOTACION ASIGNADA</v>
      </c>
    </row>
    <row r="106" spans="1:5" ht="23.25">
      <c r="A106" s="85">
        <v>3</v>
      </c>
      <c r="B106" s="5" t="s">
        <v>220</v>
      </c>
      <c r="C106" s="3" t="s">
        <v>2215</v>
      </c>
      <c r="D106" s="78" t="s">
        <v>28</v>
      </c>
      <c r="E106" s="22" t="str">
        <f>IF(B106="","",IF(A106=0,"NO HAY ESE CODIGO",IF(COUNTIF(ASIGNACIONES!$B$3:$B948,B106)=1,"DOTACION ASIGNADA",IF(C106="VISITAS","DOTACION VISITA",IF(C106="MTTO","DOTACION MTTO",IF(C106="PLANTA EMERGENCIA","DOTACION RES DE EMERGENCIA",IF(C106="EXTERNOS","DOTACION DE EXTERNO","DOTACION DISPONIBLE")))))))</f>
        <v>DOTACION ASIGNADA</v>
      </c>
    </row>
    <row r="107" spans="1:5" ht="23.25">
      <c r="A107" s="85">
        <v>3</v>
      </c>
      <c r="B107" s="5" t="s">
        <v>1683</v>
      </c>
      <c r="C107" s="3" t="s">
        <v>2215</v>
      </c>
      <c r="D107" s="78" t="s">
        <v>30</v>
      </c>
      <c r="E107" s="22" t="str">
        <f>IF(B107="","",IF(A107=0,"NO HAY ESE CODIGO",IF(COUNTIF(ASIGNACIONES!$B$3:$B948,B107)=1,"DOTACION ASIGNADA",IF(C107="VISITAS","DOTACION VISITA",IF(C107="MTTO","DOTACION MTTO",IF(C107="PLANTA EMERGENCIA","DOTACION RES DE EMERGENCIA",IF(C107="EXTERNOS","DOTACION DE EXTERNO","DOTACION DISPONIBLE")))))))</f>
        <v>DOTACION DISPONIBLE</v>
      </c>
    </row>
    <row r="108" spans="1:5" ht="23.25">
      <c r="A108" s="85">
        <v>3</v>
      </c>
      <c r="B108" s="5" t="s">
        <v>63</v>
      </c>
      <c r="C108" s="3" t="s">
        <v>2215</v>
      </c>
      <c r="D108" s="78" t="s">
        <v>28</v>
      </c>
      <c r="E108" s="22" t="str">
        <f>IF(B108="","",IF(A108=0,"NO HAY ESE CODIGO",IF(COUNTIF(ASIGNACIONES!$B$3:$B948,B108)=1,"DOTACION ASIGNADA",IF(C108="VISITAS","DOTACION VISITA",IF(C108="MTTO","DOTACION MTTO",IF(C108="PLANTA EMERGENCIA","DOTACION RES DE EMERGENCIA",IF(C108="EXTERNOS","DOTACION DE EXTERNO","DOTACION DISPONIBLE")))))))</f>
        <v>DOTACION ASIGNADA</v>
      </c>
    </row>
    <row r="109" spans="1:5" ht="23.25">
      <c r="A109" s="85">
        <v>3</v>
      </c>
      <c r="B109" s="5" t="s">
        <v>2318</v>
      </c>
      <c r="C109" s="3" t="s">
        <v>2215</v>
      </c>
      <c r="D109" s="78" t="s">
        <v>28</v>
      </c>
      <c r="E109" s="22" t="str">
        <f>IF(B109="","",IF(A109=0,"NO HAY ESE CODIGO",IF(COUNTIF(ASIGNACIONES!$B$3:$B948,B109)=1,"DOTACION ASIGNADA",IF(C109="VISITAS","DOTACION VISITA",IF(C109="MTTO","DOTACION MTTO",IF(C109="PLANTA EMERGENCIA","DOTACION RES DE EMERGENCIA",IF(C109="EXTERNOS","DOTACION DE EXTERNO","DOTACION DISPONIBLE")))))))</f>
        <v>DOTACION DISPONIBLE</v>
      </c>
    </row>
    <row r="110" spans="1:5" ht="23.25">
      <c r="A110" s="85">
        <v>3</v>
      </c>
      <c r="B110" s="5" t="s">
        <v>1507</v>
      </c>
      <c r="C110" s="3" t="s">
        <v>2215</v>
      </c>
      <c r="D110" s="78" t="s">
        <v>30</v>
      </c>
      <c r="E110" s="22" t="str">
        <f>IF(B110="","",IF(A110=0,"NO HAY ESE CODIGO",IF(COUNTIF(ASIGNACIONES!$B$3:$B948,B110)=1,"DOTACION ASIGNADA",IF(C110="VISITAS","DOTACION VISITA",IF(C110="MTTO","DOTACION MTTO",IF(C110="PLANTA EMERGENCIA","DOTACION RES DE EMERGENCIA",IF(C110="EXTERNOS","DOTACION DE EXTERNO","DOTACION DISPONIBLE")))))))</f>
        <v>DOTACION ASIGNADA</v>
      </c>
    </row>
    <row r="111" spans="1:5" ht="23.25">
      <c r="A111" s="85">
        <v>3</v>
      </c>
      <c r="B111" s="5" t="s">
        <v>704</v>
      </c>
      <c r="C111" s="3" t="s">
        <v>2215</v>
      </c>
      <c r="D111" s="78" t="s">
        <v>28</v>
      </c>
      <c r="E111" s="22" t="str">
        <f>IF(B111="","",IF(A111=0,"NO HAY ESE CODIGO",IF(COUNTIF(ASIGNACIONES!$B$3:$B948,B111)=1,"DOTACION ASIGNADA",IF(C111="VISITAS","DOTACION VISITA",IF(C111="MTTO","DOTACION MTTO",IF(C111="PLANTA EMERGENCIA","DOTACION RES DE EMERGENCIA",IF(C111="EXTERNOS","DOTACION DE EXTERNO","DOTACION DISPONIBLE")))))))</f>
        <v>DOTACION ASIGNADA</v>
      </c>
    </row>
    <row r="112" spans="1:5" ht="23.25">
      <c r="A112" s="85">
        <v>0</v>
      </c>
      <c r="B112" s="5" t="s">
        <v>2320</v>
      </c>
      <c r="C112" s="3" t="s">
        <v>2215</v>
      </c>
      <c r="D112" s="78" t="s">
        <v>97</v>
      </c>
      <c r="E112" s="22" t="str">
        <f>IF(B112="","",IF(A112=0,"NO HAY ESE CODIGO",IF(COUNTIF(ASIGNACIONES!$B$3:$B948,B112)=1,"DOTACION ASIGNADA",IF(C112="VISITAS","DOTACION VISITA",IF(C112="MTTO","DOTACION MTTO",IF(C112="PLANTA EMERGENCIA","DOTACION RES DE EMERGENCIA",IF(C112="EXTERNOS","DOTACION DE EXTERNO","DOTACION DISPONIBLE")))))))</f>
        <v>NO HAY ESE CODIGO</v>
      </c>
    </row>
    <row r="113" spans="1:5" ht="23.25">
      <c r="A113" s="85">
        <v>3</v>
      </c>
      <c r="B113" s="5" t="s">
        <v>739</v>
      </c>
      <c r="C113" s="3" t="s">
        <v>2215</v>
      </c>
      <c r="D113" s="78" t="s">
        <v>28</v>
      </c>
      <c r="E113" s="22" t="str">
        <f>IF(B113="","",IF(A113=0,"NO HAY ESE CODIGO",IF(COUNTIF(ASIGNACIONES!$B$3:$B948,B113)=1,"DOTACION ASIGNADA",IF(C113="VISITAS","DOTACION VISITA",IF(C113="MTTO","DOTACION MTTO",IF(C113="PLANTA EMERGENCIA","DOTACION RES DE EMERGENCIA",IF(C113="EXTERNOS","DOTACION DE EXTERNO","DOTACION DISPONIBLE")))))))</f>
        <v>DOTACION ASIGNADA</v>
      </c>
    </row>
    <row r="114" spans="1:5" ht="23.25">
      <c r="A114" s="85">
        <v>3</v>
      </c>
      <c r="B114" s="5" t="s">
        <v>295</v>
      </c>
      <c r="C114" s="3" t="s">
        <v>2215</v>
      </c>
      <c r="D114" s="78" t="s">
        <v>30</v>
      </c>
      <c r="E114" s="22" t="str">
        <f>IF(B114="","",IF(A114=0,"NO HAY ESE CODIGO",IF(COUNTIF(ASIGNACIONES!$B$3:$B948,B114)=1,"DOTACION ASIGNADA",IF(C114="VISITAS","DOTACION VISITA",IF(C114="MTTO","DOTACION MTTO",IF(C114="PLANTA EMERGENCIA","DOTACION RES DE EMERGENCIA",IF(C114="EXTERNOS","DOTACION DE EXTERNO","DOTACION DISPONIBLE")))))))</f>
        <v>DOTACION ASIGNADA</v>
      </c>
    </row>
    <row r="115" spans="1:5" ht="23.25">
      <c r="A115" s="85">
        <v>3</v>
      </c>
      <c r="B115" s="5" t="s">
        <v>2324</v>
      </c>
      <c r="C115" s="3" t="s">
        <v>2215</v>
      </c>
      <c r="D115" s="78" t="s">
        <v>30</v>
      </c>
      <c r="E115" s="22" t="str">
        <f>IF(B115="","",IF(A115=0,"NO HAY ESE CODIGO",IF(COUNTIF(ASIGNACIONES!$B$3:$B948,B115)=1,"DOTACION ASIGNADA",IF(C115="VISITAS","DOTACION VISITA",IF(C115="MTTO","DOTACION MTTO",IF(C115="PLANTA EMERGENCIA","DOTACION RES DE EMERGENCIA",IF(C115="EXTERNOS","DOTACION DE EXTERNO","DOTACION DISPONIBLE")))))))</f>
        <v>DOTACION DISPONIBLE</v>
      </c>
    </row>
    <row r="116" spans="1:5" ht="23.25">
      <c r="A116" s="85">
        <v>3</v>
      </c>
      <c r="B116" s="5" t="s">
        <v>52</v>
      </c>
      <c r="C116" s="3" t="s">
        <v>2215</v>
      </c>
      <c r="D116" s="78" t="s">
        <v>28</v>
      </c>
      <c r="E116" s="22" t="str">
        <f>IF(B116="","",IF(A116=0,"NO HAY ESE CODIGO",IF(COUNTIF(ASIGNACIONES!$B$3:$B948,B116)=1,"DOTACION ASIGNADA",IF(C116="VISITAS","DOTACION VISITA",IF(C116="MTTO","DOTACION MTTO",IF(C116="PLANTA EMERGENCIA","DOTACION RES DE EMERGENCIA",IF(C116="EXTERNOS","DOTACION DE EXTERNO","DOTACION DISPONIBLE")))))))</f>
        <v>DOTACION ASIGNADA</v>
      </c>
    </row>
    <row r="117" spans="1:5" ht="23.25">
      <c r="A117" s="85">
        <v>3</v>
      </c>
      <c r="B117" s="5" t="s">
        <v>715</v>
      </c>
      <c r="C117" s="3" t="s">
        <v>2215</v>
      </c>
      <c r="D117" s="78" t="s">
        <v>28</v>
      </c>
      <c r="E117" s="22" t="str">
        <f>IF(B117="","",IF(A117=0,"NO HAY ESE CODIGO",IF(COUNTIF(ASIGNACIONES!$B$3:$B948,B117)=1,"DOTACION ASIGNADA",IF(C117="VISITAS","DOTACION VISITA",IF(C117="MTTO","DOTACION MTTO",IF(C117="PLANTA EMERGENCIA","DOTACION RES DE EMERGENCIA",IF(C117="EXTERNOS","DOTACION DE EXTERNO","DOTACION DISPONIBLE")))))))</f>
        <v>DOTACION ASIGNADA</v>
      </c>
    </row>
    <row r="118" spans="1:5" ht="23.25">
      <c r="A118" s="85">
        <v>3</v>
      </c>
      <c r="B118" s="5" t="s">
        <v>725</v>
      </c>
      <c r="C118" s="3" t="s">
        <v>2215</v>
      </c>
      <c r="D118" s="78" t="s">
        <v>48</v>
      </c>
      <c r="E118" s="22" t="str">
        <f>IF(B118="","",IF(A118=0,"NO HAY ESE CODIGO",IF(COUNTIF(ASIGNACIONES!$B$3:$B948,B118)=1,"DOTACION ASIGNADA",IF(C118="VISITAS","DOTACION VISITA",IF(C118="MTTO","DOTACION MTTO",IF(C118="PLANTA EMERGENCIA","DOTACION RES DE EMERGENCIA",IF(C118="EXTERNOS","DOTACION DE EXTERNO","DOTACION DISPONIBLE")))))))</f>
        <v>DOTACION ASIGNADA</v>
      </c>
    </row>
    <row r="119" spans="1:5" ht="23.25">
      <c r="A119" s="85">
        <v>3</v>
      </c>
      <c r="B119" s="5" t="s">
        <v>689</v>
      </c>
      <c r="C119" s="3" t="s">
        <v>2215</v>
      </c>
      <c r="D119" s="78" t="s">
        <v>28</v>
      </c>
      <c r="E119" s="22" t="str">
        <f>IF(B119="","",IF(A119=0,"NO HAY ESE CODIGO",IF(COUNTIF(ASIGNACIONES!$B$3:$B948,B119)=1,"DOTACION ASIGNADA",IF(C119="VISITAS","DOTACION VISITA",IF(C119="MTTO","DOTACION MTTO",IF(C119="PLANTA EMERGENCIA","DOTACION RES DE EMERGENCIA",IF(C119="EXTERNOS","DOTACION DE EXTERNO","DOTACION DISPONIBLE")))))))</f>
        <v>DOTACION ASIGNADA</v>
      </c>
    </row>
    <row r="120" spans="1:5" ht="23.25">
      <c r="A120" s="85">
        <v>3</v>
      </c>
      <c r="B120" s="5" t="s">
        <v>88</v>
      </c>
      <c r="C120" s="3" t="s">
        <v>2215</v>
      </c>
      <c r="D120" s="78" t="s">
        <v>30</v>
      </c>
      <c r="E120" s="22" t="str">
        <f>IF(B120="","",IF(A120=0,"NO HAY ESE CODIGO",IF(COUNTIF(ASIGNACIONES!$B$3:$B948,B120)=1,"DOTACION ASIGNADA",IF(C120="VISITAS","DOTACION VISITA",IF(C120="MTTO","DOTACION MTTO",IF(C120="PLANTA EMERGENCIA","DOTACION RES DE EMERGENCIA",IF(C120="EXTERNOS","DOTACION DE EXTERNO","DOTACION DISPONIBLE")))))))</f>
        <v>DOTACION ASIGNADA</v>
      </c>
    </row>
    <row r="121" spans="1:5" ht="23.25">
      <c r="A121" s="85">
        <v>3</v>
      </c>
      <c r="B121" s="5" t="s">
        <v>1891</v>
      </c>
      <c r="C121" s="3" t="s">
        <v>2215</v>
      </c>
      <c r="D121" s="78" t="s">
        <v>28</v>
      </c>
      <c r="E121" s="22" t="str">
        <f>IF(B121="","",IF(A121=0,"NO HAY ESE CODIGO",IF(COUNTIF(ASIGNACIONES!$B$3:$B948,B121)=1,"DOTACION ASIGNADA",IF(C121="VISITAS","DOTACION VISITA",IF(C121="MTTO","DOTACION MTTO",IF(C121="PLANTA EMERGENCIA","DOTACION RES DE EMERGENCIA",IF(C121="EXTERNOS","DOTACION DE EXTERNO","DOTACION DISPONIBLE")))))))</f>
        <v>DOTACION ASIGNADA</v>
      </c>
    </row>
    <row r="122" spans="1:5" ht="23.25">
      <c r="A122" s="85">
        <v>3</v>
      </c>
      <c r="B122" s="5" t="s">
        <v>2196</v>
      </c>
      <c r="C122" s="3" t="s">
        <v>2215</v>
      </c>
      <c r="D122" s="78" t="s">
        <v>716</v>
      </c>
      <c r="E122" s="22" t="str">
        <f>IF(B122="","",IF(A122=0,"NO HAY ESE CODIGO",IF(COUNTIF(ASIGNACIONES!$B$3:$B948,B122)=1,"DOTACION ASIGNADA",IF(C122="VISITAS","DOTACION VISITA",IF(C122="MTTO","DOTACION MTTO",IF(C122="PLANTA EMERGENCIA","DOTACION RES DE EMERGENCIA",IF(C122="EXTERNOS","DOTACION DE EXTERNO","DOTACION DISPONIBLE")))))))</f>
        <v>DOTACION DISPONIBLE</v>
      </c>
    </row>
    <row r="123" spans="1:5" ht="23.25">
      <c r="A123" s="85">
        <v>3</v>
      </c>
      <c r="B123" s="5" t="s">
        <v>740</v>
      </c>
      <c r="C123" s="3" t="s">
        <v>2215</v>
      </c>
      <c r="D123" s="78" t="s">
        <v>716</v>
      </c>
      <c r="E123" s="22" t="str">
        <f>IF(B123="","",IF(A123=0,"NO HAY ESE CODIGO",IF(COUNTIF(ASIGNACIONES!$B$3:$B948,B123)=1,"DOTACION ASIGNADA",IF(C123="VISITAS","DOTACION VISITA",IF(C123="MTTO","DOTACION MTTO",IF(C123="PLANTA EMERGENCIA","DOTACION RES DE EMERGENCIA",IF(C123="EXTERNOS","DOTACION DE EXTERNO","DOTACION DISPONIBLE")))))))</f>
        <v>DOTACION ASIGNADA</v>
      </c>
    </row>
    <row r="124" spans="1:5" ht="23.25">
      <c r="A124" s="85">
        <v>3</v>
      </c>
      <c r="B124" s="5" t="s">
        <v>2334</v>
      </c>
      <c r="C124" s="3" t="s">
        <v>2215</v>
      </c>
      <c r="D124" s="78" t="s">
        <v>48</v>
      </c>
      <c r="E124" s="22" t="str">
        <f>IF(B124="","",IF(A124=0,"NO HAY ESE CODIGO",IF(COUNTIF(ASIGNACIONES!$B$3:$B948,B124)=1,"DOTACION ASIGNADA",IF(C124="VISITAS","DOTACION VISITA",IF(C124="MTTO","DOTACION MTTO",IF(C124="PLANTA EMERGENCIA","DOTACION RES DE EMERGENCIA",IF(C124="EXTERNOS","DOTACION DE EXTERNO","DOTACION DISPONIBLE")))))))</f>
        <v>DOTACION DISPONIBLE</v>
      </c>
    </row>
    <row r="125" spans="1:5" ht="23.25">
      <c r="A125" s="85">
        <v>3</v>
      </c>
      <c r="B125" s="5" t="s">
        <v>1218</v>
      </c>
      <c r="C125" s="3" t="s">
        <v>2215</v>
      </c>
      <c r="D125" s="78" t="s">
        <v>30</v>
      </c>
      <c r="E125" s="22" t="str">
        <f>IF(B125="","",IF(A125=0,"NO HAY ESE CODIGO",IF(COUNTIF(ASIGNACIONES!$B$3:$B948,B125)=1,"DOTACION ASIGNADA",IF(C125="VISITAS","DOTACION VISITA",IF(C125="MTTO","DOTACION MTTO",IF(C125="PLANTA EMERGENCIA","DOTACION RES DE EMERGENCIA",IF(C125="EXTERNOS","DOTACION DE EXTERNO","DOTACION DISPONIBLE")))))))</f>
        <v>DOTACION DISPONIBLE</v>
      </c>
    </row>
    <row r="126" spans="1:5" ht="23.25">
      <c r="A126" s="85">
        <v>3</v>
      </c>
      <c r="B126" s="5" t="s">
        <v>752</v>
      </c>
      <c r="C126" s="3" t="s">
        <v>2215</v>
      </c>
      <c r="D126" s="78" t="s">
        <v>716</v>
      </c>
      <c r="E126" s="22" t="str">
        <f>IF(B126="","",IF(A126=0,"NO HAY ESE CODIGO",IF(COUNTIF(ASIGNACIONES!$B$3:$B948,B126)=1,"DOTACION ASIGNADA",IF(C126="VISITAS","DOTACION VISITA",IF(C126="MTTO","DOTACION MTTO",IF(C126="PLANTA EMERGENCIA","DOTACION RES DE EMERGENCIA",IF(C126="EXTERNOS","DOTACION DE EXTERNO","DOTACION DISPONIBLE")))))))</f>
        <v>DOTACION ASIGNADA</v>
      </c>
    </row>
    <row r="127" spans="1:5" ht="23.25">
      <c r="A127" s="85">
        <v>2</v>
      </c>
      <c r="B127" s="5" t="s">
        <v>101</v>
      </c>
      <c r="C127" s="3" t="s">
        <v>2215</v>
      </c>
      <c r="D127" s="78" t="s">
        <v>28</v>
      </c>
      <c r="E127" s="22" t="str">
        <f>IF(B127="","",IF(A127=0,"NO HAY ESE CODIGO",IF(COUNTIF(ASIGNACIONES!$B$3:$B948,B127)=1,"DOTACION ASIGNADA",IF(C127="VISITAS","DOTACION VISITA",IF(C127="MTTO","DOTACION MTTO",IF(C127="PLANTA EMERGENCIA","DOTACION RES DE EMERGENCIA",IF(C127="EXTERNOS","DOTACION DE EXTERNO","DOTACION DISPONIBLE")))))))</f>
        <v>DOTACION ASIGNADA</v>
      </c>
    </row>
    <row r="128" spans="1:5" ht="23.25">
      <c r="A128" s="85">
        <v>3</v>
      </c>
      <c r="B128" s="5" t="s">
        <v>992</v>
      </c>
      <c r="C128" s="3" t="s">
        <v>2215</v>
      </c>
      <c r="D128" s="78" t="s">
        <v>30</v>
      </c>
      <c r="E128" s="22" t="str">
        <f>IF(B128="","",IF(A128=0,"NO HAY ESE CODIGO",IF(COUNTIF(ASIGNACIONES!$B$3:$B948,B128)=1,"DOTACION ASIGNADA",IF(C128="VISITAS","DOTACION VISITA",IF(C128="MTTO","DOTACION MTTO",IF(C128="PLANTA EMERGENCIA","DOTACION RES DE EMERGENCIA",IF(C128="EXTERNOS","DOTACION DE EXTERNO","DOTACION DISPONIBLE")))))))</f>
        <v>DOTACION ASIGNADA</v>
      </c>
    </row>
    <row r="129" spans="1:5" ht="23.25">
      <c r="A129" s="85">
        <v>3</v>
      </c>
      <c r="B129" s="5" t="s">
        <v>1105</v>
      </c>
      <c r="C129" s="3" t="s">
        <v>2215</v>
      </c>
      <c r="D129" s="78" t="s">
        <v>97</v>
      </c>
      <c r="E129" s="22" t="str">
        <f>IF(B129="","",IF(A129=0,"NO HAY ESE CODIGO",IF(COUNTIF(ASIGNACIONES!$B$3:$B948,B129)=1,"DOTACION ASIGNADA",IF(C129="VISITAS","DOTACION VISITA",IF(C129="MTTO","DOTACION MTTO",IF(C129="PLANTA EMERGENCIA","DOTACION RES DE EMERGENCIA",IF(C129="EXTERNOS","DOTACION DE EXTERNO","DOTACION DISPONIBLE")))))))</f>
        <v>DOTACION ASIGNADA</v>
      </c>
    </row>
    <row r="130" spans="1:5" ht="23.25">
      <c r="A130" s="85">
        <v>2</v>
      </c>
      <c r="B130" s="5" t="s">
        <v>167</v>
      </c>
      <c r="C130" s="3" t="s">
        <v>2215</v>
      </c>
      <c r="D130" s="78" t="s">
        <v>28</v>
      </c>
      <c r="E130" s="22" t="str">
        <f>IF(B130="","",IF(A130=0,"NO HAY ESE CODIGO",IF(COUNTIF(ASIGNACIONES!$B$3:$B948,B130)=1,"DOTACION ASIGNADA",IF(C130="VISITAS","DOTACION VISITA",IF(C130="MTTO","DOTACION MTTO",IF(C130="PLANTA EMERGENCIA","DOTACION RES DE EMERGENCIA",IF(C130="EXTERNOS","DOTACION DE EXTERNO","DOTACION DISPONIBLE")))))))</f>
        <v>DOTACION ASIGNADA</v>
      </c>
    </row>
    <row r="131" spans="1:5" ht="23.25">
      <c r="A131" s="85">
        <v>2</v>
      </c>
      <c r="B131" s="5" t="s">
        <v>388</v>
      </c>
      <c r="C131" s="3" t="s">
        <v>2215</v>
      </c>
      <c r="D131" s="78" t="s">
        <v>28</v>
      </c>
      <c r="E131" s="22" t="str">
        <f>IF(B131="","",IF(A131=0,"NO HAY ESE CODIGO",IF(COUNTIF(ASIGNACIONES!$B$3:$B948,B131)=1,"DOTACION ASIGNADA",IF(C131="VISITAS","DOTACION VISITA",IF(C131="MTTO","DOTACION MTTO",IF(C131="PLANTA EMERGENCIA","DOTACION RES DE EMERGENCIA",IF(C131="EXTERNOS","DOTACION DE EXTERNO","DOTACION DISPONIBLE")))))))</f>
        <v>DOTACION ASIGNADA</v>
      </c>
    </row>
    <row r="132" spans="1:5" ht="23.25">
      <c r="A132" s="85">
        <v>3</v>
      </c>
      <c r="B132" s="5" t="s">
        <v>2080</v>
      </c>
      <c r="C132" s="3" t="s">
        <v>2215</v>
      </c>
      <c r="D132" s="78" t="s">
        <v>28</v>
      </c>
      <c r="E132" s="22" t="str">
        <f>IF(B132="","",IF(A132=0,"NO HAY ESE CODIGO",IF(COUNTIF(ASIGNACIONES!$B$3:$B948,B132)=1,"DOTACION ASIGNADA",IF(C132="VISITAS","DOTACION VISITA",IF(C132="MTTO","DOTACION MTTO",IF(C132="PLANTA EMERGENCIA","DOTACION RES DE EMERGENCIA",IF(C132="EXTERNOS","DOTACION DE EXTERNO","DOTACION DISPONIBLE")))))))</f>
        <v>DOTACION ASIGNADA</v>
      </c>
    </row>
    <row r="133" spans="1:5" ht="23.25">
      <c r="A133" s="85">
        <v>3</v>
      </c>
      <c r="B133" s="5" t="s">
        <v>2073</v>
      </c>
      <c r="C133" s="3" t="s">
        <v>2215</v>
      </c>
      <c r="D133" s="78" t="s">
        <v>28</v>
      </c>
      <c r="E133" s="22" t="str">
        <f>IF(B133="","",IF(A133=0,"NO HAY ESE CODIGO",IF(COUNTIF(ASIGNACIONES!$B$3:$B948,B133)=1,"DOTACION ASIGNADA",IF(C133="VISITAS","DOTACION VISITA",IF(C133="MTTO","DOTACION MTTO",IF(C133="PLANTA EMERGENCIA","DOTACION RES DE EMERGENCIA",IF(C133="EXTERNOS","DOTACION DE EXTERNO","DOTACION DISPONIBLE")))))))</f>
        <v>DOTACION ASIGNADA</v>
      </c>
    </row>
    <row r="134" spans="1:5" ht="23.25">
      <c r="A134" s="85">
        <v>3</v>
      </c>
      <c r="B134" s="5" t="s">
        <v>1521</v>
      </c>
      <c r="C134" s="3" t="s">
        <v>2215</v>
      </c>
      <c r="D134" s="78" t="s">
        <v>28</v>
      </c>
      <c r="E134" s="22" t="str">
        <f>IF(B134="","",IF(A134=0,"NO HAY ESE CODIGO",IF(COUNTIF(ASIGNACIONES!$B$3:$B948,B134)=1,"DOTACION ASIGNADA",IF(C134="VISITAS","DOTACION VISITA",IF(C134="MTTO","DOTACION MTTO",IF(C134="PLANTA EMERGENCIA","DOTACION RES DE EMERGENCIA",IF(C134="EXTERNOS","DOTACION DE EXTERNO","DOTACION DISPONIBLE")))))))</f>
        <v>DOTACION ASIGNADA</v>
      </c>
    </row>
    <row r="135" spans="1:5" ht="23.25">
      <c r="A135" s="85">
        <v>3</v>
      </c>
      <c r="B135" s="5" t="s">
        <v>1265</v>
      </c>
      <c r="C135" s="3" t="s">
        <v>2215</v>
      </c>
      <c r="D135" s="78" t="s">
        <v>28</v>
      </c>
      <c r="E135" s="22" t="str">
        <f>IF(B135="","",IF(A135=0,"NO HAY ESE CODIGO",IF(COUNTIF(ASIGNACIONES!$B$3:$B948,B135)=1,"DOTACION ASIGNADA",IF(C135="VISITAS","DOTACION VISITA",IF(C135="MTTO","DOTACION MTTO",IF(C135="PLANTA EMERGENCIA","DOTACION RES DE EMERGENCIA",IF(C135="EXTERNOS","DOTACION DE EXTERNO","DOTACION DISPONIBLE")))))))</f>
        <v>DOTACION ASIGNADA</v>
      </c>
    </row>
    <row r="136" spans="1:5" ht="23.25">
      <c r="A136" s="85">
        <v>3</v>
      </c>
      <c r="B136" s="5" t="s">
        <v>1009</v>
      </c>
      <c r="C136" s="3" t="s">
        <v>2215</v>
      </c>
      <c r="D136" s="78" t="s">
        <v>28</v>
      </c>
      <c r="E136" s="22" t="str">
        <f>IF(B136="","",IF(A136=0,"NO HAY ESE CODIGO",IF(COUNTIF(ASIGNACIONES!$B$3:$B948,B136)=1,"DOTACION ASIGNADA",IF(C136="VISITAS","DOTACION VISITA",IF(C136="MTTO","DOTACION MTTO",IF(C136="PLANTA EMERGENCIA","DOTACION RES DE EMERGENCIA",IF(C136="EXTERNOS","DOTACION DE EXTERNO","DOTACION DISPONIBLE")))))))</f>
        <v>DOTACION ASIGNADA</v>
      </c>
    </row>
    <row r="137" spans="1:5" ht="23.25">
      <c r="A137" s="85">
        <v>3</v>
      </c>
      <c r="B137" s="5" t="s">
        <v>2348</v>
      </c>
      <c r="C137" s="3" t="s">
        <v>2215</v>
      </c>
      <c r="D137" s="78" t="s">
        <v>30</v>
      </c>
      <c r="E137" s="22" t="str">
        <f>IF(B137="","",IF(A137=0,"NO HAY ESE CODIGO",IF(COUNTIF(ASIGNACIONES!$B$3:$B948,B137)=1,"DOTACION ASIGNADA",IF(C137="VISITAS","DOTACION VISITA",IF(C137="MTTO","DOTACION MTTO",IF(C137="PLANTA EMERGENCIA","DOTACION RES DE EMERGENCIA",IF(C137="EXTERNOS","DOTACION DE EXTERNO","DOTACION DISPONIBLE")))))))</f>
        <v>DOTACION DISPONIBLE</v>
      </c>
    </row>
    <row r="138" spans="1:5" ht="23.25">
      <c r="A138" s="85">
        <v>3</v>
      </c>
      <c r="B138" s="5" t="s">
        <v>2350</v>
      </c>
      <c r="C138" s="3" t="s">
        <v>2215</v>
      </c>
      <c r="D138" s="78" t="s">
        <v>30</v>
      </c>
      <c r="E138" s="22" t="str">
        <f>IF(B138="","",IF(A138=0,"NO HAY ESE CODIGO",IF(COUNTIF(ASIGNACIONES!$B$3:$B948,B138)=1,"DOTACION ASIGNADA",IF(C138="VISITAS","DOTACION VISITA",IF(C138="MTTO","DOTACION MTTO",IF(C138="PLANTA EMERGENCIA","DOTACION RES DE EMERGENCIA",IF(C138="EXTERNOS","DOTACION DE EXTERNO","DOTACION DISPONIBLE")))))))</f>
        <v>DOTACION DISPONIBLE</v>
      </c>
    </row>
    <row r="139" spans="1:5" ht="23.25">
      <c r="A139" s="85">
        <v>2</v>
      </c>
      <c r="B139" s="5" t="s">
        <v>1093</v>
      </c>
      <c r="C139" s="3" t="s">
        <v>2215</v>
      </c>
      <c r="D139" s="78" t="s">
        <v>28</v>
      </c>
      <c r="E139" s="22" t="str">
        <f>IF(B139="","",IF(A139=0,"NO HAY ESE CODIGO",IF(COUNTIF(ASIGNACIONES!$B$3:$B948,B139)=1,"DOTACION ASIGNADA",IF(C139="VISITAS","DOTACION VISITA",IF(C139="MTTO","DOTACION MTTO",IF(C139="PLANTA EMERGENCIA","DOTACION RES DE EMERGENCIA",IF(C139="EXTERNOS","DOTACION DE EXTERNO","DOTACION DISPONIBLE")))))))</f>
        <v>DOTACION ASIGNADA</v>
      </c>
    </row>
    <row r="140" spans="1:5" ht="23.25">
      <c r="A140" s="85">
        <v>3</v>
      </c>
      <c r="B140" s="5" t="s">
        <v>225</v>
      </c>
      <c r="C140" s="3" t="s">
        <v>2215</v>
      </c>
      <c r="D140" s="78" t="s">
        <v>48</v>
      </c>
      <c r="E140" s="22" t="str">
        <f>IF(B140="","",IF(A140=0,"NO HAY ESE CODIGO",IF(COUNTIF(ASIGNACIONES!$B$3:$B948,B140)=1,"DOTACION ASIGNADA",IF(C140="VISITAS","DOTACION VISITA",IF(C140="MTTO","DOTACION MTTO",IF(C140="PLANTA EMERGENCIA","DOTACION RES DE EMERGENCIA",IF(C140="EXTERNOS","DOTACION DE EXTERNO","DOTACION DISPONIBLE")))))))</f>
        <v>DOTACION ASIGNADA</v>
      </c>
    </row>
    <row r="141" spans="1:5" ht="23.25">
      <c r="A141" s="85">
        <v>3</v>
      </c>
      <c r="B141" s="5" t="s">
        <v>771</v>
      </c>
      <c r="C141" s="3" t="s">
        <v>2215</v>
      </c>
      <c r="D141" s="78" t="s">
        <v>48</v>
      </c>
      <c r="E141" s="22" t="str">
        <f>IF(B141="","",IF(A141=0,"NO HAY ESE CODIGO",IF(COUNTIF(ASIGNACIONES!$B$3:$B948,B141)=1,"DOTACION ASIGNADA",IF(C141="VISITAS","DOTACION VISITA",IF(C141="MTTO","DOTACION MTTO",IF(C141="PLANTA EMERGENCIA","DOTACION RES DE EMERGENCIA",IF(C141="EXTERNOS","DOTACION DE EXTERNO","DOTACION DISPONIBLE")))))))</f>
        <v>DOTACION ASIGNADA</v>
      </c>
    </row>
    <row r="142" spans="1:5" ht="23.25">
      <c r="A142" s="85">
        <v>3</v>
      </c>
      <c r="B142" s="5" t="s">
        <v>1071</v>
      </c>
      <c r="C142" s="3" t="s">
        <v>2215</v>
      </c>
      <c r="D142" s="78" t="s">
        <v>48</v>
      </c>
      <c r="E142" s="22" t="str">
        <f>IF(B142="","",IF(A142=0,"NO HAY ESE CODIGO",IF(COUNTIF(ASIGNACIONES!$B$3:$B948,B142)=1,"DOTACION ASIGNADA",IF(C142="VISITAS","DOTACION VISITA",IF(C142="MTTO","DOTACION MTTO",IF(C142="PLANTA EMERGENCIA","DOTACION RES DE EMERGENCIA",IF(C142="EXTERNOS","DOTACION DE EXTERNO","DOTACION DISPONIBLE")))))))</f>
        <v>DOTACION ASIGNADA</v>
      </c>
    </row>
    <row r="143" spans="1:5" ht="23.25">
      <c r="A143" s="85">
        <v>2</v>
      </c>
      <c r="B143" s="5" t="s">
        <v>362</v>
      </c>
      <c r="C143" s="3" t="s">
        <v>2215</v>
      </c>
      <c r="D143" s="78" t="s">
        <v>28</v>
      </c>
      <c r="E143" s="22" t="str">
        <f>IF(B143="","",IF(A143=0,"NO HAY ESE CODIGO",IF(COUNTIF(ASIGNACIONES!$B$3:$B948,B143)=1,"DOTACION ASIGNADA",IF(C143="VISITAS","DOTACION VISITA",IF(C143="MTTO","DOTACION MTTO",IF(C143="PLANTA EMERGENCIA","DOTACION RES DE EMERGENCIA",IF(C143="EXTERNOS","DOTACION DE EXTERNO","DOTACION DISPONIBLE")))))))</f>
        <v>DOTACION ASIGNADA</v>
      </c>
    </row>
    <row r="144" spans="1:5" ht="23.25">
      <c r="A144" s="85">
        <v>3</v>
      </c>
      <c r="B144" s="5" t="s">
        <v>1455</v>
      </c>
      <c r="C144" s="3" t="s">
        <v>2215</v>
      </c>
      <c r="D144" s="78" t="s">
        <v>28</v>
      </c>
      <c r="E144" s="22" t="str">
        <f>IF(B144="","",IF(A144=0,"NO HAY ESE CODIGO",IF(COUNTIF(ASIGNACIONES!$B$3:$B948,B144)=1,"DOTACION ASIGNADA",IF(C144="VISITAS","DOTACION VISITA",IF(C144="MTTO","DOTACION MTTO",IF(C144="PLANTA EMERGENCIA","DOTACION RES DE EMERGENCIA",IF(C144="EXTERNOS","DOTACION DE EXTERNO","DOTACION DISPONIBLE")))))))</f>
        <v>DOTACION ASIGNADA</v>
      </c>
    </row>
    <row r="145" spans="1:5" ht="23.25">
      <c r="A145" s="85">
        <v>3</v>
      </c>
      <c r="B145" s="5" t="s">
        <v>870</v>
      </c>
      <c r="C145" s="3" t="s">
        <v>2215</v>
      </c>
      <c r="D145" s="78" t="s">
        <v>28</v>
      </c>
      <c r="E145" s="22" t="str">
        <f>IF(B145="","",IF(A145=0,"NO HAY ESE CODIGO",IF(COUNTIF(ASIGNACIONES!$B$3:$B948,B145)=1,"DOTACION ASIGNADA",IF(C145="VISITAS","DOTACION VISITA",IF(C145="MTTO","DOTACION MTTO",IF(C145="PLANTA EMERGENCIA","DOTACION RES DE EMERGENCIA",IF(C145="EXTERNOS","DOTACION DE EXTERNO","DOTACION DISPONIBLE")))))))</f>
        <v>DOTACION ASIGNADA</v>
      </c>
    </row>
    <row r="146" spans="1:5" ht="23.25">
      <c r="A146" s="85">
        <v>3</v>
      </c>
      <c r="B146" s="5" t="s">
        <v>77</v>
      </c>
      <c r="C146" s="3" t="s">
        <v>2215</v>
      </c>
      <c r="D146" s="78" t="s">
        <v>28</v>
      </c>
      <c r="E146" s="22" t="str">
        <f>IF(B146="","",IF(A146=0,"NO HAY ESE CODIGO",IF(COUNTIF(ASIGNACIONES!$B$3:$B948,B146)=1,"DOTACION ASIGNADA",IF(C146="VISITAS","DOTACION VISITA",IF(C146="MTTO","DOTACION MTTO",IF(C146="PLANTA EMERGENCIA","DOTACION RES DE EMERGENCIA",IF(C146="EXTERNOS","DOTACION DE EXTERNO","DOTACION DISPONIBLE")))))))</f>
        <v>DOTACION DISPONIBLE</v>
      </c>
    </row>
    <row r="147" spans="1:5" ht="23.25">
      <c r="A147" s="85">
        <v>3</v>
      </c>
      <c r="B147" s="5" t="s">
        <v>940</v>
      </c>
      <c r="C147" s="3" t="s">
        <v>2215</v>
      </c>
      <c r="D147" s="78" t="s">
        <v>28</v>
      </c>
      <c r="E147" s="22" t="str">
        <f>IF(B147="","",IF(A147=0,"NO HAY ESE CODIGO",IF(COUNTIF(ASIGNACIONES!$B$3:$B948,B147)=1,"DOTACION ASIGNADA",IF(C147="VISITAS","DOTACION VISITA",IF(C147="MTTO","DOTACION MTTO",IF(C147="PLANTA EMERGENCIA","DOTACION RES DE EMERGENCIA",IF(C147="EXTERNOS","DOTACION DE EXTERNO","DOTACION DISPONIBLE")))))))</f>
        <v>DOTACION ASIGNADA</v>
      </c>
    </row>
    <row r="148" spans="1:5" ht="23.25">
      <c r="A148" s="85">
        <v>3</v>
      </c>
      <c r="B148" s="5" t="s">
        <v>558</v>
      </c>
      <c r="C148" s="3" t="s">
        <v>2215</v>
      </c>
      <c r="D148" s="78" t="s">
        <v>30</v>
      </c>
      <c r="E148" s="22" t="str">
        <f>IF(B148="","",IF(A148=0,"NO HAY ESE CODIGO",IF(COUNTIF(ASIGNACIONES!$B$3:$B948,B148)=1,"DOTACION ASIGNADA",IF(C148="VISITAS","DOTACION VISITA",IF(C148="MTTO","DOTACION MTTO",IF(C148="PLANTA EMERGENCIA","DOTACION RES DE EMERGENCIA",IF(C148="EXTERNOS","DOTACION DE EXTERNO","DOTACION DISPONIBLE")))))))</f>
        <v>DOTACION ASIGNADA</v>
      </c>
    </row>
    <row r="149" spans="1:5" ht="23.25">
      <c r="A149" s="85">
        <v>3</v>
      </c>
      <c r="B149" s="5" t="s">
        <v>1670</v>
      </c>
      <c r="C149" s="3" t="s">
        <v>2215</v>
      </c>
      <c r="D149" s="78" t="s">
        <v>28</v>
      </c>
      <c r="E149" s="22" t="str">
        <f>IF(B149="","",IF(A149=0,"NO HAY ESE CODIGO",IF(COUNTIF(ASIGNACIONES!$B$3:$B948,B149)=1,"DOTACION ASIGNADA",IF(C149="VISITAS","DOTACION VISITA",IF(C149="MTTO","DOTACION MTTO",IF(C149="PLANTA EMERGENCIA","DOTACION RES DE EMERGENCIA",IF(C149="EXTERNOS","DOTACION DE EXTERNO","DOTACION DISPONIBLE")))))))</f>
        <v>DOTACION ASIGNADA</v>
      </c>
    </row>
    <row r="150" spans="1:5" ht="23.25">
      <c r="A150" s="85">
        <v>3</v>
      </c>
      <c r="B150" s="5" t="s">
        <v>309</v>
      </c>
      <c r="C150" s="56" t="s">
        <v>2215</v>
      </c>
      <c r="D150" s="78" t="s">
        <v>28</v>
      </c>
      <c r="E150" s="22" t="str">
        <f>IF(B150="","",IF(A150=0,"NO HAY ESE CODIGO",IF(COUNTIF(ASIGNACIONES!$B$3:$B948,B150)=1,"DOTACION ASIGNADA",IF(C150="VISITAS","DOTACION VISITA",IF(C150="MTTO","DOTACION MTTO",IF(C150="PLANTA EMERGENCIA","DOTACION RES DE EMERGENCIA",IF(C150="EXTERNOS","DOTACION DE EXTERNO","DOTACION DISPONIBLE")))))))</f>
        <v>DOTACION ASIGNADA</v>
      </c>
    </row>
    <row r="151" spans="1:5" ht="23.25">
      <c r="A151" s="85">
        <v>3</v>
      </c>
      <c r="B151" s="5" t="s">
        <v>779</v>
      </c>
      <c r="C151" s="56" t="s">
        <v>2215</v>
      </c>
      <c r="D151" s="78" t="s">
        <v>28</v>
      </c>
      <c r="E151" s="22" t="str">
        <f>IF(B151="","",IF(A151=0,"NO HAY ESE CODIGO",IF(COUNTIF(ASIGNACIONES!$B$3:$B948,B151)=1,"DOTACION ASIGNADA",IF(C151="VISITAS","DOTACION VISITA",IF(C151="MTTO","DOTACION MTTO",IF(C151="PLANTA EMERGENCIA","DOTACION RES DE EMERGENCIA",IF(C151="EXTERNOS","DOTACION DE EXTERNO","DOTACION DISPONIBLE")))))))</f>
        <v>DOTACION ASIGNADA</v>
      </c>
    </row>
    <row r="152" spans="1:5" ht="23.25">
      <c r="A152" s="85">
        <v>3</v>
      </c>
      <c r="B152" s="5" t="s">
        <v>988</v>
      </c>
      <c r="C152" s="3" t="s">
        <v>2215</v>
      </c>
      <c r="D152" s="78" t="s">
        <v>28</v>
      </c>
      <c r="E152" s="22" t="str">
        <f>IF(B152="","",IF(A152=0,"NO HAY ESE CODIGO",IF(COUNTIF(ASIGNACIONES!$B$3:$B948,B152)=1,"DOTACION ASIGNADA",IF(C152="VISITAS","DOTACION VISITA",IF(C152="MTTO","DOTACION MTTO",IF(C152="PLANTA EMERGENCIA","DOTACION RES DE EMERGENCIA",IF(C152="EXTERNOS","DOTACION DE EXTERNO","DOTACION DISPONIBLE")))))))</f>
        <v>DOTACION ASIGNADA</v>
      </c>
    </row>
    <row r="153" spans="1:5" ht="23.25">
      <c r="A153" s="85">
        <v>3</v>
      </c>
      <c r="B153" s="5" t="s">
        <v>787</v>
      </c>
      <c r="C153" s="56" t="s">
        <v>2215</v>
      </c>
      <c r="D153" s="78" t="s">
        <v>30</v>
      </c>
      <c r="E153" s="22" t="str">
        <f>IF(B153="","",IF(A153=0,"NO HAY ESE CODIGO",IF(COUNTIF(ASIGNACIONES!$B$3:$B948,B153)=1,"DOTACION ASIGNADA",IF(C153="VISITAS","DOTACION VISITA",IF(C153="MTTO","DOTACION MTTO",IF(C153="PLANTA EMERGENCIA","DOTACION RES DE EMERGENCIA",IF(C153="EXTERNOS","DOTACION DE EXTERNO","DOTACION DISPONIBLE")))))))</f>
        <v>DOTACION ASIGNADA</v>
      </c>
    </row>
    <row r="154" spans="1:5" ht="23.25">
      <c r="A154" s="85">
        <v>3</v>
      </c>
      <c r="B154" s="5" t="s">
        <v>968</v>
      </c>
      <c r="C154" s="3" t="s">
        <v>2215</v>
      </c>
      <c r="D154" s="78" t="s">
        <v>28</v>
      </c>
      <c r="E154" s="22" t="str">
        <f>IF(B154="","",IF(A154=0,"NO HAY ESE CODIGO",IF(COUNTIF(ASIGNACIONES!$B$3:$B948,B154)=1,"DOTACION ASIGNADA",IF(C154="VISITAS","DOTACION VISITA",IF(C154="MTTO","DOTACION MTTO",IF(C154="PLANTA EMERGENCIA","DOTACION RES DE EMERGENCIA",IF(C154="EXTERNOS","DOTACION DE EXTERNO","DOTACION DISPONIBLE")))))))</f>
        <v>DOTACION ASIGNADA</v>
      </c>
    </row>
    <row r="155" spans="1:5" ht="23.25">
      <c r="A155" s="85">
        <v>3</v>
      </c>
      <c r="B155" s="5" t="s">
        <v>2200</v>
      </c>
      <c r="C155" s="3" t="s">
        <v>2215</v>
      </c>
      <c r="D155" s="78" t="s">
        <v>502</v>
      </c>
      <c r="E155" s="22" t="str">
        <f>IF(B155="","",IF(A155=0,"NO HAY ESE CODIGO",IF(COUNTIF(ASIGNACIONES!$B$3:$B948,B155)=1,"DOTACION ASIGNADA",IF(C155="VISITAS","DOTACION VISITA",IF(C155="MTTO","DOTACION MTTO",IF(C155="PLANTA EMERGENCIA","DOTACION RES DE EMERGENCIA",IF(C155="EXTERNOS","DOTACION DE EXTERNO","DOTACION DISPONIBLE")))))))</f>
        <v>DOTACION DISPONIBLE</v>
      </c>
    </row>
    <row r="156" spans="1:5" ht="23.25">
      <c r="A156" s="85">
        <v>3</v>
      </c>
      <c r="B156" s="5" t="s">
        <v>1527</v>
      </c>
      <c r="C156" s="56" t="s">
        <v>2215</v>
      </c>
      <c r="D156" s="78" t="s">
        <v>28</v>
      </c>
      <c r="E156" s="22" t="str">
        <f>IF(B156="","",IF(A156=0,"NO HAY ESE CODIGO",IF(COUNTIF(ASIGNACIONES!$B$3:$B948,B156)=1,"DOTACION ASIGNADA",IF(C156="VISITAS","DOTACION VISITA",IF(C156="MTTO","DOTACION MTTO",IF(C156="PLANTA EMERGENCIA","DOTACION RES DE EMERGENCIA",IF(C156="EXTERNOS","DOTACION DE EXTERNO","DOTACION DISPONIBLE")))))))</f>
        <v>DOTACION ASIGNADA</v>
      </c>
    </row>
    <row r="157" spans="1:5" ht="23.25">
      <c r="A157" s="85">
        <v>2</v>
      </c>
      <c r="B157" s="5" t="s">
        <v>1429</v>
      </c>
      <c r="C157" s="56" t="s">
        <v>2215</v>
      </c>
      <c r="D157" s="78" t="s">
        <v>28</v>
      </c>
      <c r="E157" s="22" t="str">
        <f>IF(B157="","",IF(A157=0,"NO HAY ESE CODIGO",IF(COUNTIF(ASIGNACIONES!$B$3:$B948,B157)=1,"DOTACION ASIGNADA",IF(C157="VISITAS","DOTACION VISITA",IF(C157="MTTO","DOTACION MTTO",IF(C157="PLANTA EMERGENCIA","DOTACION RES DE EMERGENCIA",IF(C157="EXTERNOS","DOTACION DE EXTERNO","DOTACION DISPONIBLE")))))))</f>
        <v>DOTACION ASIGNADA</v>
      </c>
    </row>
    <row r="158" spans="1:5" ht="23.25">
      <c r="A158" s="85">
        <v>3</v>
      </c>
      <c r="B158" s="5" t="s">
        <v>798</v>
      </c>
      <c r="C158" s="56" t="s">
        <v>2215</v>
      </c>
      <c r="D158" s="78" t="s">
        <v>28</v>
      </c>
      <c r="E158" s="22" t="str">
        <f>IF(B158="","",IF(A158=0,"NO HAY ESE CODIGO",IF(COUNTIF(ASIGNACIONES!$B$3:$B948,B158)=1,"DOTACION ASIGNADA",IF(C158="VISITAS","DOTACION VISITA",IF(C158="MTTO","DOTACION MTTO",IF(C158="PLANTA EMERGENCIA","DOTACION RES DE EMERGENCIA",IF(C158="EXTERNOS","DOTACION DE EXTERNO","DOTACION DISPONIBLE")))))))</f>
        <v>DOTACION ASIGNADA</v>
      </c>
    </row>
    <row r="159" spans="1:5" ht="23.25">
      <c r="A159" s="85">
        <v>3</v>
      </c>
      <c r="B159" s="5" t="s">
        <v>813</v>
      </c>
      <c r="C159" s="3" t="s">
        <v>2215</v>
      </c>
      <c r="D159" s="78" t="s">
        <v>28</v>
      </c>
      <c r="E159" s="22" t="str">
        <f>IF(B159="","",IF(A159=0,"NO HAY ESE CODIGO",IF(COUNTIF(ASIGNACIONES!$B$3:$B948,B159)=1,"DOTACION ASIGNADA",IF(C159="VISITAS","DOTACION VISITA",IF(C159="MTTO","DOTACION MTTO",IF(C159="PLANTA EMERGENCIA","DOTACION RES DE EMERGENCIA",IF(C159="EXTERNOS","DOTACION DE EXTERNO","DOTACION DISPONIBLE")))))))</f>
        <v>DOTACION ASIGNADA</v>
      </c>
    </row>
    <row r="160" spans="1:5" ht="23.25">
      <c r="A160" s="85">
        <v>3</v>
      </c>
      <c r="B160" s="5" t="s">
        <v>826</v>
      </c>
      <c r="C160" s="56" t="s">
        <v>2215</v>
      </c>
      <c r="D160" s="78" t="s">
        <v>28</v>
      </c>
      <c r="E160" s="22" t="str">
        <f>IF(B160="","",IF(A160=0,"NO HAY ESE CODIGO",IF(COUNTIF(ASIGNACIONES!$B$3:$B948,B160)=1,"DOTACION ASIGNADA",IF(C160="VISITAS","DOTACION VISITA",IF(C160="MTTO","DOTACION MTTO",IF(C160="PLANTA EMERGENCIA","DOTACION RES DE EMERGENCIA",IF(C160="EXTERNOS","DOTACION DE EXTERNO","DOTACION DISPONIBLE")))))))</f>
        <v>DOTACION ASIGNADA</v>
      </c>
    </row>
    <row r="161" spans="1:5" ht="23.25">
      <c r="A161" s="85">
        <v>3</v>
      </c>
      <c r="B161" s="5" t="s">
        <v>123</v>
      </c>
      <c r="C161" s="3" t="s">
        <v>2215</v>
      </c>
      <c r="D161" s="78" t="s">
        <v>30</v>
      </c>
      <c r="E161" s="22" t="str">
        <f>IF(B161="","",IF(A161=0,"NO HAY ESE CODIGO",IF(COUNTIF(ASIGNACIONES!$B$3:$B948,B161)=1,"DOTACION ASIGNADA",IF(C161="VISITAS","DOTACION VISITA",IF(C161="MTTO","DOTACION MTTO",IF(C161="PLANTA EMERGENCIA","DOTACION RES DE EMERGENCIA",IF(C161="EXTERNOS","DOTACION DE EXTERNO","DOTACION DISPONIBLE")))))))</f>
        <v>DOTACION ASIGNADA</v>
      </c>
    </row>
    <row r="162" spans="1:5" ht="23.25">
      <c r="A162" s="85">
        <v>3</v>
      </c>
      <c r="B162" s="5" t="s">
        <v>840</v>
      </c>
      <c r="C162" s="56" t="s">
        <v>2215</v>
      </c>
      <c r="D162" s="78" t="s">
        <v>28</v>
      </c>
      <c r="E162" s="22" t="str">
        <f>IF(B162="","",IF(A162=0,"NO HAY ESE CODIGO",IF(COUNTIF(ASIGNACIONES!$B$3:$B948,B162)=1,"DOTACION ASIGNADA",IF(C162="VISITAS","DOTACION VISITA",IF(C162="MTTO","DOTACION MTTO",IF(C162="PLANTA EMERGENCIA","DOTACION RES DE EMERGENCIA",IF(C162="EXTERNOS","DOTACION DE EXTERNO","DOTACION DISPONIBLE")))))))</f>
        <v>DOTACION ASIGNADA</v>
      </c>
    </row>
    <row r="163" spans="1:5" ht="23.25">
      <c r="A163" s="85">
        <v>3</v>
      </c>
      <c r="B163" s="5" t="s">
        <v>1489</v>
      </c>
      <c r="C163" s="3" t="s">
        <v>2215</v>
      </c>
      <c r="D163" s="78" t="s">
        <v>28</v>
      </c>
      <c r="E163" s="22" t="str">
        <f>IF(B163="","",IF(A163=0,"NO HAY ESE CODIGO",IF(COUNTIF(ASIGNACIONES!$B$3:$B948,B163)=1,"DOTACION ASIGNADA",IF(C163="VISITAS","DOTACION VISITA",IF(C163="MTTO","DOTACION MTTO",IF(C163="PLANTA EMERGENCIA","DOTACION RES DE EMERGENCIA",IF(C163="EXTERNOS","DOTACION DE EXTERNO","DOTACION DISPONIBLE")))))))</f>
        <v>DOTACION ASIGNADA</v>
      </c>
    </row>
    <row r="164" spans="1:5" ht="23.25">
      <c r="A164" s="85">
        <v>2</v>
      </c>
      <c r="B164" s="5" t="s">
        <v>676</v>
      </c>
      <c r="C164" s="3" t="s">
        <v>2215</v>
      </c>
      <c r="D164" s="78" t="s">
        <v>28</v>
      </c>
      <c r="E164" s="22" t="str">
        <f>IF(B164="","",IF(A164=0,"NO HAY ESE CODIGO",IF(COUNTIF(ASIGNACIONES!$B$3:$B948,B164)=1,"DOTACION ASIGNADA",IF(C164="VISITAS","DOTACION VISITA",IF(C164="MTTO","DOTACION MTTO",IF(C164="PLANTA EMERGENCIA","DOTACION RES DE EMERGENCIA",IF(C164="EXTERNOS","DOTACION DE EXTERNO","DOTACION DISPONIBLE")))))))</f>
        <v>DOTACION ASIGNADA</v>
      </c>
    </row>
    <row r="165" spans="1:5" ht="23.25">
      <c r="A165" s="85">
        <v>3</v>
      </c>
      <c r="B165" s="5" t="s">
        <v>2202</v>
      </c>
      <c r="C165" s="3" t="s">
        <v>2215</v>
      </c>
      <c r="D165" s="78" t="s">
        <v>28</v>
      </c>
      <c r="E165" s="22" t="str">
        <f>IF(B165="","",IF(A165=0,"NO HAY ESE CODIGO",IF(COUNTIF(ASIGNACIONES!$B$3:$B948,B165)=1,"DOTACION ASIGNADA",IF(C165="VISITAS","DOTACION VISITA",IF(C165="MTTO","DOTACION MTTO",IF(C165="PLANTA EMERGENCIA","DOTACION RES DE EMERGENCIA",IF(C165="EXTERNOS","DOTACION DE EXTERNO","DOTACION DISPONIBLE")))))))</f>
        <v>DOTACION DISPONIBLE</v>
      </c>
    </row>
    <row r="166" spans="1:5" ht="23.25">
      <c r="A166" s="85">
        <v>3</v>
      </c>
      <c r="B166" s="5" t="s">
        <v>850</v>
      </c>
      <c r="C166" s="3" t="s">
        <v>2215</v>
      </c>
      <c r="D166" s="78" t="s">
        <v>28</v>
      </c>
      <c r="E166" s="22" t="str">
        <f>IF(B166="","",IF(A166=0,"NO HAY ESE CODIGO",IF(COUNTIF(ASIGNACIONES!$B$3:$B948,B166)=1,"DOTACION ASIGNADA",IF(C166="VISITAS","DOTACION VISITA",IF(C166="MTTO","DOTACION MTTO",IF(C166="PLANTA EMERGENCIA","DOTACION RES DE EMERGENCIA",IF(C166="EXTERNOS","DOTACION DE EXTERNO","DOTACION DISPONIBLE")))))))</f>
        <v>DOTACION ASIGNADA</v>
      </c>
    </row>
    <row r="167" spans="1:5" ht="23.25">
      <c r="A167" s="85">
        <v>2</v>
      </c>
      <c r="B167" s="5" t="s">
        <v>284</v>
      </c>
      <c r="C167" s="3" t="s">
        <v>2215</v>
      </c>
      <c r="D167" s="78" t="s">
        <v>28</v>
      </c>
      <c r="E167" s="22" t="str">
        <f>IF(B167="","",IF(A167=0,"NO HAY ESE CODIGO",IF(COUNTIF(ASIGNACIONES!$B$3:$B948,B167)=1,"DOTACION ASIGNADA",IF(C167="VISITAS","DOTACION VISITA",IF(C167="MTTO","DOTACION MTTO",IF(C167="PLANTA EMERGENCIA","DOTACION RES DE EMERGENCIA",IF(C167="EXTERNOS","DOTACION DE EXTERNO","DOTACION DISPONIBLE")))))))</f>
        <v>DOTACION DISPONIBLE</v>
      </c>
    </row>
    <row r="168" spans="1:5" ht="23.25">
      <c r="A168" s="85">
        <v>3</v>
      </c>
      <c r="B168" s="5" t="s">
        <v>701</v>
      </c>
      <c r="C168" s="3" t="s">
        <v>2215</v>
      </c>
      <c r="D168" s="78" t="s">
        <v>30</v>
      </c>
      <c r="E168" s="22" t="str">
        <f>IF(B168="","",IF(A168=0,"NO HAY ESE CODIGO",IF(COUNTIF(ASIGNACIONES!$B$3:$B948,B168)=1,"DOTACION ASIGNADA",IF(C168="VISITAS","DOTACION VISITA",IF(C168="MTTO","DOTACION MTTO",IF(C168="PLANTA EMERGENCIA","DOTACION RES DE EMERGENCIA",IF(C168="EXTERNOS","DOTACION DE EXTERNO","DOTACION DISPONIBLE")))))))</f>
        <v>DOTACION ASIGNADA</v>
      </c>
    </row>
    <row r="169" spans="1:5" ht="23.25">
      <c r="A169" s="85">
        <v>3</v>
      </c>
      <c r="B169" s="5" t="s">
        <v>861</v>
      </c>
      <c r="C169" s="3" t="s">
        <v>2215</v>
      </c>
      <c r="D169" s="78" t="s">
        <v>28</v>
      </c>
      <c r="E169" s="22" t="str">
        <f>IF(B169="","",IF(A169=0,"NO HAY ESE CODIGO",IF(COUNTIF(ASIGNACIONES!$B$3:$B948,B169)=1,"DOTACION ASIGNADA",IF(C169="VISITAS","DOTACION VISITA",IF(C169="MTTO","DOTACION MTTO",IF(C169="PLANTA EMERGENCIA","DOTACION RES DE EMERGENCIA",IF(C169="EXTERNOS","DOTACION DE EXTERNO","DOTACION DISPONIBLE")))))))</f>
        <v>DOTACION ASIGNADA</v>
      </c>
    </row>
    <row r="170" spans="1:5" ht="23.25">
      <c r="A170" s="85">
        <v>3</v>
      </c>
      <c r="B170" s="5" t="s">
        <v>313</v>
      </c>
      <c r="C170" s="3" t="s">
        <v>2215</v>
      </c>
      <c r="D170" s="78" t="s">
        <v>30</v>
      </c>
      <c r="E170" s="22" t="str">
        <f>IF(B170="","",IF(A170=0,"NO HAY ESE CODIGO",IF(COUNTIF(ASIGNACIONES!$B$3:$B948,B170)=1,"DOTACION ASIGNADA",IF(C170="VISITAS","DOTACION VISITA",IF(C170="MTTO","DOTACION MTTO",IF(C170="PLANTA EMERGENCIA","DOTACION RES DE EMERGENCIA",IF(C170="EXTERNOS","DOTACION DE EXTERNO","DOTACION DISPONIBLE")))))))</f>
        <v>DOTACION ASIGNADA</v>
      </c>
    </row>
    <row r="171" spans="1:5" ht="23.25">
      <c r="A171" s="85">
        <v>3</v>
      </c>
      <c r="B171" s="5" t="s">
        <v>695</v>
      </c>
      <c r="C171" s="3" t="s">
        <v>2215</v>
      </c>
      <c r="D171" s="78" t="s">
        <v>28</v>
      </c>
      <c r="E171" s="22" t="str">
        <f>IF(B171="","",IF(A171=0,"NO HAY ESE CODIGO",IF(COUNTIF(ASIGNACIONES!$B$3:$B948,B171)=1,"DOTACION ASIGNADA",IF(C171="VISITAS","DOTACION VISITA",IF(C171="MTTO","DOTACION MTTO",IF(C171="PLANTA EMERGENCIA","DOTACION RES DE EMERGENCIA",IF(C171="EXTERNOS","DOTACION DE EXTERNO","DOTACION DISPONIBLE")))))))</f>
        <v>DOTACION ASIGNADA</v>
      </c>
    </row>
    <row r="172" spans="1:5" ht="23.25">
      <c r="A172" s="85">
        <v>3</v>
      </c>
      <c r="B172" s="5" t="s">
        <v>34</v>
      </c>
      <c r="C172" s="3" t="s">
        <v>2215</v>
      </c>
      <c r="D172" s="78" t="s">
        <v>28</v>
      </c>
      <c r="E172" s="22" t="str">
        <f>IF(B172="","",IF(A172=0,"NO HAY ESE CODIGO",IF(COUNTIF(ASIGNACIONES!$B$3:$B948,B172)=1,"DOTACION ASIGNADA",IF(C172="VISITAS","DOTACION VISITA",IF(C172="MTTO","DOTACION MTTO",IF(C172="PLANTA EMERGENCIA","DOTACION RES DE EMERGENCIA",IF(C172="EXTERNOS","DOTACION DE EXTERNO","DOTACION DISPONIBLE")))))))</f>
        <v>DOTACION ASIGNADA</v>
      </c>
    </row>
    <row r="173" spans="1:5" ht="23.25">
      <c r="A173" s="85">
        <v>3</v>
      </c>
      <c r="B173" s="5" t="s">
        <v>1134</v>
      </c>
      <c r="C173" s="3" t="s">
        <v>2215</v>
      </c>
      <c r="D173" s="78" t="s">
        <v>30</v>
      </c>
      <c r="E173" s="22" t="str">
        <f>IF(B173="","",IF(A173=0,"NO HAY ESE CODIGO",IF(COUNTIF(ASIGNACIONES!$B$3:$B948,B173)=1,"DOTACION ASIGNADA",IF(C173="VISITAS","DOTACION VISITA",IF(C173="MTTO","DOTACION MTTO",IF(C173="PLANTA EMERGENCIA","DOTACION RES DE EMERGENCIA",IF(C173="EXTERNOS","DOTACION DE EXTERNO","DOTACION DISPONIBLE")))))))</f>
        <v>DOTACION ASIGNADA</v>
      </c>
    </row>
    <row r="174" spans="1:5" ht="23.25">
      <c r="A174" s="85">
        <v>3</v>
      </c>
      <c r="B174" s="5" t="s">
        <v>874</v>
      </c>
      <c r="C174" s="3" t="s">
        <v>2215</v>
      </c>
      <c r="D174" s="78" t="s">
        <v>30</v>
      </c>
      <c r="E174" s="22" t="str">
        <f>IF(B174="","",IF(A174=0,"NO HAY ESE CODIGO",IF(COUNTIF(ASIGNACIONES!$B$3:$B948,B174)=1,"DOTACION ASIGNADA",IF(C174="VISITAS","DOTACION VISITA",IF(C174="MTTO","DOTACION MTTO",IF(C174="PLANTA EMERGENCIA","DOTACION RES DE EMERGENCIA",IF(C174="EXTERNOS","DOTACION DE EXTERNO","DOTACION DISPONIBLE")))))))</f>
        <v>DOTACION ASIGNADA</v>
      </c>
    </row>
    <row r="175" spans="1:5" ht="23.25">
      <c r="A175" s="85">
        <v>3</v>
      </c>
      <c r="B175" s="5" t="s">
        <v>658</v>
      </c>
      <c r="C175" s="3" t="s">
        <v>2215</v>
      </c>
      <c r="D175" s="78" t="s">
        <v>28</v>
      </c>
      <c r="E175" s="22" t="str">
        <f>IF(B175="","",IF(A175=0,"NO HAY ESE CODIGO",IF(COUNTIF(ASIGNACIONES!$B$3:$B948,B175)=1,"DOTACION ASIGNADA",IF(C175="VISITAS","DOTACION VISITA",IF(C175="MTTO","DOTACION MTTO",IF(C175="PLANTA EMERGENCIA","DOTACION RES DE EMERGENCIA",IF(C175="EXTERNOS","DOTACION DE EXTERNO","DOTACION DISPONIBLE")))))))</f>
        <v>DOTACION DISPONIBLE</v>
      </c>
    </row>
    <row r="176" spans="1:5" ht="23.25">
      <c r="A176" s="85">
        <v>2</v>
      </c>
      <c r="B176" s="5" t="s">
        <v>2203</v>
      </c>
      <c r="C176" s="3" t="s">
        <v>2215</v>
      </c>
      <c r="D176" s="78" t="s">
        <v>28</v>
      </c>
      <c r="E176" s="22" t="str">
        <f>IF(B176="","",IF(A176=0,"NO HAY ESE CODIGO",IF(COUNTIF(ASIGNACIONES!$B$3:$B948,B176)=1,"DOTACION ASIGNADA",IF(C176="VISITAS","DOTACION VISITA",IF(C176="MTTO","DOTACION MTTO",IF(C176="PLANTA EMERGENCIA","DOTACION RES DE EMERGENCIA",IF(C176="EXTERNOS","DOTACION DE EXTERNO","DOTACION DISPONIBLE")))))))</f>
        <v>DOTACION DISPONIBLE</v>
      </c>
    </row>
    <row r="177" spans="1:5" ht="23.25">
      <c r="A177" s="85">
        <v>3</v>
      </c>
      <c r="B177" s="5" t="s">
        <v>134</v>
      </c>
      <c r="C177" s="3" t="s">
        <v>2215</v>
      </c>
      <c r="D177" s="78" t="s">
        <v>30</v>
      </c>
      <c r="E177" s="22" t="str">
        <f>IF(B177="","",IF(A177=0,"NO HAY ESE CODIGO",IF(COUNTIF(ASIGNACIONES!$B$3:$B948,B177)=1,"DOTACION ASIGNADA",IF(C177="VISITAS","DOTACION VISITA",IF(C177="MTTO","DOTACION MTTO",IF(C177="PLANTA EMERGENCIA","DOTACION RES DE EMERGENCIA",IF(C177="EXTERNOS","DOTACION DE EXTERNO","DOTACION DISPONIBLE")))))))</f>
        <v>DOTACION DISPONIBLE</v>
      </c>
    </row>
    <row r="178" spans="1:5" ht="23.25">
      <c r="A178" s="85">
        <v>2</v>
      </c>
      <c r="B178" s="5" t="s">
        <v>2204</v>
      </c>
      <c r="C178" s="3" t="s">
        <v>2215</v>
      </c>
      <c r="D178" s="78" t="s">
        <v>28</v>
      </c>
      <c r="E178" s="22" t="str">
        <f>IF(B178="","",IF(A178=0,"NO HAY ESE CODIGO",IF(COUNTIF(ASIGNACIONES!$B$3:$B948,B178)=1,"DOTACION ASIGNADA",IF(C178="VISITAS","DOTACION VISITA",IF(C178="MTTO","DOTACION MTTO",IF(C178="PLANTA EMERGENCIA","DOTACION RES DE EMERGENCIA",IF(C178="EXTERNOS","DOTACION DE EXTERNO","DOTACION DISPONIBLE")))))))</f>
        <v>DOTACION DISPONIBLE</v>
      </c>
    </row>
    <row r="179" spans="1:5" ht="23.25">
      <c r="A179" s="85">
        <v>3</v>
      </c>
      <c r="B179" s="5" t="s">
        <v>2383</v>
      </c>
      <c r="C179" s="3" t="s">
        <v>2215</v>
      </c>
      <c r="D179" s="78" t="s">
        <v>30</v>
      </c>
      <c r="E179" s="22" t="str">
        <f>IF(B179="","",IF(A179=0,"NO HAY ESE CODIGO",IF(COUNTIF(ASIGNACIONES!$B$3:$B948,B179)=1,"DOTACION ASIGNADA",IF(C179="VISITAS","DOTACION VISITA",IF(C179="MTTO","DOTACION MTTO",IF(C179="PLANTA EMERGENCIA","DOTACION RES DE EMERGENCIA",IF(C179="EXTERNOS","DOTACION DE EXTERNO","DOTACION DISPONIBLE")))))))</f>
        <v>DOTACION DISPONIBLE</v>
      </c>
    </row>
    <row r="180" spans="1:5" ht="23.25">
      <c r="A180" s="85">
        <v>3</v>
      </c>
      <c r="B180" s="5" t="s">
        <v>805</v>
      </c>
      <c r="C180" s="3" t="s">
        <v>2215</v>
      </c>
      <c r="D180" s="78" t="s">
        <v>30</v>
      </c>
      <c r="E180" s="22" t="str">
        <f>IF(B180="","",IF(A180=0,"NO HAY ESE CODIGO",IF(COUNTIF(ASIGNACIONES!$B$3:$B948,B180)=1,"DOTACION ASIGNADA",IF(C180="VISITAS","DOTACION VISITA",IF(C180="MTTO","DOTACION MTTO",IF(C180="PLANTA EMERGENCIA","DOTACION RES DE EMERGENCIA",IF(C180="EXTERNOS","DOTACION DE EXTERNO","DOTACION DISPONIBLE")))))))</f>
        <v>DOTACION ASIGNADA</v>
      </c>
    </row>
    <row r="181" spans="1:5" ht="23.25">
      <c r="A181" s="85">
        <v>3</v>
      </c>
      <c r="B181" s="5" t="s">
        <v>1406</v>
      </c>
      <c r="C181" s="3" t="s">
        <v>2215</v>
      </c>
      <c r="D181" s="78" t="s">
        <v>28</v>
      </c>
      <c r="E181" s="22" t="str">
        <f>IF(B181="","",IF(A181=0,"NO HAY ESE CODIGO",IF(COUNTIF(ASIGNACIONES!$B$3:$B948,B181)=1,"DOTACION ASIGNADA",IF(C181="VISITAS","DOTACION VISITA",IF(C181="MTTO","DOTACION MTTO",IF(C181="PLANTA EMERGENCIA","DOTACION RES DE EMERGENCIA",IF(C181="EXTERNOS","DOTACION DE EXTERNO","DOTACION DISPONIBLE")))))))</f>
        <v>DOTACION ASIGNADA</v>
      </c>
    </row>
    <row r="182" spans="1:5" ht="23.25">
      <c r="A182" s="85">
        <v>3</v>
      </c>
      <c r="B182" s="5" t="s">
        <v>2206</v>
      </c>
      <c r="C182" s="3" t="s">
        <v>2215</v>
      </c>
      <c r="D182" s="78" t="s">
        <v>30</v>
      </c>
      <c r="E182" s="22" t="str">
        <f>IF(B182="","",IF(A182=0,"NO HAY ESE CODIGO",IF(COUNTIF(ASIGNACIONES!$B$3:$B948,B182)=1,"DOTACION ASIGNADA",IF(C182="VISITAS","DOTACION VISITA",IF(C182="MTTO","DOTACION MTTO",IF(C182="PLANTA EMERGENCIA","DOTACION RES DE EMERGENCIA",IF(C182="EXTERNOS","DOTACION DE EXTERNO","DOTACION DISPONIBLE")))))))</f>
        <v>DOTACION DISPONIBLE</v>
      </c>
    </row>
    <row r="183" spans="1:5" ht="23.25">
      <c r="A183" s="85">
        <v>3</v>
      </c>
      <c r="B183" s="5" t="s">
        <v>2384</v>
      </c>
      <c r="C183" s="3" t="s">
        <v>2215</v>
      </c>
      <c r="D183" s="78" t="s">
        <v>30</v>
      </c>
      <c r="E183" s="22" t="str">
        <f>IF(B183="","",IF(A183=0,"NO HAY ESE CODIGO",IF(COUNTIF(ASIGNACIONES!$B$3:$B948,B183)=1,"DOTACION ASIGNADA",IF(C183="VISITAS","DOTACION VISITA",IF(C183="MTTO","DOTACION MTTO",IF(C183="PLANTA EMERGENCIA","DOTACION RES DE EMERGENCIA",IF(C183="EXTERNOS","DOTACION DE EXTERNO","DOTACION DISPONIBLE")))))))</f>
        <v>DOTACION DISPONIBLE</v>
      </c>
    </row>
    <row r="184" spans="1:5" ht="23.25">
      <c r="A184" s="85">
        <v>3</v>
      </c>
      <c r="B184" s="5" t="s">
        <v>265</v>
      </c>
      <c r="C184" s="3" t="s">
        <v>2215</v>
      </c>
      <c r="D184" s="78" t="s">
        <v>30</v>
      </c>
      <c r="E184" s="22" t="str">
        <f>IF(B184="","",IF(A184=0,"NO HAY ESE CODIGO",IF(COUNTIF(ASIGNACIONES!$B$3:$B948,B184)=1,"DOTACION ASIGNADA",IF(C184="VISITAS","DOTACION VISITA",IF(C184="MTTO","DOTACION MTTO",IF(C184="PLANTA EMERGENCIA","DOTACION RES DE EMERGENCIA",IF(C184="EXTERNOS","DOTACION DE EXTERNO","DOTACION DISPONIBLE")))))))</f>
        <v>DOTACION DISPONIBLE</v>
      </c>
    </row>
    <row r="185" spans="1:5" ht="23.25">
      <c r="A185" s="85">
        <v>3</v>
      </c>
      <c r="B185" s="5" t="s">
        <v>910</v>
      </c>
      <c r="C185" s="3" t="s">
        <v>2215</v>
      </c>
      <c r="D185" s="78" t="s">
        <v>30</v>
      </c>
      <c r="E185" s="22" t="str">
        <f>IF(B185="","",IF(A185=0,"NO HAY ESE CODIGO",IF(COUNTIF(ASIGNACIONES!$B$3:$B948,B185)=1,"DOTACION ASIGNADA",IF(C185="VISITAS","DOTACION VISITA",IF(C185="MTTO","DOTACION MTTO",IF(C185="PLANTA EMERGENCIA","DOTACION RES DE EMERGENCIA",IF(C185="EXTERNOS","DOTACION DE EXTERNO","DOTACION DISPONIBLE")))))))</f>
        <v>DOTACION ASIGNADA</v>
      </c>
    </row>
    <row r="186" spans="1:5" ht="23.25">
      <c r="A186" s="85">
        <v>3</v>
      </c>
      <c r="B186" s="5" t="s">
        <v>71</v>
      </c>
      <c r="C186" s="56" t="s">
        <v>2215</v>
      </c>
      <c r="D186" s="78" t="s">
        <v>30</v>
      </c>
      <c r="E186" s="22" t="str">
        <f>IF(B186="","",IF(A186=0,"NO HAY ESE CODIGO",IF(COUNTIF(ASIGNACIONES!$B$3:$B948,B186)=1,"DOTACION ASIGNADA",IF(C186="VISITAS","DOTACION VISITA",IF(C186="MTTO","DOTACION MTTO",IF(C186="PLANTA EMERGENCIA","DOTACION RES DE EMERGENCIA",IF(C186="EXTERNOS","DOTACION DE EXTERNO","DOTACION DISPONIBLE")))))))</f>
        <v>DOTACION DISPONIBLE</v>
      </c>
    </row>
    <row r="187" spans="1:5" ht="23.25">
      <c r="A187" s="85">
        <v>2</v>
      </c>
      <c r="B187" s="5" t="s">
        <v>2385</v>
      </c>
      <c r="C187" s="56" t="s">
        <v>2215</v>
      </c>
      <c r="D187" s="78" t="s">
        <v>28</v>
      </c>
      <c r="E187" s="22" t="str">
        <f>IF(B187="","",IF(A187=0,"NO HAY ESE CODIGO",IF(COUNTIF(ASIGNACIONES!$B$3:$B948,B187)=1,"DOTACION ASIGNADA",IF(C187="VISITAS","DOTACION VISITA",IF(C187="MTTO","DOTACION MTTO",IF(C187="PLANTA EMERGENCIA","DOTACION RES DE EMERGENCIA",IF(C187="EXTERNOS","DOTACION DE EXTERNO","DOTACION DISPONIBLE")))))))</f>
        <v>DOTACION DISPONIBLE</v>
      </c>
    </row>
    <row r="188" spans="1:5" ht="23.25">
      <c r="A188" s="85">
        <v>2</v>
      </c>
      <c r="B188" s="5" t="s">
        <v>196</v>
      </c>
      <c r="C188" s="56" t="s">
        <v>2215</v>
      </c>
      <c r="D188" s="78" t="s">
        <v>28</v>
      </c>
      <c r="E188" s="22" t="str">
        <f>IF(B188="","",IF(A188=0,"NO HAY ESE CODIGO",IF(COUNTIF(ASIGNACIONES!$B$3:$B948,B188)=1,"DOTACION ASIGNADA",IF(C188="VISITAS","DOTACION VISITA",IF(C188="MTTO","DOTACION MTTO",IF(C188="PLANTA EMERGENCIA","DOTACION RES DE EMERGENCIA",IF(C188="EXTERNOS","DOTACION DE EXTERNO","DOTACION DISPONIBLE")))))))</f>
        <v>DOTACION ASIGNADA</v>
      </c>
    </row>
    <row r="189" spans="1:5" ht="23.25">
      <c r="A189" s="85">
        <v>3</v>
      </c>
      <c r="B189" s="5" t="s">
        <v>42</v>
      </c>
      <c r="C189" s="3" t="s">
        <v>2215</v>
      </c>
      <c r="D189" s="78" t="s">
        <v>48</v>
      </c>
      <c r="E189" s="22" t="str">
        <f>IF(B189="","",IF(A189=0,"NO HAY ESE CODIGO",IF(COUNTIF(ASIGNACIONES!$B$3:$B948,B189)=1,"DOTACION ASIGNADA",IF(C189="VISITAS","DOTACION VISITA",IF(C189="MTTO","DOTACION MTTO",IF(C189="PLANTA EMERGENCIA","DOTACION RES DE EMERGENCIA",IF(C189="EXTERNOS","DOTACION DE EXTERNO","DOTACION DISPONIBLE")))))))</f>
        <v>DOTACION ASIGNADA</v>
      </c>
    </row>
    <row r="190" spans="1:5" ht="23.25">
      <c r="A190" s="85">
        <v>3</v>
      </c>
      <c r="B190" s="5" t="s">
        <v>1419</v>
      </c>
      <c r="C190" s="3" t="s">
        <v>2215</v>
      </c>
      <c r="D190" s="78" t="s">
        <v>30</v>
      </c>
      <c r="E190" s="22" t="str">
        <f>IF(B190="","",IF(A190=0,"NO HAY ESE CODIGO",IF(COUNTIF(ASIGNACIONES!$B$3:$B948,B190)=1,"DOTACION ASIGNADA",IF(C190="VISITAS","DOTACION VISITA",IF(C190="MTTO","DOTACION MTTO",IF(C190="PLANTA EMERGENCIA","DOTACION RES DE EMERGENCIA",IF(C190="EXTERNOS","DOTACION DE EXTERNO","DOTACION DISPONIBLE")))))))</f>
        <v>DOTACION ASIGNADA</v>
      </c>
    </row>
    <row r="191" spans="1:5" ht="23.25">
      <c r="A191" s="85">
        <v>3</v>
      </c>
      <c r="B191" s="5" t="s">
        <v>1123</v>
      </c>
      <c r="C191" s="3" t="s">
        <v>2215</v>
      </c>
      <c r="D191" s="78" t="s">
        <v>30</v>
      </c>
      <c r="E191" s="22" t="str">
        <f>IF(B191="","",IF(A191=0,"NO HAY ESE CODIGO",IF(COUNTIF(ASIGNACIONES!$B$3:$B948,B191)=1,"DOTACION ASIGNADA",IF(C191="VISITAS","DOTACION VISITA",IF(C191="MTTO","DOTACION MTTO",IF(C191="PLANTA EMERGENCIA","DOTACION RES DE EMERGENCIA",IF(C191="EXTERNOS","DOTACION DE EXTERNO","DOTACION DISPONIBLE")))))))</f>
        <v>DOTACION DISPONIBLE</v>
      </c>
    </row>
    <row r="192" spans="1:5" ht="23.25">
      <c r="A192" s="85">
        <v>3</v>
      </c>
      <c r="B192" s="5" t="s">
        <v>1005</v>
      </c>
      <c r="C192" s="3" t="s">
        <v>2215</v>
      </c>
      <c r="D192" s="78" t="s">
        <v>30</v>
      </c>
      <c r="E192" s="22" t="str">
        <f>IF(B192="","",IF(A192=0,"NO HAY ESE CODIGO",IF(COUNTIF(ASIGNACIONES!$B$3:$B948,B192)=1,"DOTACION ASIGNADA",IF(C192="VISITAS","DOTACION VISITA",IF(C192="MTTO","DOTACION MTTO",IF(C192="PLANTA EMERGENCIA","DOTACION RES DE EMERGENCIA",IF(C192="EXTERNOS","DOTACION DE EXTERNO","DOTACION DISPONIBLE")))))))</f>
        <v>DOTACION DISPONIBLE</v>
      </c>
    </row>
    <row r="193" spans="1:5" ht="23.25">
      <c r="A193" s="85">
        <v>3</v>
      </c>
      <c r="B193" s="5" t="s">
        <v>500</v>
      </c>
      <c r="C193" s="3" t="s">
        <v>2215</v>
      </c>
      <c r="D193" s="78" t="s">
        <v>502</v>
      </c>
      <c r="E193" s="22" t="str">
        <f>IF(B193="","",IF(A193=0,"NO HAY ESE CODIGO",IF(COUNTIF(ASIGNACIONES!$B$3:$B948,B193)=1,"DOTACION ASIGNADA",IF(C193="VISITAS","DOTACION VISITA",IF(C193="MTTO","DOTACION MTTO",IF(C193="PLANTA EMERGENCIA","DOTACION RES DE EMERGENCIA",IF(C193="EXTERNOS","DOTACION DE EXTERNO","DOTACION DISPONIBLE")))))))</f>
        <v>DOTACION ASIGNADA</v>
      </c>
    </row>
    <row r="194" spans="1:5" ht="23.25">
      <c r="A194" s="85">
        <v>3</v>
      </c>
      <c r="B194" s="5" t="s">
        <v>1261</v>
      </c>
      <c r="C194" s="3" t="s">
        <v>2215</v>
      </c>
      <c r="D194" s="78" t="s">
        <v>97</v>
      </c>
      <c r="E194" s="22" t="str">
        <f>IF(B194="","",IF(A194=0,"NO HAY ESE CODIGO",IF(COUNTIF(ASIGNACIONES!$B$3:$B948,B194)=1,"DOTACION ASIGNADA",IF(C194="VISITAS","DOTACION VISITA",IF(C194="MTTO","DOTACION MTTO",IF(C194="PLANTA EMERGENCIA","DOTACION RES DE EMERGENCIA",IF(C194="EXTERNOS","DOTACION DE EXTERNO","DOTACION DISPONIBLE")))))))</f>
        <v>DOTACION ASIGNADA</v>
      </c>
    </row>
    <row r="195" spans="1:5" ht="23.25">
      <c r="A195" s="85">
        <v>3</v>
      </c>
      <c r="B195" s="5" t="s">
        <v>580</v>
      </c>
      <c r="C195" s="3" t="s">
        <v>2215</v>
      </c>
      <c r="D195" s="78" t="s">
        <v>48</v>
      </c>
      <c r="E195" s="22" t="str">
        <f>IF(B195="","",IF(A195=0,"NO HAY ESE CODIGO",IF(COUNTIF(ASIGNACIONES!$B$3:$B948,B195)=1,"DOTACION ASIGNADA",IF(C195="VISITAS","DOTACION VISITA",IF(C195="MTTO","DOTACION MTTO",IF(C195="PLANTA EMERGENCIA","DOTACION RES DE EMERGENCIA",IF(C195="EXTERNOS","DOTACION DE EXTERNO","DOTACION DISPONIBLE")))))))</f>
        <v>DOTACION ASIGNADA</v>
      </c>
    </row>
    <row r="196" spans="1:5" ht="23.25">
      <c r="A196" s="85">
        <v>2</v>
      </c>
      <c r="B196" s="5" t="s">
        <v>2207</v>
      </c>
      <c r="C196" s="3" t="s">
        <v>2215</v>
      </c>
      <c r="D196" s="78" t="s">
        <v>28</v>
      </c>
      <c r="E196" s="22" t="str">
        <f>IF(B196="","",IF(A196=0,"NO HAY ESE CODIGO",IF(COUNTIF(ASIGNACIONES!$B$3:$B948,B196)=1,"DOTACION ASIGNADA",IF(C196="VISITAS","DOTACION VISITA",IF(C196="MTTO","DOTACION MTTO",IF(C196="PLANTA EMERGENCIA","DOTACION RES DE EMERGENCIA",IF(C196="EXTERNOS","DOTACION DE EXTERNO","DOTACION DISPONIBLE")))))))</f>
        <v>DOTACION DISPONIBLE</v>
      </c>
    </row>
    <row r="197" spans="1:5" ht="23.25">
      <c r="A197" s="85">
        <v>3</v>
      </c>
      <c r="B197" s="5" t="s">
        <v>1132</v>
      </c>
      <c r="C197" s="3" t="s">
        <v>2215</v>
      </c>
      <c r="D197" s="78" t="s">
        <v>30</v>
      </c>
      <c r="E197" s="22" t="str">
        <f>IF(B197="","",IF(A197=0,"NO HAY ESE CODIGO",IF(COUNTIF(ASIGNACIONES!$B$3:$B948,B197)=1,"DOTACION ASIGNADA",IF(C197="VISITAS","DOTACION VISITA",IF(C197="MTTO","DOTACION MTTO",IF(C197="PLANTA EMERGENCIA","DOTACION RES DE EMERGENCIA",IF(C197="EXTERNOS","DOTACION DE EXTERNO","DOTACION DISPONIBLE")))))))</f>
        <v>DOTACION ASIGNADA</v>
      </c>
    </row>
    <row r="198" spans="1:5" ht="23.25">
      <c r="A198" s="85">
        <v>3</v>
      </c>
      <c r="B198" s="5" t="s">
        <v>2386</v>
      </c>
      <c r="C198" s="3" t="s">
        <v>2215</v>
      </c>
      <c r="D198" s="78" t="s">
        <v>30</v>
      </c>
      <c r="E198" s="22" t="str">
        <f>IF(B198="","",IF(A198=0,"NO HAY ESE CODIGO",IF(COUNTIF(ASIGNACIONES!$B$3:$B948,B198)=1,"DOTACION ASIGNADA",IF(C198="VISITAS","DOTACION VISITA",IF(C198="MTTO","DOTACION MTTO",IF(C198="PLANTA EMERGENCIA","DOTACION RES DE EMERGENCIA",IF(C198="EXTERNOS","DOTACION DE EXTERNO","DOTACION DISPONIBLE")))))))</f>
        <v>DOTACION DISPONIBLE</v>
      </c>
    </row>
    <row r="199" spans="1:5" ht="23.25">
      <c r="A199" s="85">
        <v>3</v>
      </c>
      <c r="B199" s="5" t="s">
        <v>974</v>
      </c>
      <c r="C199" s="3" t="s">
        <v>2215</v>
      </c>
      <c r="D199" s="78" t="s">
        <v>28</v>
      </c>
      <c r="E199" s="22" t="str">
        <f>IF(B199="","",IF(A199=0,"NO HAY ESE CODIGO",IF(COUNTIF(ASIGNACIONES!$B$3:$B948,B199)=1,"DOTACION ASIGNADA",IF(C199="VISITAS","DOTACION VISITA",IF(C199="MTTO","DOTACION MTTO",IF(C199="PLANTA EMERGENCIA","DOTACION RES DE EMERGENCIA",IF(C199="EXTERNOS","DOTACION DE EXTERNO","DOTACION DISPONIBLE")))))))</f>
        <v>DOTACION ASIGNADA</v>
      </c>
    </row>
    <row r="200" spans="1:5" ht="23.25">
      <c r="A200" s="85">
        <v>3</v>
      </c>
      <c r="B200" s="5" t="s">
        <v>866</v>
      </c>
      <c r="C200" s="3" t="s">
        <v>2215</v>
      </c>
      <c r="D200" s="78" t="s">
        <v>28</v>
      </c>
      <c r="E200" s="22" t="str">
        <f>IF(B200="","",IF(A200=0,"NO HAY ESE CODIGO",IF(COUNTIF(ASIGNACIONES!$B$3:$B948,B200)=1,"DOTACION ASIGNADA",IF(C200="VISITAS","DOTACION VISITA",IF(C200="MTTO","DOTACION MTTO",IF(C200="PLANTA EMERGENCIA","DOTACION RES DE EMERGENCIA",IF(C200="EXTERNOS","DOTACION DE EXTERNO","DOTACION DISPONIBLE")))))))</f>
        <v>DOTACION ASIGNADA</v>
      </c>
    </row>
    <row r="201" spans="1:5" ht="23.25">
      <c r="A201" s="85">
        <v>3</v>
      </c>
      <c r="B201" s="5" t="s">
        <v>141</v>
      </c>
      <c r="C201" s="3" t="s">
        <v>2215</v>
      </c>
      <c r="D201" s="78" t="s">
        <v>28</v>
      </c>
      <c r="E201" s="22" t="str">
        <f>IF(B201="","",IF(A201=0,"NO HAY ESE CODIGO",IF(COUNTIF(ASIGNACIONES!$B$3:$B948,B201)=1,"DOTACION ASIGNADA",IF(C201="VISITAS","DOTACION VISITA",IF(C201="MTTO","DOTACION MTTO",IF(C201="PLANTA EMERGENCIA","DOTACION RES DE EMERGENCIA",IF(C201="EXTERNOS","DOTACION DE EXTERNO","DOTACION DISPONIBLE")))))))</f>
        <v>DOTACION ASIGNADA</v>
      </c>
    </row>
    <row r="202" spans="1:5" ht="23.25">
      <c r="A202" s="85">
        <v>3</v>
      </c>
      <c r="B202" s="5" t="s">
        <v>382</v>
      </c>
      <c r="C202" s="3" t="s">
        <v>2215</v>
      </c>
      <c r="D202" s="78" t="s">
        <v>30</v>
      </c>
      <c r="E202" s="22" t="str">
        <f>IF(B202="","",IF(A202=0,"NO HAY ESE CODIGO",IF(COUNTIF(ASIGNACIONES!$B$3:$B948,B202)=1,"DOTACION ASIGNADA",IF(C202="VISITAS","DOTACION VISITA",IF(C202="MTTO","DOTACION MTTO",IF(C202="PLANTA EMERGENCIA","DOTACION RES DE EMERGENCIA",IF(C202="EXTERNOS","DOTACION DE EXTERNO","DOTACION DISPONIBLE")))))))</f>
        <v>DOTACION ASIGNADA</v>
      </c>
    </row>
    <row r="203" spans="1:5" ht="23.25">
      <c r="A203" s="85">
        <v>3</v>
      </c>
      <c r="B203" s="5" t="s">
        <v>1823</v>
      </c>
      <c r="C203" s="56" t="s">
        <v>2215</v>
      </c>
      <c r="D203" s="78" t="s">
        <v>28</v>
      </c>
      <c r="E203" s="22" t="str">
        <f>IF(B203="","",IF(A203=0,"NO HAY ESE CODIGO",IF(COUNTIF(ASIGNACIONES!$B$3:$B948,B203)=1,"DOTACION ASIGNADA",IF(C203="VISITAS","DOTACION VISITA",IF(C203="MTTO","DOTACION MTTO",IF(C203="PLANTA EMERGENCIA","DOTACION RES DE EMERGENCIA",IF(C203="EXTERNOS","DOTACION DE EXTERNO","DOTACION DISPONIBLE")))))))</f>
        <v>DOTACION ASIGNADA</v>
      </c>
    </row>
    <row r="204" spans="1:5" ht="23.25">
      <c r="A204" s="85">
        <v>2</v>
      </c>
      <c r="B204" s="5" t="s">
        <v>2387</v>
      </c>
      <c r="C204" s="56" t="s">
        <v>2215</v>
      </c>
      <c r="D204" s="78" t="s">
        <v>28</v>
      </c>
      <c r="E204" s="22" t="str">
        <f>IF(B204="","",IF(A204=0,"NO HAY ESE CODIGO",IF(COUNTIF(ASIGNACIONES!$B$3:$B948,B204)=1,"DOTACION ASIGNADA",IF(C204="VISITAS","DOTACION VISITA",IF(C204="MTTO","DOTACION MTTO",IF(C204="PLANTA EMERGENCIA","DOTACION RES DE EMERGENCIA",IF(C204="EXTERNOS","DOTACION DE EXTERNO","DOTACION DISPONIBLE")))))))</f>
        <v>DOTACION DISPONIBLE</v>
      </c>
    </row>
    <row r="205" spans="1:5" ht="23.25">
      <c r="A205" s="85">
        <v>3</v>
      </c>
      <c r="B205" s="5" t="s">
        <v>162</v>
      </c>
      <c r="C205" s="3" t="s">
        <v>2215</v>
      </c>
      <c r="D205" s="78" t="s">
        <v>28</v>
      </c>
      <c r="E205" s="22" t="str">
        <f>IF(B205="","",IF(A205=0,"NO HAY ESE CODIGO",IF(COUNTIF(ASIGNACIONES!$B$3:$B948,B205)=1,"DOTACION ASIGNADA",IF(C205="VISITAS","DOTACION VISITA",IF(C205="MTTO","DOTACION MTTO",IF(C205="PLANTA EMERGENCIA","DOTACION RES DE EMERGENCIA",IF(C205="EXTERNOS","DOTACION DE EXTERNO","DOTACION DISPONIBLE")))))))</f>
        <v>DOTACION ASIGNADA</v>
      </c>
    </row>
    <row r="206" spans="1:5" ht="23.25">
      <c r="A206" s="85">
        <v>3</v>
      </c>
      <c r="B206" s="5" t="s">
        <v>1861</v>
      </c>
      <c r="C206" s="3" t="s">
        <v>2215</v>
      </c>
      <c r="D206" s="78" t="s">
        <v>97</v>
      </c>
      <c r="E206" s="22" t="str">
        <f>IF(B206="","",IF(A206=0,"NO HAY ESE CODIGO",IF(COUNTIF(ASIGNACIONES!$B$3:$B948,B206)=1,"DOTACION ASIGNADA",IF(C206="VISITAS","DOTACION VISITA",IF(C206="MTTO","DOTACION MTTO",IF(C206="PLANTA EMERGENCIA","DOTACION RES DE EMERGENCIA",IF(C206="EXTERNOS","DOTACION DE EXTERNO","DOTACION DISPONIBLE")))))))</f>
        <v>DOTACION ASIGNADA</v>
      </c>
    </row>
    <row r="207" spans="1:5" ht="23.25">
      <c r="A207" s="85">
        <v>0</v>
      </c>
      <c r="B207" s="5" t="s">
        <v>2388</v>
      </c>
      <c r="C207" s="3" t="s">
        <v>2215</v>
      </c>
      <c r="D207" s="78"/>
      <c r="E207" s="22" t="str">
        <f>IF(B207="","",IF(A207=0,"NO HAY ESE CODIGO",IF(COUNTIF(ASIGNACIONES!$B$3:$B948,B207)=1,"DOTACION ASIGNADA",IF(C207="VISITAS","DOTACION VISITA",IF(C207="MTTO","DOTACION MTTO",IF(C207="PLANTA EMERGENCIA","DOTACION RES DE EMERGENCIA",IF(C207="EXTERNOS","DOTACION DE EXTERNO","DOTACION DISPONIBLE")))))))</f>
        <v>NO HAY ESE CODIGO</v>
      </c>
    </row>
    <row r="208" spans="1:5" ht="23.25">
      <c r="A208" s="85">
        <v>0</v>
      </c>
      <c r="B208" s="5" t="s">
        <v>2212</v>
      </c>
      <c r="C208" s="3" t="s">
        <v>2215</v>
      </c>
      <c r="D208" s="78"/>
      <c r="E208" s="22" t="str">
        <f>IF(B208="","",IF(A208=0,"NO HAY ESE CODIGO",IF(COUNTIF(ASIGNACIONES!$B$3:$B948,B208)=1,"DOTACION ASIGNADA",IF(C208="VISITAS","DOTACION VISITA",IF(C208="MTTO","DOTACION MTTO",IF(C208="PLANTA EMERGENCIA","DOTACION RES DE EMERGENCIA",IF(C208="EXTERNOS","DOTACION DE EXTERNO","DOTACION DISPONIBLE")))))))</f>
        <v>NO HAY ESE CODIGO</v>
      </c>
    </row>
    <row r="209" spans="1:5" ht="23.25">
      <c r="A209" s="85">
        <v>0</v>
      </c>
      <c r="B209" s="5" t="s">
        <v>2389</v>
      </c>
      <c r="C209" s="3" t="s">
        <v>2215</v>
      </c>
      <c r="D209" s="78"/>
      <c r="E209" s="22" t="str">
        <f>IF(B209="","",IF(A209=0,"NO HAY ESE CODIGO",IF(COUNTIF(ASIGNACIONES!$B$3:$B948,B209)=1,"DOTACION ASIGNADA",IF(C209="VISITAS","DOTACION VISITA",IF(C209="MTTO","DOTACION MTTO",IF(C209="PLANTA EMERGENCIA","DOTACION RES DE EMERGENCIA",IF(C209="EXTERNOS","DOTACION DE EXTERNO","DOTACION DISPONIBLE")))))))</f>
        <v>NO HAY ESE CODIGO</v>
      </c>
    </row>
    <row r="210" spans="1:5" ht="23.25">
      <c r="A210" s="85">
        <v>0</v>
      </c>
      <c r="B210" s="5" t="s">
        <v>2216</v>
      </c>
      <c r="C210" s="3" t="s">
        <v>2215</v>
      </c>
      <c r="D210" s="78"/>
      <c r="E210" s="22" t="str">
        <f>IF(B210="","",IF(A210=0,"NO HAY ESE CODIGO",IF(COUNTIF(ASIGNACIONES!$B$3:$B948,B210)=1,"DOTACION ASIGNADA",IF(C210="VISITAS","DOTACION VISITA",IF(C210="MTTO","DOTACION MTTO",IF(C210="PLANTA EMERGENCIA","DOTACION RES DE EMERGENCIA",IF(C210="EXTERNOS","DOTACION DE EXTERNO","DOTACION DISPONIBLE")))))))</f>
        <v>NO HAY ESE CODIGO</v>
      </c>
    </row>
    <row r="211" spans="1:5" ht="23.25">
      <c r="A211" s="85">
        <v>3</v>
      </c>
      <c r="B211" s="5" t="s">
        <v>257</v>
      </c>
      <c r="C211" s="3" t="s">
        <v>2215</v>
      </c>
      <c r="D211" s="78" t="s">
        <v>28</v>
      </c>
      <c r="E211" s="22" t="str">
        <f>IF(B211="","",IF(A211=0,"NO HAY ESE CODIGO",IF(COUNTIF(ASIGNACIONES!$B$3:$B948,B211)=1,"DOTACION ASIGNADA",IF(C211="VISITAS","DOTACION VISITA",IF(C211="MTTO","DOTACION MTTO",IF(C211="PLANTA EMERGENCIA","DOTACION RES DE EMERGENCIA",IF(C211="EXTERNOS","DOTACION DE EXTERNO","DOTACION DISPONIBLE")))))))</f>
        <v>DOTACION DISPONIBLE</v>
      </c>
    </row>
    <row r="212" spans="1:5" ht="23.25">
      <c r="A212" s="85">
        <v>3</v>
      </c>
      <c r="B212" s="5" t="s">
        <v>1327</v>
      </c>
      <c r="C212" s="3" t="s">
        <v>2215</v>
      </c>
      <c r="D212" s="78" t="s">
        <v>30</v>
      </c>
      <c r="E212" s="22" t="str">
        <f>IF(B212="","",IF(A212=0,"NO HAY ESE CODIGO",IF(COUNTIF(ASIGNACIONES!$B$3:$B948,B212)=1,"DOTACION ASIGNADA",IF(C212="VISITAS","DOTACION VISITA",IF(C212="MTTO","DOTACION MTTO",IF(C212="PLANTA EMERGENCIA","DOTACION RES DE EMERGENCIA",IF(C212="EXTERNOS","DOTACION DE EXTERNO","DOTACION DISPONIBLE")))))))</f>
        <v>DOTACION ASIGNADA</v>
      </c>
    </row>
    <row r="213" spans="1:5" ht="23.25">
      <c r="A213" s="85">
        <v>0</v>
      </c>
      <c r="B213" s="5" t="s">
        <v>2390</v>
      </c>
      <c r="C213" s="3" t="s">
        <v>2215</v>
      </c>
      <c r="D213" s="78"/>
      <c r="E213" s="22" t="str">
        <f>IF(B213="","",IF(A213=0,"NO HAY ESE CODIGO",IF(COUNTIF(ASIGNACIONES!$B$3:$B948,B213)=1,"DOTACION ASIGNADA",IF(C213="VISITAS","DOTACION VISITA",IF(C213="MTTO","DOTACION MTTO",IF(C213="PLANTA EMERGENCIA","DOTACION RES DE EMERGENCIA",IF(C213="EXTERNOS","DOTACION DE EXTERNO","DOTACION DISPONIBLE")))))))</f>
        <v>NO HAY ESE CODIGO</v>
      </c>
    </row>
    <row r="214" spans="1:5" ht="23.25">
      <c r="A214" s="85">
        <v>0</v>
      </c>
      <c r="B214" s="5" t="s">
        <v>2391</v>
      </c>
      <c r="C214" s="3" t="s">
        <v>2215</v>
      </c>
      <c r="D214" s="78"/>
      <c r="E214" s="22" t="str">
        <f>IF(B214="","",IF(A214=0,"NO HAY ESE CODIGO",IF(COUNTIF(ASIGNACIONES!$B$3:$B948,B214)=1,"DOTACION ASIGNADA",IF(C214="VISITAS","DOTACION VISITA",IF(C214="MTTO","DOTACION MTTO",IF(C214="PLANTA EMERGENCIA","DOTACION RES DE EMERGENCIA",IF(C214="EXTERNOS","DOTACION DE EXTERNO","DOTACION DISPONIBLE")))))))</f>
        <v>NO HAY ESE CODIGO</v>
      </c>
    </row>
    <row r="215" spans="1:5" ht="23.25">
      <c r="A215" s="85">
        <v>3</v>
      </c>
      <c r="B215" s="5" t="s">
        <v>887</v>
      </c>
      <c r="C215" s="3" t="s">
        <v>2215</v>
      </c>
      <c r="D215" s="78" t="s">
        <v>30</v>
      </c>
      <c r="E215" s="22" t="str">
        <f>IF(B215="","",IF(A215=0,"NO HAY ESE CODIGO",IF(COUNTIF(ASIGNACIONES!$B$3:$B948,B215)=1,"DOTACION ASIGNADA",IF(C215="VISITAS","DOTACION VISITA",IF(C215="MTTO","DOTACION MTTO",IF(C215="PLANTA EMERGENCIA","DOTACION RES DE EMERGENCIA",IF(C215="EXTERNOS","DOTACION DE EXTERNO","DOTACION DISPONIBLE")))))))</f>
        <v>DOTACION ASIGNADA</v>
      </c>
    </row>
    <row r="216" spans="1:5" ht="23.25">
      <c r="A216" s="85">
        <v>3</v>
      </c>
      <c r="B216" s="5" t="s">
        <v>1076</v>
      </c>
      <c r="C216" s="3" t="s">
        <v>2215</v>
      </c>
      <c r="D216" s="78" t="s">
        <v>30</v>
      </c>
      <c r="E216" s="22" t="str">
        <f>IF(B216="","",IF(A216=0,"NO HAY ESE CODIGO",IF(COUNTIF(ASIGNACIONES!$B$3:$B948,B216)=1,"DOTACION ASIGNADA",IF(C216="VISITAS","DOTACION VISITA",IF(C216="MTTO","DOTACION MTTO",IF(C216="PLANTA EMERGENCIA","DOTACION RES DE EMERGENCIA",IF(C216="EXTERNOS","DOTACION DE EXTERNO","DOTACION DISPONIBLE")))))))</f>
        <v>DOTACION DISPONIBLE</v>
      </c>
    </row>
    <row r="217" spans="1:5" ht="23.25">
      <c r="A217" s="85">
        <v>3</v>
      </c>
      <c r="B217" s="5" t="s">
        <v>398</v>
      </c>
      <c r="C217" s="56" t="s">
        <v>2215</v>
      </c>
      <c r="D217" s="78" t="s">
        <v>28</v>
      </c>
      <c r="E217" s="22" t="str">
        <f>IF(B217="","",IF(A217=0,"NO HAY ESE CODIGO",IF(COUNTIF(ASIGNACIONES!$B$3:$B948,B217)=1,"DOTACION ASIGNADA",IF(C217="VISITAS","DOTACION VISITA",IF(C217="MTTO","DOTACION MTTO",IF(C217="PLANTA EMERGENCIA","DOTACION RES DE EMERGENCIA",IF(C217="EXTERNOS","DOTACION DE EXTERNO","DOTACION DISPONIBLE")))))))</f>
        <v>DOTACION DISPONIBLE</v>
      </c>
    </row>
    <row r="218" spans="1:5" ht="23.25">
      <c r="A218" s="85">
        <v>3</v>
      </c>
      <c r="B218" s="5" t="s">
        <v>1160</v>
      </c>
      <c r="C218" s="3" t="s">
        <v>2215</v>
      </c>
      <c r="D218" s="78" t="s">
        <v>28</v>
      </c>
      <c r="E218" s="22" t="str">
        <f>IF(B218="","",IF(A218=0,"NO HAY ESE CODIGO",IF(COUNTIF(ASIGNACIONES!$B$3:$B948,B218)=1,"DOTACION ASIGNADA",IF(C218="VISITAS","DOTACION VISITA",IF(C218="MTTO","DOTACION MTTO",IF(C218="PLANTA EMERGENCIA","DOTACION RES DE EMERGENCIA",IF(C218="EXTERNOS","DOTACION DE EXTERNO","DOTACION DISPONIBLE")))))))</f>
        <v>DOTACION ASIGNADA</v>
      </c>
    </row>
    <row r="219" spans="1:5" ht="23.25">
      <c r="A219" s="85">
        <v>3</v>
      </c>
      <c r="B219" s="5" t="s">
        <v>1927</v>
      </c>
      <c r="C219" s="3" t="s">
        <v>2215</v>
      </c>
      <c r="D219" s="78" t="s">
        <v>1148</v>
      </c>
      <c r="E219" s="22" t="str">
        <f>IF(B219="","",IF(A219=0,"NO HAY ESE CODIGO",IF(COUNTIF(ASIGNACIONES!$B$3:$B948,B219)=1,"DOTACION ASIGNADA",IF(C219="VISITAS","DOTACION VISITA",IF(C219="MTTO","DOTACION MTTO",IF(C219="PLANTA EMERGENCIA","DOTACION RES DE EMERGENCIA",IF(C219="EXTERNOS","DOTACION DE EXTERNO","DOTACION DISPONIBLE")))))))</f>
        <v>DOTACION ASIGNADA</v>
      </c>
    </row>
    <row r="220" spans="1:5" ht="23.25">
      <c r="A220" s="85">
        <v>3</v>
      </c>
      <c r="B220" s="5" t="s">
        <v>898</v>
      </c>
      <c r="C220" s="3" t="s">
        <v>2215</v>
      </c>
      <c r="D220" s="78" t="s">
        <v>30</v>
      </c>
      <c r="E220" s="22" t="str">
        <f>IF(B220="","",IF(A220=0,"NO HAY ESE CODIGO",IF(COUNTIF(ASIGNACIONES!$B$3:$B948,B220)=1,"DOTACION ASIGNADA",IF(C220="VISITAS","DOTACION VISITA",IF(C220="MTTO","DOTACION MTTO",IF(C220="PLANTA EMERGENCIA","DOTACION RES DE EMERGENCIA",IF(C220="EXTERNOS","DOTACION DE EXTERNO","DOTACION DISPONIBLE")))))))</f>
        <v>DOTACION ASIGNADA</v>
      </c>
    </row>
    <row r="221" spans="1:5" ht="23.25">
      <c r="A221" s="85">
        <v>0</v>
      </c>
      <c r="B221" s="5" t="s">
        <v>2392</v>
      </c>
      <c r="C221" s="3" t="s">
        <v>2215</v>
      </c>
      <c r="D221" s="78"/>
      <c r="E221" s="22" t="str">
        <f>IF(B221="","",IF(A221=0,"NO HAY ESE CODIGO",IF(COUNTIF(ASIGNACIONES!$B$3:$B948,B221)=1,"DOTACION ASIGNADA",IF(C221="VISITAS","DOTACION VISITA",IF(C221="MTTO","DOTACION MTTO",IF(C221="PLANTA EMERGENCIA","DOTACION RES DE EMERGENCIA",IF(C221="EXTERNOS","DOTACION DE EXTERNO","DOTACION DISPONIBLE")))))))</f>
        <v>NO HAY ESE CODIGO</v>
      </c>
    </row>
    <row r="222" spans="1:5" ht="23.25">
      <c r="A222" s="85">
        <v>0</v>
      </c>
      <c r="B222" s="5" t="s">
        <v>2393</v>
      </c>
      <c r="C222" s="3" t="s">
        <v>2215</v>
      </c>
      <c r="D222" s="78"/>
      <c r="E222" s="22" t="str">
        <f>IF(B222="","",IF(A222=0,"NO HAY ESE CODIGO",IF(COUNTIF(ASIGNACIONES!$B$3:$B948,B222)=1,"DOTACION ASIGNADA",IF(C222="VISITAS","DOTACION VISITA",IF(C222="MTTO","DOTACION MTTO",IF(C222="PLANTA EMERGENCIA","DOTACION RES DE EMERGENCIA",IF(C222="EXTERNOS","DOTACION DE EXTERNO","DOTACION DISPONIBLE")))))))</f>
        <v>NO HAY ESE CODIGO</v>
      </c>
    </row>
    <row r="223" spans="1:5" ht="23.25">
      <c r="A223" s="85">
        <v>0</v>
      </c>
      <c r="B223" s="5" t="s">
        <v>2394</v>
      </c>
      <c r="C223" s="3" t="s">
        <v>2215</v>
      </c>
      <c r="D223" s="78"/>
      <c r="E223" s="22" t="str">
        <f>IF(B223="","",IF(A223=0,"NO HAY ESE CODIGO",IF(COUNTIF(ASIGNACIONES!$B$3:$B948,B223)=1,"DOTACION ASIGNADA",IF(C223="VISITAS","DOTACION VISITA",IF(C223="MTTO","DOTACION MTTO",IF(C223="PLANTA EMERGENCIA","DOTACION RES DE EMERGENCIA",IF(C223="EXTERNOS","DOTACION DE EXTERNO","DOTACION DISPONIBLE")))))))</f>
        <v>NO HAY ESE CODIGO</v>
      </c>
    </row>
    <row r="224" spans="1:5" ht="23.25">
      <c r="A224" s="85">
        <v>0</v>
      </c>
      <c r="B224" s="5" t="s">
        <v>2395</v>
      </c>
      <c r="C224" s="3" t="s">
        <v>2215</v>
      </c>
      <c r="D224" s="78"/>
      <c r="E224" s="22" t="str">
        <f>IF(B224="","",IF(A224=0,"NO HAY ESE CODIGO",IF(COUNTIF(ASIGNACIONES!$B$3:$B948,B224)=1,"DOTACION ASIGNADA",IF(C224="VISITAS","DOTACION VISITA",IF(C224="MTTO","DOTACION MTTO",IF(C224="PLANTA EMERGENCIA","DOTACION RES DE EMERGENCIA",IF(C224="EXTERNOS","DOTACION DE EXTERNO","DOTACION DISPONIBLE")))))))</f>
        <v>NO HAY ESE CODIGO</v>
      </c>
    </row>
    <row r="225" spans="1:5" ht="23.25">
      <c r="A225" s="85">
        <v>0</v>
      </c>
      <c r="B225" s="5" t="s">
        <v>2396</v>
      </c>
      <c r="C225" s="3" t="s">
        <v>2215</v>
      </c>
      <c r="D225" s="78"/>
      <c r="E225" s="22" t="str">
        <f>IF(B225="","",IF(A225=0,"NO HAY ESE CODIGO",IF(COUNTIF(ASIGNACIONES!$B$3:$B948,B225)=1,"DOTACION ASIGNADA",IF(C225="VISITAS","DOTACION VISITA",IF(C225="MTTO","DOTACION MTTO",IF(C225="PLANTA EMERGENCIA","DOTACION RES DE EMERGENCIA",IF(C225="EXTERNOS","DOTACION DE EXTERNO","DOTACION DISPONIBLE")))))))</f>
        <v>NO HAY ESE CODIGO</v>
      </c>
    </row>
    <row r="226" spans="1:5" ht="23.25">
      <c r="A226" s="85">
        <v>0</v>
      </c>
      <c r="B226" s="5" t="s">
        <v>2397</v>
      </c>
      <c r="C226" s="3" t="s">
        <v>2215</v>
      </c>
      <c r="D226" s="78"/>
      <c r="E226" s="22" t="str">
        <f>IF(B226="","",IF(A226=0,"NO HAY ESE CODIGO",IF(COUNTIF(ASIGNACIONES!$B$3:$B948,B226)=1,"DOTACION ASIGNADA",IF(C226="VISITAS","DOTACION VISITA",IF(C226="MTTO","DOTACION MTTO",IF(C226="PLANTA EMERGENCIA","DOTACION RES DE EMERGENCIA",IF(C226="EXTERNOS","DOTACION DE EXTERNO","DOTACION DISPONIBLE")))))))</f>
        <v>NO HAY ESE CODIGO</v>
      </c>
    </row>
    <row r="227" spans="1:5" ht="23.25">
      <c r="A227" s="85">
        <v>3</v>
      </c>
      <c r="B227" s="5" t="s">
        <v>156</v>
      </c>
      <c r="C227" s="3" t="s">
        <v>2215</v>
      </c>
      <c r="D227" s="78" t="s">
        <v>28</v>
      </c>
      <c r="E227" s="22" t="str">
        <f>IF(B227="","",IF(A227=0,"NO HAY ESE CODIGO",IF(COUNTIF(ASIGNACIONES!$B$3:$B948,B227)=1,"DOTACION ASIGNADA",IF(C227="VISITAS","DOTACION VISITA",IF(C227="MTTO","DOTACION MTTO",IF(C227="PLANTA EMERGENCIA","DOTACION RES DE EMERGENCIA",IF(C227="EXTERNOS","DOTACION DE EXTERNO","DOTACION DISPONIBLE")))))))</f>
        <v>DOTACION ASIGNADA</v>
      </c>
    </row>
    <row r="228" spans="1:5" ht="23.25">
      <c r="A228" s="85">
        <v>3</v>
      </c>
      <c r="B228" s="5" t="s">
        <v>2104</v>
      </c>
      <c r="C228" s="3" t="s">
        <v>2215</v>
      </c>
      <c r="D228" s="78" t="s">
        <v>97</v>
      </c>
      <c r="E228" s="22" t="str">
        <f>IF(B228="","",IF(A228=0,"NO HAY ESE CODIGO",IF(COUNTIF(ASIGNACIONES!$B$3:$B948,B228)=1,"DOTACION ASIGNADA",IF(C228="VISITAS","DOTACION VISITA",IF(C228="MTTO","DOTACION MTTO",IF(C228="PLANTA EMERGENCIA","DOTACION RES DE EMERGENCIA",IF(C228="EXTERNOS","DOTACION DE EXTERNO","DOTACION DISPONIBLE")))))))</f>
        <v>DOTACION DISPONIBLE</v>
      </c>
    </row>
    <row r="229" spans="1:5" ht="23.25">
      <c r="A229" s="85">
        <v>3</v>
      </c>
      <c r="B229" s="5" t="s">
        <v>905</v>
      </c>
      <c r="C229" s="3" t="s">
        <v>2215</v>
      </c>
      <c r="D229" s="78" t="s">
        <v>28</v>
      </c>
      <c r="E229" s="22" t="str">
        <f>IF(B229="","",IF(A229=0,"NO HAY ESE CODIGO",IF(COUNTIF(ASIGNACIONES!$B$3:$B948,B229)=1,"DOTACION ASIGNADA",IF(C229="VISITAS","DOTACION VISITA",IF(C229="MTTO","DOTACION MTTO",IF(C229="PLANTA EMERGENCIA","DOTACION RES DE EMERGENCIA",IF(C229="EXTERNOS","DOTACION DE EXTERNO","DOTACION DISPONIBLE")))))))</f>
        <v>DOTACION ASIGNADA</v>
      </c>
    </row>
    <row r="230" spans="1:5" ht="23.25">
      <c r="A230" s="85">
        <v>3</v>
      </c>
      <c r="B230" s="5" t="s">
        <v>748</v>
      </c>
      <c r="C230" s="3" t="s">
        <v>2215</v>
      </c>
      <c r="D230" s="78" t="s">
        <v>28</v>
      </c>
      <c r="E230" s="22" t="str">
        <f>IF(B230="","",IF(A230=0,"NO HAY ESE CODIGO",IF(COUNTIF(ASIGNACIONES!$B$3:$B948,B230)=1,"DOTACION ASIGNADA",IF(C230="VISITAS","DOTACION VISITA",IF(C230="MTTO","DOTACION MTTO",IF(C230="PLANTA EMERGENCIA","DOTACION RES DE EMERGENCIA",IF(C230="EXTERNOS","DOTACION DE EXTERNO","DOTACION DISPONIBLE")))))))</f>
        <v>DOTACION ASIGNADA</v>
      </c>
    </row>
    <row r="231" spans="1:5" ht="23.25">
      <c r="A231" s="85">
        <v>3</v>
      </c>
      <c r="B231" s="5" t="s">
        <v>300</v>
      </c>
      <c r="C231" s="3" t="s">
        <v>2215</v>
      </c>
      <c r="D231" s="78" t="s">
        <v>28</v>
      </c>
      <c r="E231" s="22" t="str">
        <f>IF(B231="","",IF(A231=0,"NO HAY ESE CODIGO",IF(COUNTIF(ASIGNACIONES!$B$3:$B948,B231)=1,"DOTACION ASIGNADA",IF(C231="VISITAS","DOTACION VISITA",IF(C231="MTTO","DOTACION MTTO",IF(C231="PLANTA EMERGENCIA","DOTACION RES DE EMERGENCIA",IF(C231="EXTERNOS","DOTACION DE EXTERNO","DOTACION DISPONIBLE")))))))</f>
        <v>DOTACION ASIGNADA</v>
      </c>
    </row>
    <row r="232" spans="1:5" ht="23.25">
      <c r="A232" s="85">
        <v>3</v>
      </c>
      <c r="B232" s="5" t="s">
        <v>810</v>
      </c>
      <c r="C232" s="3" t="s">
        <v>2215</v>
      </c>
      <c r="D232" s="78" t="s">
        <v>28</v>
      </c>
      <c r="E232" s="22" t="str">
        <f>IF(B232="","",IF(A232=0,"NO HAY ESE CODIGO",IF(COUNTIF(ASIGNACIONES!$B$3:$B948,B232)=1,"DOTACION ASIGNADA",IF(C232="VISITAS","DOTACION VISITA",IF(C232="MTTO","DOTACION MTTO",IF(C232="PLANTA EMERGENCIA","DOTACION RES DE EMERGENCIA",IF(C232="EXTERNOS","DOTACION DE EXTERNO","DOTACION DISPONIBLE")))))))</f>
        <v>DOTACION ASIGNADA</v>
      </c>
    </row>
    <row r="233" spans="1:5" ht="23.25">
      <c r="A233" s="85">
        <v>3</v>
      </c>
      <c r="B233" s="5" t="s">
        <v>1837</v>
      </c>
      <c r="C233" s="3" t="s">
        <v>2215</v>
      </c>
      <c r="D233" s="78" t="s">
        <v>30</v>
      </c>
      <c r="E233" s="22" t="str">
        <f>IF(B233="","",IF(A233=0,"NO HAY ESE CODIGO",IF(COUNTIF(ASIGNACIONES!$B$3:$B948,B233)=1,"DOTACION ASIGNADA",IF(C233="VISITAS","DOTACION VISITA",IF(C233="MTTO","DOTACION MTTO",IF(C233="PLANTA EMERGENCIA","DOTACION RES DE EMERGENCIA",IF(C233="EXTERNOS","DOTACION DE EXTERNO","DOTACION DISPONIBLE")))))))</f>
        <v>DOTACION ASIGNADA</v>
      </c>
    </row>
    <row r="234" spans="1:5" ht="23.25">
      <c r="A234" s="85">
        <v>3</v>
      </c>
      <c r="B234" s="5" t="s">
        <v>924</v>
      </c>
      <c r="C234" s="3" t="s">
        <v>2215</v>
      </c>
      <c r="D234" s="78" t="s">
        <v>30</v>
      </c>
      <c r="E234" s="22" t="str">
        <f>IF(B234="","",IF(A234=0,"NO HAY ESE CODIGO",IF(COUNTIF(ASIGNACIONES!$B$3:$B948,B234)=1,"DOTACION ASIGNADA",IF(C234="VISITAS","DOTACION VISITA",IF(C234="MTTO","DOTACION MTTO",IF(C234="PLANTA EMERGENCIA","DOTACION RES DE EMERGENCIA",IF(C234="EXTERNOS","DOTACION DE EXTERNO","DOTACION DISPONIBLE")))))))</f>
        <v>DOTACION ASIGNADA</v>
      </c>
    </row>
    <row r="235" spans="1:5" ht="23.25">
      <c r="A235" s="85">
        <v>3</v>
      </c>
      <c r="B235" s="5" t="s">
        <v>1748</v>
      </c>
      <c r="C235" s="3" t="s">
        <v>2215</v>
      </c>
      <c r="D235" s="78" t="s">
        <v>30</v>
      </c>
      <c r="E235" s="22" t="str">
        <f>IF(B235="","",IF(A235=0,"NO HAY ESE CODIGO",IF(COUNTIF(ASIGNACIONES!$B$3:$B948,B235)=1,"DOTACION ASIGNADA",IF(C235="VISITAS","DOTACION VISITA",IF(C235="MTTO","DOTACION MTTO",IF(C235="PLANTA EMERGENCIA","DOTACION RES DE EMERGENCIA",IF(C235="EXTERNOS","DOTACION DE EXTERNO","DOTACION DISPONIBLE")))))))</f>
        <v>DOTACION DISPONIBLE</v>
      </c>
    </row>
    <row r="236" spans="1:5" ht="23.25">
      <c r="A236" s="85">
        <v>3</v>
      </c>
      <c r="B236" s="5" t="s">
        <v>478</v>
      </c>
      <c r="C236" s="3" t="s">
        <v>2215</v>
      </c>
      <c r="D236" s="78" t="s">
        <v>30</v>
      </c>
      <c r="E236" s="22" t="str">
        <f>IF(B236="","",IF(A236=0,"NO HAY ESE CODIGO",IF(COUNTIF(ASIGNACIONES!$B$3:$B948,B236)=1,"DOTACION ASIGNADA",IF(C236="VISITAS","DOTACION VISITA",IF(C236="MTTO","DOTACION MTTO",IF(C236="PLANTA EMERGENCIA","DOTACION RES DE EMERGENCIA",IF(C236="EXTERNOS","DOTACION DE EXTERNO","DOTACION DISPONIBLE")))))))</f>
        <v>DOTACION DISPONIBLE</v>
      </c>
    </row>
    <row r="237" spans="1:5" ht="23.25">
      <c r="A237" s="85">
        <v>3</v>
      </c>
      <c r="B237" s="5" t="s">
        <v>921</v>
      </c>
      <c r="C237" s="3" t="s">
        <v>2215</v>
      </c>
      <c r="D237" s="78" t="s">
        <v>30</v>
      </c>
      <c r="E237" s="22" t="str">
        <f>IF(B237="","",IF(A237=0,"NO HAY ESE CODIGO",IF(COUNTIF(ASIGNACIONES!$B$3:$B948,B237)=1,"DOTACION ASIGNADA",IF(C237="VISITAS","DOTACION VISITA",IF(C237="MTTO","DOTACION MTTO",IF(C237="PLANTA EMERGENCIA","DOTACION RES DE EMERGENCIA",IF(C237="EXTERNOS","DOTACION DE EXTERNO","DOTACION DISPONIBLE")))))))</f>
        <v>DOTACION DISPONIBLE</v>
      </c>
    </row>
    <row r="238" spans="1:5" ht="23.25">
      <c r="A238" s="85">
        <v>2</v>
      </c>
      <c r="B238" s="5" t="s">
        <v>1718</v>
      </c>
      <c r="C238" s="3" t="s">
        <v>2215</v>
      </c>
      <c r="D238" s="78" t="s">
        <v>716</v>
      </c>
      <c r="E238" s="22" t="str">
        <f>IF(B238="","",IF(A238=0,"NO HAY ESE CODIGO",IF(COUNTIF(ASIGNACIONES!$B$3:$B948,B238)=1,"DOTACION ASIGNADA",IF(C238="VISITAS","DOTACION VISITA",IF(C238="MTTO","DOTACION MTTO",IF(C238="PLANTA EMERGENCIA","DOTACION RES DE EMERGENCIA",IF(C238="EXTERNOS","DOTACION DE EXTERNO","DOTACION DISPONIBLE")))))))</f>
        <v>DOTACION ASIGNADA</v>
      </c>
    </row>
    <row r="239" spans="1:5" ht="23.25">
      <c r="A239" s="85">
        <v>2</v>
      </c>
      <c r="B239" s="5" t="s">
        <v>2398</v>
      </c>
      <c r="C239" s="3" t="s">
        <v>2215</v>
      </c>
      <c r="D239" s="78" t="s">
        <v>716</v>
      </c>
      <c r="E239" s="22" t="str">
        <f>IF(B239="","",IF(A239=0,"NO HAY ESE CODIGO",IF(COUNTIF(ASIGNACIONES!$B$3:$B948,B239)=1,"DOTACION ASIGNADA",IF(C239="VISITAS","DOTACION VISITA",IF(C239="MTTO","DOTACION MTTO",IF(C239="PLANTA EMERGENCIA","DOTACION RES DE EMERGENCIA",IF(C239="EXTERNOS","DOTACION DE EXTERNO","DOTACION DISPONIBLE")))))))</f>
        <v>DOTACION DISPONIBLE</v>
      </c>
    </row>
    <row r="240" spans="1:5" ht="23.25">
      <c r="A240" s="85">
        <v>0</v>
      </c>
      <c r="B240" s="5" t="s">
        <v>2399</v>
      </c>
      <c r="C240" s="3" t="s">
        <v>2215</v>
      </c>
      <c r="D240" s="78"/>
      <c r="E240" s="22" t="str">
        <f>IF(B240="","",IF(A240=0,"NO HAY ESE CODIGO",IF(COUNTIF(ASIGNACIONES!$B$3:$B948,B240)=1,"DOTACION ASIGNADA",IF(C240="VISITAS","DOTACION VISITA",IF(C240="MTTO","DOTACION MTTO",IF(C240="PLANTA EMERGENCIA","DOTACION RES DE EMERGENCIA",IF(C240="EXTERNOS","DOTACION DE EXTERNO","DOTACION DISPONIBLE")))))))</f>
        <v>NO HAY ESE CODIGO</v>
      </c>
    </row>
    <row r="241" spans="1:5" ht="23.25">
      <c r="A241" s="85">
        <v>0</v>
      </c>
      <c r="B241" s="5" t="s">
        <v>2400</v>
      </c>
      <c r="C241" s="3" t="s">
        <v>2215</v>
      </c>
      <c r="D241" s="78"/>
      <c r="E241" s="22" t="str">
        <f>IF(B241="","",IF(A241=0,"NO HAY ESE CODIGO",IF(COUNTIF(ASIGNACIONES!$B$3:$B948,B241)=1,"DOTACION ASIGNADA",IF(C241="VISITAS","DOTACION VISITA",IF(C241="MTTO","DOTACION MTTO",IF(C241="PLANTA EMERGENCIA","DOTACION RES DE EMERGENCIA",IF(C241="EXTERNOS","DOTACION DE EXTERNO","DOTACION DISPONIBLE")))))))</f>
        <v>NO HAY ESE CODIGO</v>
      </c>
    </row>
    <row r="242" spans="1:5" ht="23.25">
      <c r="A242" s="85">
        <v>0</v>
      </c>
      <c r="B242" s="5" t="s">
        <v>2401</v>
      </c>
      <c r="C242" s="3" t="s">
        <v>2215</v>
      </c>
      <c r="D242" s="78"/>
      <c r="E242" s="22" t="str">
        <f>IF(B242="","",IF(A242=0,"NO HAY ESE CODIGO",IF(COUNTIF(ASIGNACIONES!$B$3:$B948,B242)=1,"DOTACION ASIGNADA",IF(C242="VISITAS","DOTACION VISITA",IF(C242="MTTO","DOTACION MTTO",IF(C242="PLANTA EMERGENCIA","DOTACION RES DE EMERGENCIA",IF(C242="EXTERNOS","DOTACION DE EXTERNO","DOTACION DISPONIBLE")))))))</f>
        <v>NO HAY ESE CODIGO</v>
      </c>
    </row>
    <row r="243" spans="1:5" ht="23.25">
      <c r="A243" s="85">
        <v>0</v>
      </c>
      <c r="B243" s="5" t="s">
        <v>2402</v>
      </c>
      <c r="C243" s="3" t="s">
        <v>2215</v>
      </c>
      <c r="D243" s="78"/>
      <c r="E243" s="22" t="str">
        <f>IF(B243="","",IF(A243=0,"NO HAY ESE CODIGO",IF(COUNTIF(ASIGNACIONES!$B$3:$B948,B243)=1,"DOTACION ASIGNADA",IF(C243="VISITAS","DOTACION VISITA",IF(C243="MTTO","DOTACION MTTO",IF(C243="PLANTA EMERGENCIA","DOTACION RES DE EMERGENCIA",IF(C243="EXTERNOS","DOTACION DE EXTERNO","DOTACION DISPONIBLE")))))))</f>
        <v>NO HAY ESE CODIGO</v>
      </c>
    </row>
    <row r="244" spans="1:5" ht="23.25">
      <c r="A244" s="85">
        <v>0</v>
      </c>
      <c r="B244" s="5" t="s">
        <v>2403</v>
      </c>
      <c r="C244" s="3" t="s">
        <v>2215</v>
      </c>
      <c r="D244" s="78"/>
      <c r="E244" s="22" t="str">
        <f>IF(B244="","",IF(A244=0,"NO HAY ESE CODIGO",IF(COUNTIF(ASIGNACIONES!$B$3:$B948,B244)=1,"DOTACION ASIGNADA",IF(C244="VISITAS","DOTACION VISITA",IF(C244="MTTO","DOTACION MTTO",IF(C244="PLANTA EMERGENCIA","DOTACION RES DE EMERGENCIA",IF(C244="EXTERNOS","DOTACION DE EXTERNO","DOTACION DISPONIBLE")))))))</f>
        <v>NO HAY ESE CODIGO</v>
      </c>
    </row>
    <row r="245" spans="1:5" ht="23.25">
      <c r="A245" s="85">
        <v>0</v>
      </c>
      <c r="B245" s="5" t="s">
        <v>2404</v>
      </c>
      <c r="C245" s="3" t="s">
        <v>2215</v>
      </c>
      <c r="D245" s="78"/>
      <c r="E245" s="22" t="str">
        <f>IF(B245="","",IF(A245=0,"NO HAY ESE CODIGO",IF(COUNTIF(ASIGNACIONES!$B$3:$B948,B245)=1,"DOTACION ASIGNADA",IF(C245="VISITAS","DOTACION VISITA",IF(C245="MTTO","DOTACION MTTO",IF(C245="PLANTA EMERGENCIA","DOTACION RES DE EMERGENCIA",IF(C245="EXTERNOS","DOTACION DE EXTERNO","DOTACION DISPONIBLE")))))))</f>
        <v>NO HAY ESE CODIGO</v>
      </c>
    </row>
    <row r="246" spans="1:5" ht="23.25">
      <c r="A246" s="85">
        <v>3</v>
      </c>
      <c r="B246" s="5" t="s">
        <v>2405</v>
      </c>
      <c r="C246" s="3" t="s">
        <v>2215</v>
      </c>
      <c r="D246" s="78" t="s">
        <v>30</v>
      </c>
      <c r="E246" s="22" t="str">
        <f>IF(B246="","",IF(A246=0,"NO HAY ESE CODIGO",IF(COUNTIF(ASIGNACIONES!$B$3:$B948,B246)=1,"DOTACION ASIGNADA",IF(C246="VISITAS","DOTACION VISITA",IF(C246="MTTO","DOTACION MTTO",IF(C246="PLANTA EMERGENCIA","DOTACION RES DE EMERGENCIA",IF(C246="EXTERNOS","DOTACION DE EXTERNO","DOTACION DISPONIBLE")))))))</f>
        <v>DOTACION DISPONIBLE</v>
      </c>
    </row>
    <row r="247" spans="1:5" ht="23.25">
      <c r="A247" s="85">
        <v>0</v>
      </c>
      <c r="B247" s="5" t="s">
        <v>2406</v>
      </c>
      <c r="C247" s="3" t="s">
        <v>2215</v>
      </c>
      <c r="D247" s="78" t="s">
        <v>30</v>
      </c>
      <c r="E247" s="22" t="str">
        <f>IF(B247="","",IF(A247=0,"NO HAY ESE CODIGO",IF(COUNTIF(ASIGNACIONES!$B$3:$B948,B247)=1,"DOTACION ASIGNADA",IF(C247="VISITAS","DOTACION VISITA",IF(C247="MTTO","DOTACION MTTO",IF(C247="PLANTA EMERGENCIA","DOTACION RES DE EMERGENCIA",IF(C247="EXTERNOS","DOTACION DE EXTERNO","DOTACION DISPONIBLE")))))))</f>
        <v>NO HAY ESE CODIGO</v>
      </c>
    </row>
    <row r="248" spans="1:5" ht="23.25">
      <c r="A248" s="85">
        <v>2</v>
      </c>
      <c r="B248" s="5" t="s">
        <v>2407</v>
      </c>
      <c r="C248" s="3" t="s">
        <v>2215</v>
      </c>
      <c r="D248" s="78" t="s">
        <v>97</v>
      </c>
      <c r="E248" s="22" t="str">
        <f>IF(B248="","",IF(A248=0,"NO HAY ESE CODIGO",IF(COUNTIF(ASIGNACIONES!$B$3:$B948,B248)=1,"DOTACION ASIGNADA",IF(C248="VISITAS","DOTACION VISITA",IF(C248="MTTO","DOTACION MTTO",IF(C248="PLANTA EMERGENCIA","DOTACION RES DE EMERGENCIA",IF(C248="EXTERNOS","DOTACION DE EXTERNO","DOTACION DISPONIBLE")))))))</f>
        <v>DOTACION DISPONIBLE</v>
      </c>
    </row>
    <row r="249" spans="1:5" ht="23.25">
      <c r="A249" s="85">
        <v>0</v>
      </c>
      <c r="B249" s="5" t="s">
        <v>2408</v>
      </c>
      <c r="C249" s="3" t="s">
        <v>2215</v>
      </c>
      <c r="D249" s="78"/>
      <c r="E249" s="22" t="str">
        <f>IF(B249="","",IF(A249=0,"NO HAY ESE CODIGO",IF(COUNTIF(ASIGNACIONES!$B$3:$B948,B249)=1,"DOTACION ASIGNADA",IF(C249="VISITAS","DOTACION VISITA",IF(C249="MTTO","DOTACION MTTO",IF(C249="PLANTA EMERGENCIA","DOTACION RES DE EMERGENCIA",IF(C249="EXTERNOS","DOTACION DE EXTERNO","DOTACION DISPONIBLE")))))))</f>
        <v>NO HAY ESE CODIGO</v>
      </c>
    </row>
    <row r="250" spans="1:5" ht="23.25">
      <c r="A250" s="85">
        <v>3</v>
      </c>
      <c r="B250" s="5" t="s">
        <v>935</v>
      </c>
      <c r="C250" s="3" t="s">
        <v>2215</v>
      </c>
      <c r="D250" s="78" t="s">
        <v>30</v>
      </c>
      <c r="E250" s="22" t="str">
        <f>IF(B250="","",IF(A250=0,"NO HAY ESE CODIGO",IF(COUNTIF(ASIGNACIONES!$B$3:$B948,B250)=1,"DOTACION ASIGNADA",IF(C250="VISITAS","DOTACION VISITA",IF(C250="MTTO","DOTACION MTTO",IF(C250="PLANTA EMERGENCIA","DOTACION RES DE EMERGENCIA",IF(C250="EXTERNOS","DOTACION DE EXTERNO","DOTACION DISPONIBLE")))))))</f>
        <v>DOTACION ASIGNADA</v>
      </c>
    </row>
    <row r="251" spans="1:5" ht="23.25">
      <c r="A251" s="85">
        <v>3</v>
      </c>
      <c r="B251" s="5" t="s">
        <v>252</v>
      </c>
      <c r="C251" s="56" t="s">
        <v>2215</v>
      </c>
      <c r="D251" s="78" t="s">
        <v>30</v>
      </c>
      <c r="E251" s="22" t="str">
        <f>IF(B251="","",IF(A251=0,"NO HAY ESE CODIGO",IF(COUNTIF(ASIGNACIONES!$B$3:$B948,B251)=1,"DOTACION ASIGNADA",IF(C251="VISITAS","DOTACION VISITA",IF(C251="MTTO","DOTACION MTTO",IF(C251="PLANTA EMERGENCIA","DOTACION RES DE EMERGENCIA",IF(C251="EXTERNOS","DOTACION DE EXTERNO","DOTACION DISPONIBLE")))))))</f>
        <v>DOTACION ASIGNADA</v>
      </c>
    </row>
    <row r="252" spans="1:5" ht="23.25">
      <c r="A252" s="85">
        <v>3</v>
      </c>
      <c r="B252" s="5" t="s">
        <v>2409</v>
      </c>
      <c r="C252" s="3" t="s">
        <v>2215</v>
      </c>
      <c r="D252" s="78" t="s">
        <v>30</v>
      </c>
      <c r="E252" s="22" t="str">
        <f>IF(B252="","",IF(A252=0,"NO HAY ESE CODIGO",IF(COUNTIF(ASIGNACIONES!$B$3:$B948,B252)=1,"DOTACION ASIGNADA",IF(C252="VISITAS","DOTACION VISITA",IF(C252="MTTO","DOTACION MTTO",IF(C252="PLANTA EMERGENCIA","DOTACION RES DE EMERGENCIA",IF(C252="EXTERNOS","DOTACION DE EXTERNO","DOTACION DISPONIBLE")))))))</f>
        <v>DOTACION DISPONIBLE</v>
      </c>
    </row>
    <row r="253" spans="1:5" ht="23.25">
      <c r="A253" s="85">
        <v>0</v>
      </c>
      <c r="B253" s="5" t="s">
        <v>2410</v>
      </c>
      <c r="C253" s="3" t="s">
        <v>2215</v>
      </c>
      <c r="D253" s="78"/>
      <c r="E253" s="22" t="str">
        <f>IF(B253="","",IF(A253=0,"NO HAY ESE CODIGO",IF(COUNTIF(ASIGNACIONES!$B$3:$B948,B253)=1,"DOTACION ASIGNADA",IF(C253="VISITAS","DOTACION VISITA",IF(C253="MTTO","DOTACION MTTO",IF(C253="PLANTA EMERGENCIA","DOTACION RES DE EMERGENCIA",IF(C253="EXTERNOS","DOTACION DE EXTERNO","DOTACION DISPONIBLE")))))))</f>
        <v>NO HAY ESE CODIGO</v>
      </c>
    </row>
    <row r="254" spans="1:5" ht="23.25">
      <c r="A254" s="85">
        <v>0</v>
      </c>
      <c r="B254" s="5" t="s">
        <v>2411</v>
      </c>
      <c r="C254" s="3" t="s">
        <v>2215</v>
      </c>
      <c r="D254" s="78"/>
      <c r="E254" s="22" t="str">
        <f>IF(B254="","",IF(A254=0,"NO HAY ESE CODIGO",IF(COUNTIF(ASIGNACIONES!$B$3:$B948,B254)=1,"DOTACION ASIGNADA",IF(C254="VISITAS","DOTACION VISITA",IF(C254="MTTO","DOTACION MTTO",IF(C254="PLANTA EMERGENCIA","DOTACION RES DE EMERGENCIA",IF(C254="EXTERNOS","DOTACION DE EXTERNO","DOTACION DISPONIBLE")))))))</f>
        <v>NO HAY ESE CODIGO</v>
      </c>
    </row>
    <row r="255" spans="1:5" ht="23.25">
      <c r="A255" s="85">
        <v>3</v>
      </c>
      <c r="B255" s="5" t="s">
        <v>833</v>
      </c>
      <c r="C255" s="3" t="s">
        <v>2215</v>
      </c>
      <c r="D255" s="78" t="s">
        <v>48</v>
      </c>
      <c r="E255" s="22" t="str">
        <f>IF(B255="","",IF(A255=0,"NO HAY ESE CODIGO",IF(COUNTIF(ASIGNACIONES!$B$3:$B948,B255)=1,"DOTACION ASIGNADA",IF(C255="VISITAS","DOTACION VISITA",IF(C255="MTTO","DOTACION MTTO",IF(C255="PLANTA EMERGENCIA","DOTACION RES DE EMERGENCIA",IF(C255="EXTERNOS","DOTACION DE EXTERNO","DOTACION DISPONIBLE")))))))</f>
        <v>DOTACION ASIGNADA</v>
      </c>
    </row>
    <row r="256" spans="1:5" ht="23.25">
      <c r="A256" s="85">
        <v>3</v>
      </c>
      <c r="B256" s="5" t="s">
        <v>762</v>
      </c>
      <c r="C256" s="3" t="s">
        <v>2215</v>
      </c>
      <c r="D256" s="78" t="s">
        <v>30</v>
      </c>
      <c r="E256" s="22" t="str">
        <f>IF(B256="","",IF(A256=0,"NO HAY ESE CODIGO",IF(COUNTIF(ASIGNACIONES!$B$3:$B948,B256)=1,"DOTACION ASIGNADA",IF(C256="VISITAS","DOTACION VISITA",IF(C256="MTTO","DOTACION MTTO",IF(C256="PLANTA EMERGENCIA","DOTACION RES DE EMERGENCIA",IF(C256="EXTERNOS","DOTACION DE EXTERNO","DOTACION DISPONIBLE")))))))</f>
        <v>DOTACION ASIGNADA</v>
      </c>
    </row>
    <row r="257" spans="1:5" ht="23.25">
      <c r="A257" s="85">
        <v>3</v>
      </c>
      <c r="B257" s="5" t="s">
        <v>1295</v>
      </c>
      <c r="C257" s="3" t="s">
        <v>2215</v>
      </c>
      <c r="D257" s="78" t="s">
        <v>30</v>
      </c>
      <c r="E257" s="22" t="str">
        <f>IF(B257="","",IF(A257=0,"NO HAY ESE CODIGO",IF(COUNTIF(ASIGNACIONES!$B$3:$B948,B257)=1,"DOTACION ASIGNADA",IF(C257="VISITAS","DOTACION VISITA",IF(C257="MTTO","DOTACION MTTO",IF(C257="PLANTA EMERGENCIA","DOTACION RES DE EMERGENCIA",IF(C257="EXTERNOS","DOTACION DE EXTERNO","DOTACION DISPONIBLE")))))))</f>
        <v>DOTACION ASIGNADA</v>
      </c>
    </row>
    <row r="258" spans="1:5" ht="23.25">
      <c r="A258" s="85">
        <v>2</v>
      </c>
      <c r="B258" s="5" t="s">
        <v>998</v>
      </c>
      <c r="C258" s="3" t="s">
        <v>2215</v>
      </c>
      <c r="D258" s="78" t="s">
        <v>716</v>
      </c>
      <c r="E258" s="22" t="str">
        <f>IF(B258="","",IF(A258=0,"NO HAY ESE CODIGO",IF(COUNTIF(ASIGNACIONES!$B$3:$B948,B258)=1,"DOTACION ASIGNADA",IF(C258="VISITAS","DOTACION VISITA",IF(C258="MTTO","DOTACION MTTO",IF(C258="PLANTA EMERGENCIA","DOTACION RES DE EMERGENCIA",IF(C258="EXTERNOS","DOTACION DE EXTERNO","DOTACION DISPONIBLE")))))))</f>
        <v>DOTACION DISPONIBLE</v>
      </c>
    </row>
    <row r="259" spans="1:5" ht="23.25">
      <c r="A259" s="85">
        <v>3</v>
      </c>
      <c r="B259" s="5" t="s">
        <v>1245</v>
      </c>
      <c r="C259" s="3" t="s">
        <v>2215</v>
      </c>
      <c r="D259" s="78" t="s">
        <v>716</v>
      </c>
      <c r="E259" s="22" t="str">
        <f>IF(B259="","",IF(A259=0,"NO HAY ESE CODIGO",IF(COUNTIF(ASIGNACIONES!$B$3:$B948,B259)=1,"DOTACION ASIGNADA",IF(C259="VISITAS","DOTACION VISITA",IF(C259="MTTO","DOTACION MTTO",IF(C259="PLANTA EMERGENCIA","DOTACION RES DE EMERGENCIA",IF(C259="EXTERNOS","DOTACION DE EXTERNO","DOTACION DISPONIBLE")))))))</f>
        <v>DOTACION ASIGNADA</v>
      </c>
    </row>
    <row r="260" spans="1:5" ht="23.25">
      <c r="A260" s="85">
        <v>3</v>
      </c>
      <c r="B260" s="5" t="s">
        <v>1794</v>
      </c>
      <c r="C260" s="3" t="s">
        <v>2215</v>
      </c>
      <c r="D260" s="78" t="s">
        <v>1148</v>
      </c>
      <c r="E260" s="22" t="str">
        <f>IF(B260="","",IF(A260=0,"NO HAY ESE CODIGO",IF(COUNTIF(ASIGNACIONES!$B$3:$B948,B260)=1,"DOTACION ASIGNADA",IF(C260="VISITAS","DOTACION VISITA",IF(C260="MTTO","DOTACION MTTO",IF(C260="PLANTA EMERGENCIA","DOTACION RES DE EMERGENCIA",IF(C260="EXTERNOS","DOTACION DE EXTERNO","DOTACION DISPONIBLE")))))))</f>
        <v>DOTACION DISPONIBLE</v>
      </c>
    </row>
    <row r="261" spans="1:5" ht="23.25">
      <c r="A261" s="85">
        <v>0</v>
      </c>
      <c r="B261" s="5" t="s">
        <v>2412</v>
      </c>
      <c r="C261" s="3" t="s">
        <v>2215</v>
      </c>
      <c r="D261" s="78"/>
      <c r="E261" s="22" t="str">
        <f>IF(B261="","",IF(A261=0,"NO HAY ESE CODIGO",IF(COUNTIF(ASIGNACIONES!$B$3:$B948,B261)=1,"DOTACION ASIGNADA",IF(C261="VISITAS","DOTACION VISITA",IF(C261="MTTO","DOTACION MTTO",IF(C261="PLANTA EMERGENCIA","DOTACION RES DE EMERGENCIA",IF(C261="EXTERNOS","DOTACION DE EXTERNO","DOTACION DISPONIBLE")))))))</f>
        <v>NO HAY ESE CODIGO</v>
      </c>
    </row>
    <row r="262" spans="1:5" ht="23.25">
      <c r="A262" s="85">
        <v>3</v>
      </c>
      <c r="B262" s="5" t="s">
        <v>107</v>
      </c>
      <c r="C262" s="3" t="s">
        <v>2215</v>
      </c>
      <c r="D262" s="78" t="s">
        <v>28</v>
      </c>
      <c r="E262" s="22" t="str">
        <f>IF(B262="","",IF(A262=0,"NO HAY ESE CODIGO",IF(COUNTIF(ASIGNACIONES!$B$3:$B948,B262)=1,"DOTACION ASIGNADA",IF(C262="VISITAS","DOTACION VISITA",IF(C262="MTTO","DOTACION MTTO",IF(C262="PLANTA EMERGENCIA","DOTACION RES DE EMERGENCIA",IF(C262="EXTERNOS","DOTACION DE EXTERNO","DOTACION DISPONIBLE")))))))</f>
        <v>DOTACION ASIGNADA</v>
      </c>
    </row>
    <row r="263" spans="1:5" ht="23.25">
      <c r="A263" s="85">
        <v>0</v>
      </c>
      <c r="B263" s="5" t="s">
        <v>2413</v>
      </c>
      <c r="C263" s="3" t="s">
        <v>2215</v>
      </c>
      <c r="D263" s="78"/>
      <c r="E263" s="22" t="str">
        <f>IF(B263="","",IF(A263=0,"NO HAY ESE CODIGO",IF(COUNTIF(ASIGNACIONES!$B$3:$B948,B263)=1,"DOTACION ASIGNADA",IF(C263="VISITAS","DOTACION VISITA",IF(C263="MTTO","DOTACION MTTO",IF(C263="PLANTA EMERGENCIA","DOTACION RES DE EMERGENCIA",IF(C263="EXTERNOS","DOTACION DE EXTERNO","DOTACION DISPONIBLE")))))))</f>
        <v>NO HAY ESE CODIGO</v>
      </c>
    </row>
    <row r="264" spans="1:5" ht="23.25">
      <c r="A264" s="85">
        <v>3</v>
      </c>
      <c r="B264" s="5" t="s">
        <v>2414</v>
      </c>
      <c r="C264" s="3" t="s">
        <v>2215</v>
      </c>
      <c r="D264" s="78" t="s">
        <v>30</v>
      </c>
      <c r="E264" s="22" t="str">
        <f>IF(B264="","",IF(A264=0,"NO HAY ESE CODIGO",IF(COUNTIF(ASIGNACIONES!$B$3:$B948,B264)=1,"DOTACION ASIGNADA",IF(C264="VISITAS","DOTACION VISITA",IF(C264="MTTO","DOTACION MTTO",IF(C264="PLANTA EMERGENCIA","DOTACION RES DE EMERGENCIA",IF(C264="EXTERNOS","DOTACION DE EXTERNO","DOTACION DISPONIBLE")))))))</f>
        <v>DOTACION DISPONIBLE</v>
      </c>
    </row>
    <row r="265" spans="1:5" ht="23.25">
      <c r="A265" s="85">
        <v>3</v>
      </c>
      <c r="B265" s="5" t="s">
        <v>238</v>
      </c>
      <c r="C265" s="3" t="s">
        <v>2215</v>
      </c>
      <c r="D265" s="78" t="s">
        <v>30</v>
      </c>
      <c r="E265" s="22" t="str">
        <f>IF(B265="","",IF(A265=0,"NO HAY ESE CODIGO",IF(COUNTIF(ASIGNACIONES!$B$3:$B948,B265)=1,"DOTACION ASIGNADA",IF(C265="VISITAS","DOTACION VISITA",IF(C265="MTTO","DOTACION MTTO",IF(C265="PLANTA EMERGENCIA","DOTACION RES DE EMERGENCIA",IF(C265="EXTERNOS","DOTACION DE EXTERNO","DOTACION DISPONIBLE")))))))</f>
        <v>DOTACION ASIGNADA</v>
      </c>
    </row>
    <row r="266" spans="1:5" ht="23.25">
      <c r="A266" s="85">
        <v>2</v>
      </c>
      <c r="B266" s="42" t="s">
        <v>112</v>
      </c>
      <c r="C266" s="3" t="s">
        <v>2215</v>
      </c>
      <c r="D266" s="78" t="s">
        <v>28</v>
      </c>
      <c r="E266" s="22" t="str">
        <f>IF(B266="","",IF(A266=0,"NO HAY ESE CODIGO",IF(COUNTIF(ASIGNACIONES!$B$3:$B948,B266)=1,"DOTACION ASIGNADA",IF(C266="VISITAS","DOTACION VISITA",IF(C266="MTTO","DOTACION MTTO",IF(C266="PLANTA EMERGENCIA","DOTACION RES DE EMERGENCIA",IF(C266="EXTERNOS","DOTACION DE EXTERNO","DOTACION DISPONIBLE")))))))</f>
        <v>DOTACION ASIGNADA</v>
      </c>
    </row>
    <row r="267" spans="1:5" ht="23.25">
      <c r="A267" s="85">
        <v>3</v>
      </c>
      <c r="B267" s="5" t="s">
        <v>2415</v>
      </c>
      <c r="C267" s="3" t="s">
        <v>2295</v>
      </c>
      <c r="D267" s="78" t="s">
        <v>97</v>
      </c>
      <c r="E267" s="22" t="str">
        <f>IF(B267="","",IF(A267=0,"NO HAY ESE CODIGO",IF(COUNTIF(ASIGNACIONES!$B$3:$B948,B267)=1,"DOTACION ASIGNADA",IF(C267="VISITAS","DOTACION VISITA",IF(C267="MTTO","DOTACION MTTO",IF(C267="PLANTA EMERGENCIA","DOTACION RES DE EMERGENCIA",IF(C267="EXTERNOS","DOTACION DE EXTERNO","DOTACION DISPONIBLE")))))))</f>
        <v>DOTACION RES DE EMERGENCIA</v>
      </c>
    </row>
    <row r="268" spans="1:5" ht="23.25">
      <c r="A268" s="85">
        <v>3</v>
      </c>
      <c r="B268" s="5" t="s">
        <v>2416</v>
      </c>
      <c r="C268" s="3" t="s">
        <v>2295</v>
      </c>
      <c r="D268" s="78" t="s">
        <v>28</v>
      </c>
      <c r="E268" s="22" t="str">
        <f>IF(B268="","",IF(A268=0,"NO HAY ESE CODIGO",IF(COUNTIF(ASIGNACIONES!$B$3:$B948,B268)=1,"DOTACION ASIGNADA",IF(C268="VISITAS","DOTACION VISITA",IF(C268="MTTO","DOTACION MTTO",IF(C268="PLANTA EMERGENCIA","DOTACION RES DE EMERGENCIA",IF(C268="EXTERNOS","DOTACION DE EXTERNO","DOTACION DISPONIBLE")))))))</f>
        <v>DOTACION RES DE EMERGENCIA</v>
      </c>
    </row>
    <row r="269" spans="1:5" ht="23.25">
      <c r="A269" s="85">
        <v>3</v>
      </c>
      <c r="B269" s="5" t="s">
        <v>2417</v>
      </c>
      <c r="C269" s="3" t="s">
        <v>2295</v>
      </c>
      <c r="D269" s="78" t="s">
        <v>30</v>
      </c>
      <c r="E269" s="22" t="str">
        <f>IF(B269="","",IF(A269=0,"NO HAY ESE CODIGO",IF(COUNTIF(ASIGNACIONES!$B$3:$B948,B269)=1,"DOTACION ASIGNADA",IF(C269="VISITAS","DOTACION VISITA",IF(C269="MTTO","DOTACION MTTO",IF(C269="PLANTA EMERGENCIA","DOTACION RES DE EMERGENCIA",IF(C269="EXTERNOS","DOTACION DE EXTERNO","DOTACION DISPONIBLE")))))))</f>
        <v>DOTACION RES DE EMERGENCIA</v>
      </c>
    </row>
    <row r="270" spans="1:5" ht="23.25">
      <c r="A270" s="85">
        <v>3</v>
      </c>
      <c r="B270" s="5" t="s">
        <v>2418</v>
      </c>
      <c r="C270" s="3" t="s">
        <v>2295</v>
      </c>
      <c r="D270" s="78" t="s">
        <v>48</v>
      </c>
      <c r="E270" s="22" t="str">
        <f>IF(B270="","",IF(A270=0,"NO HAY ESE CODIGO",IF(COUNTIF(ASIGNACIONES!$B$3:$B948,B270)=1,"DOTACION ASIGNADA",IF(C270="VISITAS","DOTACION VISITA",IF(C270="MTTO","DOTACION MTTO",IF(C270="PLANTA EMERGENCIA","DOTACION RES DE EMERGENCIA",IF(C270="EXTERNOS","DOTACION DE EXTERNO","DOTACION DISPONIBLE")))))))</f>
        <v>DOTACION RES DE EMERGENCIA</v>
      </c>
    </row>
    <row r="271" spans="1:5" ht="23.25">
      <c r="A271" s="85">
        <v>3</v>
      </c>
      <c r="B271" s="5" t="s">
        <v>2419</v>
      </c>
      <c r="C271" s="3" t="s">
        <v>2295</v>
      </c>
      <c r="D271" s="78" t="s">
        <v>30</v>
      </c>
      <c r="E271" s="22" t="str">
        <f>IF(B271="","",IF(A271=0,"NO HAY ESE CODIGO",IF(COUNTIF(ASIGNACIONES!$B$3:$B948,B271)=1,"DOTACION ASIGNADA",IF(C271="VISITAS","DOTACION VISITA",IF(C271="MTTO","DOTACION MTTO",IF(C271="PLANTA EMERGENCIA","DOTACION RES DE EMERGENCIA",IF(C271="EXTERNOS","DOTACION DE EXTERNO","DOTACION DISPONIBLE")))))))</f>
        <v>DOTACION RES DE EMERGENCIA</v>
      </c>
    </row>
    <row r="272" spans="1:5" ht="23.25">
      <c r="A272" s="85">
        <v>9</v>
      </c>
      <c r="B272" s="5" t="s">
        <v>2420</v>
      </c>
      <c r="C272" s="3" t="s">
        <v>129</v>
      </c>
      <c r="D272" s="78" t="s">
        <v>28</v>
      </c>
      <c r="E272" s="22" t="str">
        <f>IF(B272="","",IF(A272=0,"NO HAY ESE CODIGO",IF(COUNTIF(ASIGNACIONES!$B$3:$B948,B272)=1,"DOTACION ASIGNADA",IF(C272="VISITAS","DOTACION VISITA",IF(C272="MTTO","DOTACION MTTO",IF(C272="PLANTA EMERGENCIA","DOTACION RES DE EMERGENCIA",IF(C272="EXTERNOS","DOTACION DE EXTERNO","DOTACION DISPONIBLE")))))))</f>
        <v>DOTACION MTTO</v>
      </c>
    </row>
    <row r="273" spans="1:5" ht="23.25">
      <c r="A273" s="85">
        <v>9</v>
      </c>
      <c r="B273" s="5" t="s">
        <v>2421</v>
      </c>
      <c r="C273" s="3" t="s">
        <v>129</v>
      </c>
      <c r="D273" s="78" t="s">
        <v>30</v>
      </c>
      <c r="E273" s="22" t="str">
        <f>IF(B273="","",IF(A273=0,"NO HAY ESE CODIGO",IF(COUNTIF(ASIGNACIONES!$B$3:$B948,B273)=1,"DOTACION ASIGNADA",IF(C273="VISITAS","DOTACION VISITA",IF(C273="MTTO","DOTACION MTTO",IF(C273="PLANTA EMERGENCIA","DOTACION RES DE EMERGENCIA",IF(C273="EXTERNOS","DOTACION DE EXTERNO","DOTACION DISPONIBLE")))))))</f>
        <v>DOTACION MTTO</v>
      </c>
    </row>
    <row r="274" spans="1:5" ht="23.25">
      <c r="A274" s="85">
        <v>6</v>
      </c>
      <c r="B274" s="5" t="s">
        <v>2422</v>
      </c>
      <c r="C274" s="3" t="s">
        <v>129</v>
      </c>
      <c r="D274" s="78" t="s">
        <v>48</v>
      </c>
      <c r="E274" s="22" t="str">
        <f>IF(B274="","",IF(A274=0,"NO HAY ESE CODIGO",IF(COUNTIF(ASIGNACIONES!$B$3:$B948,B274)=1,"DOTACION ASIGNADA",IF(C274="VISITAS","DOTACION VISITA",IF(C274="MTTO","DOTACION MTTO",IF(C274="PLANTA EMERGENCIA","DOTACION RES DE EMERGENCIA",IF(C274="EXTERNOS","DOTACION DE EXTERNO","DOTACION DISPONIBLE")))))))</f>
        <v>DOTACION MTTO</v>
      </c>
    </row>
    <row r="275" spans="1:5" ht="23.25">
      <c r="A275" s="85">
        <v>3</v>
      </c>
      <c r="B275" s="5" t="s">
        <v>1025</v>
      </c>
      <c r="C275" s="3" t="s">
        <v>2297</v>
      </c>
      <c r="D275" s="78" t="s">
        <v>30</v>
      </c>
      <c r="E275" s="22" t="str">
        <f>IF(B275="","",IF(A275=0,"NO HAY ESE CODIGO",IF(COUNTIF(ASIGNACIONES!$B$3:$B948,B275)=1,"DOTACION ASIGNADA",IF(C275="VISITAS","DOTACION VISITA",IF(C275="MTTO","DOTACION MTTO",IF(C275="PLANTA EMERGENCIA","DOTACION RES DE EMERGENCIA",IF(C275="EXTERNOS","DOTACION DE EXTERNO","DOTACION DISPONIBLE")))))))</f>
        <v>DOTACION ASIGNADA</v>
      </c>
    </row>
    <row r="276" spans="1:5" ht="23.25">
      <c r="A276" s="85">
        <v>3</v>
      </c>
      <c r="B276" s="5" t="s">
        <v>1025</v>
      </c>
      <c r="C276" s="3" t="s">
        <v>2297</v>
      </c>
      <c r="D276" s="78" t="s">
        <v>28</v>
      </c>
      <c r="E276" s="22" t="str">
        <f>IF(B276="","",IF(A276=0,"NO HAY ESE CODIGO",IF(COUNTIF(ASIGNACIONES!$B$3:$B948,B276)=1,"DOTACION ASIGNADA",IF(C276="VISITAS","DOTACION VISITA",IF(C276="MTTO","DOTACION MTTO",IF(C276="PLANTA EMERGENCIA","DOTACION RES DE EMERGENCIA",IF(C276="EXTERNOS","DOTACION DE EXTERNO","DOTACION DISPONIBLE")))))))</f>
        <v>DOTACION ASIGNADA</v>
      </c>
    </row>
    <row r="277" spans="1:5" ht="23.25">
      <c r="A277" s="85">
        <v>3</v>
      </c>
      <c r="B277" s="5" t="s">
        <v>2184</v>
      </c>
      <c r="C277" s="3" t="s">
        <v>2297</v>
      </c>
      <c r="D277" s="78" t="s">
        <v>28</v>
      </c>
      <c r="E277" s="22" t="str">
        <f>IF(B277="","",IF(A277=0,"NO HAY ESE CODIGO",IF(COUNTIF(ASIGNACIONES!$B$3:$B948,B277)=1,"DOTACION ASIGNADA",IF(C277="VISITAS","DOTACION VISITA",IF(C277="MTTO","DOTACION MTTO",IF(C277="PLANTA EMERGENCIA","DOTACION RES DE EMERGENCIA",IF(C277="EXTERNOS","DOTACION DE EXTERNO","DOTACION DISPONIBLE")))))))</f>
        <v>DOTACION ASIGNADA</v>
      </c>
    </row>
    <row r="278" spans="1:5" ht="23.25">
      <c r="A278" s="85">
        <v>3</v>
      </c>
      <c r="B278" s="5" t="s">
        <v>2184</v>
      </c>
      <c r="C278" s="3" t="s">
        <v>2297</v>
      </c>
      <c r="D278" s="78" t="s">
        <v>30</v>
      </c>
      <c r="E278" s="22" t="str">
        <f>IF(B278="","",IF(A278=0,"NO HAY ESE CODIGO",IF(COUNTIF(ASIGNACIONES!$B$3:$B948,B278)=1,"DOTACION ASIGNADA",IF(C278="VISITAS","DOTACION VISITA",IF(C278="MTTO","DOTACION MTTO",IF(C278="PLANTA EMERGENCIA","DOTACION RES DE EMERGENCIA",IF(C278="EXTERNOS","DOTACION DE EXTERNO","DOTACION DISPONIBLE")))))))</f>
        <v>DOTACION ASIGNADA</v>
      </c>
    </row>
    <row r="279" spans="1:5" ht="23.25">
      <c r="A279" s="85">
        <v>3</v>
      </c>
      <c r="B279" s="5" t="s">
        <v>2423</v>
      </c>
      <c r="C279" s="3" t="s">
        <v>2297</v>
      </c>
      <c r="D279" s="78" t="s">
        <v>30</v>
      </c>
      <c r="E279" s="22" t="str">
        <f>IF(B279="","",IF(A279=0,"NO HAY ESE CODIGO",IF(COUNTIF(ASIGNACIONES!$B$3:$B948,B279)=1,"DOTACION ASIGNADA",IF(C279="VISITAS","DOTACION VISITA",IF(C279="MTTO","DOTACION MTTO",IF(C279="PLANTA EMERGENCIA","DOTACION RES DE EMERGENCIA",IF(C279="EXTERNOS","DOTACION DE EXTERNO","DOTACION DISPONIBLE")))))))</f>
        <v>DOTACION DISPONIBLE</v>
      </c>
    </row>
    <row r="280" spans="1:5" ht="23.25">
      <c r="A280" s="85">
        <v>3</v>
      </c>
      <c r="B280" s="5" t="s">
        <v>2423</v>
      </c>
      <c r="C280" s="3" t="s">
        <v>2297</v>
      </c>
      <c r="D280" s="78" t="s">
        <v>48</v>
      </c>
      <c r="E280" s="22" t="str">
        <f>IF(B280="","",IF(A280=0,"NO HAY ESE CODIGO",IF(COUNTIF(ASIGNACIONES!$B$3:$B948,B280)=1,"DOTACION ASIGNADA",IF(C280="VISITAS","DOTACION VISITA",IF(C280="MTTO","DOTACION MTTO",IF(C280="PLANTA EMERGENCIA","DOTACION RES DE EMERGENCIA",IF(C280="EXTERNOS","DOTACION DE EXTERNO","DOTACION DISPONIBLE")))))))</f>
        <v>DOTACION DISPONIBLE</v>
      </c>
    </row>
    <row r="281" spans="1:5" ht="23.25">
      <c r="A281" s="85">
        <v>3</v>
      </c>
      <c r="B281" s="5" t="s">
        <v>209</v>
      </c>
      <c r="C281" s="3" t="s">
        <v>2298</v>
      </c>
      <c r="D281" s="78" t="s">
        <v>97</v>
      </c>
      <c r="E281" s="22" t="str">
        <f>IF(B281="","",IF(A281=0,"NO HAY ESE CODIGO",IF(COUNTIF(ASIGNACIONES!$B$3:$B948,B281)=1,"DOTACION ASIGNADA",IF(C281="VISITAS","DOTACION VISITA",IF(C281="MTTO","DOTACION MTTO",IF(C281="PLANTA EMERGENCIA","DOTACION RES DE EMERGENCIA",IF(C281="EXTERNOS","DOTACION DE EXTERNO","DOTACION DISPONIBLE")))))))</f>
        <v>DOTACION ASIGNADA</v>
      </c>
    </row>
    <row r="282" spans="1:5" ht="23.25">
      <c r="A282" s="85">
        <v>3</v>
      </c>
      <c r="B282" s="5" t="s">
        <v>666</v>
      </c>
      <c r="C282" s="3" t="s">
        <v>2298</v>
      </c>
      <c r="D282" s="78" t="s">
        <v>28</v>
      </c>
      <c r="E282" s="22" t="str">
        <f>IF(B282="","",IF(A282=0,"NO HAY ESE CODIGO",IF(COUNTIF(ASIGNACIONES!$B$3:$B948,B282)=1,"DOTACION ASIGNADA",IF(C282="VISITAS","DOTACION VISITA",IF(C282="MTTO","DOTACION MTTO",IF(C282="PLANTA EMERGENCIA","DOTACION RES DE EMERGENCIA",IF(C282="EXTERNOS","DOTACION DE EXTERNO","DOTACION DISPONIBLE")))))))</f>
        <v>DOTACION ASIGNADA</v>
      </c>
    </row>
    <row r="283" spans="1:5" ht="23.25">
      <c r="A283" s="85">
        <v>3</v>
      </c>
      <c r="B283" s="5" t="s">
        <v>1221</v>
      </c>
      <c r="C283" s="3" t="s">
        <v>2298</v>
      </c>
      <c r="D283" s="78" t="s">
        <v>28</v>
      </c>
      <c r="E283" s="22" t="str">
        <f>IF(B283="","",IF(A283=0,"NO HAY ESE CODIGO",IF(COUNTIF(ASIGNACIONES!$B$3:$B948,B283)=1,"DOTACION ASIGNADA",IF(C283="VISITAS","DOTACION VISITA",IF(C283="MTTO","DOTACION MTTO",IF(C283="PLANTA EMERGENCIA","DOTACION RES DE EMERGENCIA",IF(C283="EXTERNOS","DOTACION DE EXTERNO","DOTACION DISPONIBLE")))))))</f>
        <v>DOTACION ASIGNADA</v>
      </c>
    </row>
    <row r="284" spans="1:5" ht="23.25">
      <c r="A284" s="85">
        <v>3</v>
      </c>
      <c r="B284" s="5" t="s">
        <v>1098</v>
      </c>
      <c r="C284" s="3" t="s">
        <v>2298</v>
      </c>
      <c r="D284" s="78" t="s">
        <v>28</v>
      </c>
      <c r="E284" s="22" t="str">
        <f>IF(B284="","",IF(A284=0,"NO HAY ESE CODIGO",IF(COUNTIF(ASIGNACIONES!$B$3:$B948,B284)=1,"DOTACION ASIGNADA",IF(C284="VISITAS","DOTACION VISITA",IF(C284="MTTO","DOTACION MTTO",IF(C284="PLANTA EMERGENCIA","DOTACION RES DE EMERGENCIA",IF(C284="EXTERNOS","DOTACION DE EXTERNO","DOTACION DISPONIBLE")))))))</f>
        <v>DOTACION DISPONIBLE</v>
      </c>
    </row>
    <row r="285" spans="1:5" ht="23.25">
      <c r="A285" s="85">
        <v>3</v>
      </c>
      <c r="B285" s="5" t="s">
        <v>1165</v>
      </c>
      <c r="C285" s="3" t="s">
        <v>2298</v>
      </c>
      <c r="D285" s="78" t="s">
        <v>48</v>
      </c>
      <c r="E285" s="22" t="str">
        <f>IF(B285="","",IF(A285=0,"NO HAY ESE CODIGO",IF(COUNTIF(ASIGNACIONES!$B$3:$B948,B285)=1,"DOTACION ASIGNADA",IF(C285="VISITAS","DOTACION VISITA",IF(C285="MTTO","DOTACION MTTO",IF(C285="PLANTA EMERGENCIA","DOTACION RES DE EMERGENCIA",IF(C285="EXTERNOS","DOTACION DE EXTERNO","DOTACION DISPONIBLE")))))))</f>
        <v>DOTACION DISPONIBLE</v>
      </c>
    </row>
    <row r="286" spans="1:5" ht="23.25">
      <c r="A286" s="85">
        <v>5</v>
      </c>
      <c r="B286" s="5" t="s">
        <v>2424</v>
      </c>
      <c r="C286" s="3" t="s">
        <v>2294</v>
      </c>
      <c r="D286" s="78" t="s">
        <v>97</v>
      </c>
      <c r="E286" s="22" t="str">
        <f>IF(B286="","",IF(A286=0,"NO HAY ESE CODIGO",IF(COUNTIF(ASIGNACIONES!$B$3:$B948,B286)=1,"DOTACION ASIGNADA",IF(C286="VISITAS","DOTACION VISITA",IF(C286="MTTO","DOTACION MTTO",IF(C286="PLANTA EMERGENCIA","DOTACION RES DE EMERGENCIA",IF(C286="EXTERNOS","DOTACION DE EXTERNO","DOTACION DISPONIBLE")))))))</f>
        <v>DOTACION VISITA</v>
      </c>
    </row>
    <row r="287" spans="1:5" ht="23.25">
      <c r="A287" s="85">
        <v>10</v>
      </c>
      <c r="B287" s="5" t="s">
        <v>2425</v>
      </c>
      <c r="C287" s="3" t="s">
        <v>2294</v>
      </c>
      <c r="D287" s="78" t="s">
        <v>28</v>
      </c>
      <c r="E287" s="22" t="str">
        <f>IF(B287="","",IF(A287=0,"NO HAY ESE CODIGO",IF(COUNTIF(ASIGNACIONES!$B$3:$B948,B287)=1,"DOTACION ASIGNADA",IF(C287="VISITAS","DOTACION VISITA",IF(C287="MTTO","DOTACION MTTO",IF(C287="PLANTA EMERGENCIA","DOTACION RES DE EMERGENCIA",IF(C287="EXTERNOS","DOTACION DE EXTERNO","DOTACION DISPONIBLE")))))))</f>
        <v>DOTACION VISITA</v>
      </c>
    </row>
    <row r="288" spans="1:5" ht="23.25">
      <c r="A288" s="85">
        <v>10</v>
      </c>
      <c r="B288" s="5" t="s">
        <v>2426</v>
      </c>
      <c r="C288" s="3" t="s">
        <v>2294</v>
      </c>
      <c r="D288" s="78" t="s">
        <v>30</v>
      </c>
      <c r="E288" s="22" t="str">
        <f>IF(B288="","",IF(A288=0,"NO HAY ESE CODIGO",IF(COUNTIF(ASIGNACIONES!$B$3:$B948,B288)=1,"DOTACION ASIGNADA",IF(C288="VISITAS","DOTACION VISITA",IF(C288="MTTO","DOTACION MTTO",IF(C288="PLANTA EMERGENCIA","DOTACION RES DE EMERGENCIA",IF(C288="EXTERNOS","DOTACION DE EXTERNO","DOTACION DISPONIBLE")))))))</f>
        <v>DOTACION VISITA</v>
      </c>
    </row>
    <row r="289" spans="1:5" ht="23.25">
      <c r="A289" s="85">
        <v>10</v>
      </c>
      <c r="B289" s="5" t="s">
        <v>2427</v>
      </c>
      <c r="C289" s="3" t="s">
        <v>2294</v>
      </c>
      <c r="D289" s="78" t="s">
        <v>48</v>
      </c>
      <c r="E289" s="22" t="str">
        <f>IF(B289="","",IF(A289=0,"NO HAY ESE CODIGO",IF(COUNTIF(ASIGNACIONES!$B$3:$B948,B289)=1,"DOTACION ASIGNADA",IF(C289="VISITAS","DOTACION VISITA",IF(C289="MTTO","DOTACION MTTO",IF(C289="PLANTA EMERGENCIA","DOTACION RES DE EMERGENCIA",IF(C289="EXTERNOS","DOTACION DE EXTERNO","DOTACION DISPONIBLE")))))))</f>
        <v>DOTACION VISITA</v>
      </c>
    </row>
    <row r="290" spans="1:5" ht="23.25">
      <c r="A290" s="85">
        <v>5</v>
      </c>
      <c r="B290" s="5" t="s">
        <v>2428</v>
      </c>
      <c r="C290" s="3" t="s">
        <v>2294</v>
      </c>
      <c r="D290" s="78" t="s">
        <v>716</v>
      </c>
      <c r="E290" s="22" t="str">
        <f>IF(B290="","",IF(A290=0,"NO HAY ESE CODIGO",IF(COUNTIF(ASIGNACIONES!$B$3:$B948,B290)=1,"DOTACION ASIGNADA",IF(C290="VISITAS","DOTACION VISITA",IF(C290="MTTO","DOTACION MTTO",IF(C290="PLANTA EMERGENCIA","DOTACION RES DE EMERGENCIA",IF(C290="EXTERNOS","DOTACION DE EXTERNO","DOTACION DISPONIBLE")))))))</f>
        <v>DOTACION VISITA</v>
      </c>
    </row>
    <row r="291" spans="1:5" ht="23.25">
      <c r="A291" s="85">
        <v>2</v>
      </c>
      <c r="B291" s="5" t="s">
        <v>2429</v>
      </c>
      <c r="C291" s="3" t="s">
        <v>2294</v>
      </c>
      <c r="D291" s="78" t="s">
        <v>502</v>
      </c>
      <c r="E291" s="22" t="str">
        <f>IF(B291="","",IF(A291=0,"NO HAY ESE CODIGO",IF(COUNTIF(ASIGNACIONES!$B$3:$B948,B291)=1,"DOTACION ASIGNADA",IF(C291="VISITAS","DOTACION VISITA",IF(C291="MTTO","DOTACION MTTO",IF(C291="PLANTA EMERGENCIA","DOTACION RES DE EMERGENCIA",IF(C291="EXTERNOS","DOTACION DE EXTERNO","DOTACION DISPONIBLE")))))))</f>
        <v>DOTACION VISITA</v>
      </c>
    </row>
    <row r="292" spans="1:5" ht="18">
      <c r="A292" s="85">
        <v>3</v>
      </c>
      <c r="B292" s="104" t="s">
        <v>444</v>
      </c>
      <c r="C292" s="3" t="s">
        <v>2298</v>
      </c>
      <c r="D292" s="78" t="s">
        <v>28</v>
      </c>
      <c r="E292" s="22" t="str">
        <f>IF(B292="","",IF(A292=0,"NO HAY ESE CODIGO",IF(COUNTIF(ASIGNACIONES!$B$3:$B948,B292)=1,"DOTACION ASIGNADA",IF(C292="VISITAS","DOTACION VISITA",IF(C292="MTTO","DOTACION MTTO",IF(C292="PLANTA EMERGENCIA","DOTACION RES DE EMERGENCIA",IF(C292="EXTERNOS","DOTACION DE EXTERNO","DOTACION DISPONIBLE")))))))</f>
        <v>DOTACION DISPONIBLE</v>
      </c>
    </row>
    <row r="293" spans="1:5" ht="18">
      <c r="A293" s="85">
        <v>3</v>
      </c>
      <c r="B293" s="104" t="s">
        <v>1045</v>
      </c>
      <c r="C293" s="3" t="s">
        <v>2298</v>
      </c>
      <c r="D293" s="78" t="s">
        <v>30</v>
      </c>
      <c r="E293" s="22" t="str">
        <f>IF(B293="","",IF(A293=0,"NO HAY ESE CODIGO",IF(COUNTIF(ASIGNACIONES!$B$3:$B948,B293)=1,"DOTACION ASIGNADA",IF(C293="VISITAS","DOTACION VISITA",IF(C293="MTTO","DOTACION MTTO",IF(C293="PLANTA EMERGENCIA","DOTACION RES DE EMERGENCIA",IF(C293="EXTERNOS","DOTACION DE EXTERNO","DOTACION DISPONIBLE")))))))</f>
        <v>DOTACION DISPONIBLE</v>
      </c>
    </row>
    <row r="294" spans="1:5" ht="18">
      <c r="A294" s="85"/>
      <c r="B294" s="104"/>
      <c r="C294" s="3"/>
      <c r="D294" s="78"/>
      <c r="E294" s="22" t="str">
        <f>IF(B294="","",IF(A294=0,"DOT PERDIDA",IF(COUNTIF(ASIGNACIONES!$B$3:$B948,B294)=1,"DOTACION ASIGNADA",IF(C294="VISITAS","DOTACION VISITA",IF(C294="MTTO","DOTACION MTTO",IF(C294="PLANTA EMERGENCIA","DOTACION RES DE EMERGENCIA",IF(C294="EXTERNOS","DOTACION DE EXTERNO","DOTACION DISPONIBLE")))))))</f>
        <v/>
      </c>
    </row>
    <row r="295" spans="1:5" ht="18">
      <c r="A295" s="85"/>
      <c r="B295" s="104"/>
      <c r="C295" s="3"/>
      <c r="D295" s="78"/>
      <c r="E295" s="22" t="str">
        <f>IF(B295="","",IF(A295=0,"DOT PERDIDA",IF(COUNTIF(ASIGNACIONES!$B$3:$B948,B295)=1,"DOTACION ASIGNADA",IF(C295="VISITAS","DOTACION VISITA",IF(C295="MTTO","DOTACION MTTO",IF(C295="PLANTA EMERGENCIA","DOTACION RES DE EMERGENCIA",IF(C295="EXTERNOS","DOTACION DE EXTERNO","DOTACION DISPONIBLE")))))))</f>
        <v/>
      </c>
    </row>
    <row r="296" spans="1:5" ht="18">
      <c r="A296" s="85"/>
      <c r="B296" s="104"/>
      <c r="C296" s="3"/>
      <c r="D296" s="78"/>
      <c r="E296" s="22" t="str">
        <f>IF(B296="","",IF(A296=0,"DOT PERDIDA",IF(COUNTIF(ASIGNACIONES!$B$3:$B948,B296)=1,"DOTACION ASIGNADA",IF(C296="VISITAS","DOTACION VISITA",IF(C296="MTTO","DOTACION MTTO",IF(C296="PLANTA EMERGENCIA","DOTACION RES DE EMERGENCIA",IF(C296="EXTERNOS","DOTACION DE EXTERNO","DOTACION DISPONIBLE")))))))</f>
        <v/>
      </c>
    </row>
    <row r="297" spans="1:5" ht="18">
      <c r="A297" s="85"/>
      <c r="B297" s="104"/>
      <c r="C297" s="3"/>
      <c r="D297" s="78"/>
      <c r="E297" s="22" t="str">
        <f>IF(B297="","",IF(A297=0,"DOT PERDIDA",IF(COUNTIF(ASIGNACIONES!$B$3:$B948,B297)=1,"DOTACION ASIGNADA",IF(C297="VISITAS","DOTACION VISITA",IF(C297="MTTO","DOTACION MTTO",IF(C297="PLANTA EMERGENCIA","DOTACION RES DE EMERGENCIA",IF(C297="EXTERNOS","DOTACION DE EXTERNO","DOTACION DISPONIBLE")))))))</f>
        <v/>
      </c>
    </row>
    <row r="298" spans="1:5" ht="18">
      <c r="A298" s="85"/>
      <c r="B298" s="104"/>
      <c r="C298" s="3"/>
      <c r="D298" s="78"/>
      <c r="E298" s="22" t="str">
        <f>IF(B298="","",IF(A298=0,"DOT PERDIDA",IF(COUNTIF(ASIGNACIONES!$B$3:$B948,B298)=1,"DOTACION ASIGNADA",IF(C298="VISITAS","DOTACION VISITA",IF(C298="MTTO","DOTACION MTTO",IF(C298="PLANTA EMERGENCIA","DOTACION RES DE EMERGENCIA",IF(C298="EXTERNOS","DOTACION DE EXTERNO","DOTACION DISPONIBLE")))))))</f>
        <v/>
      </c>
    </row>
    <row r="299" spans="1:5" ht="18">
      <c r="A299" s="85"/>
      <c r="B299" s="104"/>
      <c r="C299" s="3"/>
      <c r="D299" s="78"/>
      <c r="E299" s="22" t="str">
        <f>IF(B299="","",IF(A299=0,"DOT PERDIDA",IF(COUNTIF(ASIGNACIONES!$B$3:$B948,B299)=1,"DOTACION ASIGNADA",IF(C299="VISITAS","DOTACION VISITA",IF(C299="MTTO","DOTACION MTTO",IF(C299="PLANTA EMERGENCIA","DOTACION RES DE EMERGENCIA",IF(C299="EXTERNOS","DOTACION DE EXTERNO","DOTACION DISPONIBLE")))))))</f>
        <v/>
      </c>
    </row>
    <row r="300" spans="1:5" ht="18">
      <c r="A300" s="85"/>
      <c r="B300" s="104"/>
      <c r="C300" s="3"/>
      <c r="D300" s="78"/>
      <c r="E300" s="22" t="str">
        <f>IF(B300="","",IF(A300=0,"DOT PERDIDA",IF(COUNTIF(ASIGNACIONES!$B$3:$B948,B300)=1,"DOTACION ASIGNADA",IF(C300="VISITAS","DOTACION VISITA",IF(C300="MTTO","DOTACION MTTO",IF(C300="PLANTA EMERGENCIA","DOTACION RES DE EMERGENCIA",IF(C300="EXTERNOS","DOTACION DE EXTERNO","DOTACION DISPONIBLE")))))))</f>
        <v/>
      </c>
    </row>
    <row r="301" spans="1:5" ht="18">
      <c r="A301" s="85"/>
      <c r="B301" s="104"/>
      <c r="C301" s="3"/>
      <c r="D301" s="78"/>
      <c r="E301" s="22" t="str">
        <f>IF(B301="","",IF(A301=0,"DOT PERDIDA",IF(COUNTIF(ASIGNACIONES!$B$3:$B948,B301)=1,"DOTACION ASIGNADA",IF(C301="VISITAS","DOTACION VISITA",IF(C301="MTTO","DOTACION MTTO",IF(C301="PLANTA EMERGENCIA","DOTACION RES DE EMERGENCIA",IF(C301="EXTERNOS","DOTACION DE EXTERNO","DOTACION DISPONIBLE")))))))</f>
        <v/>
      </c>
    </row>
    <row r="302" spans="1:5" ht="18">
      <c r="A302" s="85"/>
      <c r="B302" s="104"/>
      <c r="C302" s="3"/>
      <c r="D302" s="78"/>
      <c r="E302" s="22" t="str">
        <f>IF(B302="","",IF(A302=0,"DOT PERDIDA",IF(COUNTIF(ASIGNACIONES!$B$3:$B948,B302)=1,"DOTACION ASIGNADA",IF(C302="VISITAS","DOTACION VISITA",IF(C302="MTTO","DOTACION MTTO",IF(C302="PLANTA EMERGENCIA","DOTACION RES DE EMERGENCIA",IF(C302="EXTERNOS","DOTACION DE EXTERNO","DOTACION DISPONIBLE")))))))</f>
        <v/>
      </c>
    </row>
    <row r="303" spans="1:5" ht="18">
      <c r="A303" s="85"/>
      <c r="B303" s="104"/>
      <c r="C303" s="3"/>
      <c r="D303" s="78"/>
      <c r="E303" s="22" t="str">
        <f>IF(B303="","",IF(A303=0,"DOT PERDIDA",IF(COUNTIF(ASIGNACIONES!$B$3:$B948,B303)=1,"DOTACION ASIGNADA",IF(C303="VISITAS","DOTACION VISITA",IF(C303="MTTO","DOTACION MTTO",IF(C303="PLANTA EMERGENCIA","DOTACION RES DE EMERGENCIA",IF(C303="EXTERNOS","DOTACION DE EXTERNO","DOTACION DISPONIBLE")))))))</f>
        <v/>
      </c>
    </row>
    <row r="304" spans="1:5" ht="18">
      <c r="A304" s="85"/>
      <c r="B304" s="104"/>
      <c r="C304" s="3"/>
      <c r="D304" s="78"/>
      <c r="E304" s="22" t="str">
        <f>IF(B304="","",IF(A304=0,"DOT PERDIDA",IF(COUNTIF(ASIGNACIONES!$B$3:$B948,B304)=1,"DOTACION ASIGNADA",IF(C304="VISITAS","DOTACION VISITA",IF(C304="MTTO","DOTACION MTTO",IF(C304="PLANTA EMERGENCIA","DOTACION RES DE EMERGENCIA",IF(C304="EXTERNOS","DOTACION DE EXTERNO","DOTACION DISPONIBLE")))))))</f>
        <v/>
      </c>
    </row>
    <row r="305" spans="1:5" ht="18">
      <c r="A305" s="85"/>
      <c r="B305" s="104"/>
      <c r="C305" s="3"/>
      <c r="D305" s="78"/>
      <c r="E305" s="22" t="str">
        <f>IF(B305="","",IF(A305=0,"DOT PERDIDA",IF(COUNTIF(ASIGNACIONES!$B$3:$B948,B305)=1,"DOTACION ASIGNADA",IF(C305="VISITAS","DOTACION VISITA",IF(C305="MTTO","DOTACION MTTO",IF(C305="PLANTA EMERGENCIA","DOTACION RES DE EMERGENCIA",IF(C305="EXTERNOS","DOTACION DE EXTERNO","DOTACION DISPONIBLE")))))))</f>
        <v/>
      </c>
    </row>
    <row r="306" spans="1:5" ht="18">
      <c r="A306" s="85"/>
      <c r="B306" s="104"/>
      <c r="C306" s="3"/>
      <c r="D306" s="78"/>
      <c r="E306" s="22" t="str">
        <f>IF(B306="","",IF(A306=0,"DOT PERDIDA",IF(COUNTIF(ASIGNACIONES!$B$3:$B948,B306)=1,"DOTACION ASIGNADA",IF(C306="VISITAS","DOTACION VISITA",IF(C306="MTTO","DOTACION MTTO",IF(C306="PLANTA EMERGENCIA","DOTACION RES DE EMERGENCIA",IF(C306="EXTERNOS","DOTACION DE EXTERNO","DOTACION DISPONIBLE")))))))</f>
        <v/>
      </c>
    </row>
    <row r="307" spans="1:5" ht="18">
      <c r="A307" s="85"/>
      <c r="B307" s="104"/>
      <c r="C307" s="3"/>
      <c r="D307" s="78"/>
      <c r="E307" s="22" t="str">
        <f>IF(B307="","",IF(A307=0,"DOT PERDIDA",IF(COUNTIF(ASIGNACIONES!$B$3:$B948,B307)=1,"DOTACION ASIGNADA",IF(C307="VISITAS","DOTACION VISITA",IF(C307="MTTO","DOTACION MTTO",IF(C307="PLANTA EMERGENCIA","DOTACION RES DE EMERGENCIA",IF(C307="EXTERNOS","DOTACION DE EXTERNO","DOTACION DISPONIBLE")))))))</f>
        <v/>
      </c>
    </row>
    <row r="308" spans="1:5" ht="18">
      <c r="A308" s="85"/>
      <c r="B308" s="104"/>
      <c r="C308" s="3"/>
      <c r="D308" s="78"/>
      <c r="E308" s="22" t="str">
        <f>IF(B308="","",IF(A308=0,"DOT PERDIDA",IF(COUNTIF(ASIGNACIONES!$B$3:$B948,B308)=1,"DOTACION ASIGNADA",IF(C308="VISITAS","DOTACION VISITA",IF(C308="MTTO","DOTACION MTTO",IF(C308="PLANTA EMERGENCIA","DOTACION RES DE EMERGENCIA",IF(C308="EXTERNOS","DOTACION DE EXTERNO","DOTACION DISPONIBLE")))))))</f>
        <v/>
      </c>
    </row>
    <row r="309" spans="1:5" ht="18">
      <c r="A309" s="85"/>
      <c r="B309" s="104"/>
      <c r="C309" s="3"/>
      <c r="D309" s="78"/>
      <c r="E309" s="22" t="str">
        <f>IF(B309="","",IF(A309=0,"DOT PERDIDA",IF(COUNTIF(ASIGNACIONES!$B$3:$B948,B309)=1,"DOTACION ASIGNADA",IF(C309="VISITAS","DOTACION VISITA",IF(C309="MTTO","DOTACION MTTO",IF(C309="PLANTA EMERGENCIA","DOTACION RES DE EMERGENCIA",IF(C309="EXTERNOS","DOTACION DE EXTERNO","DOTACION DISPONIBLE")))))))</f>
        <v/>
      </c>
    </row>
    <row r="310" spans="1:5" ht="18">
      <c r="A310" s="85"/>
      <c r="B310" s="104"/>
      <c r="C310" s="3"/>
      <c r="D310" s="78"/>
      <c r="E310" s="22" t="str">
        <f>IF(B310="","",IF(A310=0,"DOT PERDIDA",IF(COUNTIF(ASIGNACIONES!$B$3:$B948,B310)=1,"DOTACION ASIGNADA",IF(C310="VISITAS","DOTACION VISITA",IF(C310="MTTO","DOTACION MTTO",IF(C310="PLANTA EMERGENCIA","DOTACION RES DE EMERGENCIA",IF(C310="EXTERNOS","DOTACION DE EXTERNO","DOTACION DISPONIBLE")))))))</f>
        <v/>
      </c>
    </row>
    <row r="311" spans="1:5" ht="18">
      <c r="A311" s="85"/>
      <c r="B311" s="104"/>
      <c r="C311" s="3"/>
      <c r="D311" s="78"/>
      <c r="E311" s="22" t="str">
        <f>IF(B311="","",IF(A311=0,"DOT PERDIDA",IF(COUNTIF(ASIGNACIONES!$B$3:$B948,B311)=1,"DOTACION ASIGNADA",IF(C311="VISITAS","DOTACION VISITA",IF(C311="MTTO","DOTACION MTTO",IF(C311="PLANTA EMERGENCIA","DOTACION RES DE EMERGENCIA",IF(C311="EXTERNOS","DOTACION DE EXTERNO","DOTACION DISPONIBLE")))))))</f>
        <v/>
      </c>
    </row>
    <row r="312" spans="1:5" ht="18">
      <c r="A312" s="85"/>
      <c r="B312" s="104"/>
      <c r="C312" s="3"/>
      <c r="D312" s="78"/>
      <c r="E312" s="22" t="str">
        <f>IF(B312="","",IF(A312=0,"DOT PERDIDA",IF(COUNTIF(ASIGNACIONES!$B$3:$B948,B312)=1,"DOTACION ASIGNADA",IF(C312="VISITAS","DOTACION VISITA",IF(C312="MTTO","DOTACION MTTO",IF(C312="PLANTA EMERGENCIA","DOTACION RES DE EMERGENCIA",IF(C312="EXTERNOS","DOTACION DE EXTERNO","DOTACION DISPONIBLE")))))))</f>
        <v/>
      </c>
    </row>
    <row r="313" spans="1:5" ht="18">
      <c r="A313" s="85"/>
      <c r="B313" s="104"/>
      <c r="C313" s="3"/>
      <c r="D313" s="78"/>
      <c r="E313" s="22" t="str">
        <f>IF(B313="","",IF(A313=0,"DOT PERDIDA",IF(COUNTIF(ASIGNACIONES!$B$3:$B948,B313)=1,"DOTACION ASIGNADA",IF(C313="VISITAS","DOTACION VISITA",IF(C313="MTTO","DOTACION MTTO",IF(C313="PLANTA EMERGENCIA","DOTACION RES DE EMERGENCIA",IF(C313="EXTERNOS","DOTACION DE EXTERNO","DOTACION DISPONIBLE")))))))</f>
        <v/>
      </c>
    </row>
    <row r="314" spans="1:5" ht="18">
      <c r="A314" s="85"/>
      <c r="B314" s="104"/>
      <c r="C314" s="3"/>
      <c r="D314" s="78"/>
      <c r="E314" s="22" t="str">
        <f>IF(B314="","",IF(A314=0,"DOT PERDIDA",IF(COUNTIF(ASIGNACIONES!$B$3:$B948,B314)=1,"DOTACION ASIGNADA",IF(C314="VISITAS","DOTACION VISITA",IF(C314="MTTO","DOTACION MTTO",IF(C314="PLANTA EMERGENCIA","DOTACION RES DE EMERGENCIA",IF(C314="EXTERNOS","DOTACION DE EXTERNO","DOTACION DISPONIBLE")))))))</f>
        <v/>
      </c>
    </row>
    <row r="315" spans="1:5" ht="18">
      <c r="A315" s="85"/>
      <c r="B315" s="104"/>
      <c r="C315" s="3"/>
      <c r="D315" s="78"/>
      <c r="E315" s="22" t="str">
        <f>IF(B315="","",IF(A315=0,"DOT PERDIDA",IF(COUNTIF(ASIGNACIONES!$B$3:$B948,B315)=1,"DOTACION ASIGNADA",IF(C315="VISITAS","DOTACION VISITA",IF(C315="MTTO","DOTACION MTTO",IF(C315="PLANTA EMERGENCIA","DOTACION RES DE EMERGENCIA",IF(C315="EXTERNOS","DOTACION DE EXTERNO","DOTACION DISPONIBLE")))))))</f>
        <v/>
      </c>
    </row>
    <row r="316" spans="1:5" ht="18">
      <c r="A316" s="85"/>
      <c r="B316" s="104"/>
      <c r="C316" s="3"/>
      <c r="D316" s="78"/>
      <c r="E316" s="22" t="str">
        <f>IF(B316="","",IF(A316=0,"DOT PERDIDA",IF(COUNTIF(ASIGNACIONES!$B$3:$B948,B316)=1,"DOTACION ASIGNADA",IF(C316="VISITAS","DOTACION VISITA",IF(C316="MTTO","DOTACION MTTO",IF(C316="PLANTA EMERGENCIA","DOTACION RES DE EMERGENCIA",IF(C316="EXTERNOS","DOTACION DE EXTERNO","DOTACION DISPONIBLE")))))))</f>
        <v/>
      </c>
    </row>
    <row r="317" spans="1:5" ht="18">
      <c r="A317" s="85"/>
      <c r="B317" s="104"/>
      <c r="C317" s="3"/>
      <c r="D317" s="78"/>
      <c r="E317" s="22" t="str">
        <f>IF(B317="","",IF(A317=0,"DOT PERDIDA",IF(COUNTIF(ASIGNACIONES!$B$3:$B948,B317)=1,"DOTACION ASIGNADA",IF(C317="VISITAS","DOTACION VISITA",IF(C317="MTTO","DOTACION MTTO",IF(C317="PLANTA EMERGENCIA","DOTACION RES DE EMERGENCIA",IF(C317="EXTERNOS","DOTACION DE EXTERNO","DOTACION DISPONIBLE")))))))</f>
        <v/>
      </c>
    </row>
    <row r="318" spans="1:5" ht="18">
      <c r="A318" s="85"/>
      <c r="B318" s="104"/>
      <c r="C318" s="3"/>
      <c r="D318" s="78"/>
      <c r="E318" s="22" t="str">
        <f>IF(B318="","",IF(A318=0,"DOT PERDIDA",IF(COUNTIF(ASIGNACIONES!$B$3:$B948,B318)=1,"DOTACION ASIGNADA",IF(C318="VISITAS","DOTACION VISITA",IF(C318="MTTO","DOTACION MTTO",IF(C318="PLANTA EMERGENCIA","DOTACION RES DE EMERGENCIA",IF(C318="EXTERNOS","DOTACION DE EXTERNO","DOTACION DISPONIBLE")))))))</f>
        <v/>
      </c>
    </row>
    <row r="319" spans="1:5" ht="18">
      <c r="A319" s="85"/>
      <c r="B319" s="104"/>
      <c r="C319" s="3"/>
      <c r="D319" s="78"/>
      <c r="E319" s="22" t="str">
        <f>IF(B319="","",IF(A319=0,"DOT PERDIDA",IF(COUNTIF(ASIGNACIONES!$B$3:$B948,B319)=1,"DOTACION ASIGNADA",IF(C319="VISITAS","DOTACION VISITA",IF(C319="MTTO","DOTACION MTTO",IF(C319="PLANTA EMERGENCIA","DOTACION RES DE EMERGENCIA",IF(C319="EXTERNOS","DOTACION DE EXTERNO","DOTACION DISPONIBLE")))))))</f>
        <v/>
      </c>
    </row>
    <row r="320" spans="1:5" ht="18">
      <c r="A320" s="85"/>
      <c r="B320" s="104"/>
      <c r="C320" s="3"/>
      <c r="D320" s="78"/>
      <c r="E320" s="22" t="str">
        <f>IF(B320="","",IF(A320=0,"DOT PERDIDA",IF(COUNTIF(ASIGNACIONES!$B$3:$B948,B320)=1,"DOTACION ASIGNADA",IF(C320="VISITAS","DOTACION VISITA",IF(C320="MTTO","DOTACION MTTO",IF(C320="PLANTA EMERGENCIA","DOTACION RES DE EMERGENCIA",IF(C320="EXTERNOS","DOTACION DE EXTERNO","DOTACION DISPONIBLE")))))))</f>
        <v/>
      </c>
    </row>
    <row r="321" spans="1:5" ht="18">
      <c r="A321" s="85"/>
      <c r="B321" s="104"/>
      <c r="C321" s="3"/>
      <c r="D321" s="78"/>
      <c r="E321" s="22" t="str">
        <f>IF(B321="","",IF(A321=0,"DOT PERDIDA",IF(COUNTIF(ASIGNACIONES!$B$3:$B948,B321)=1,"DOTACION ASIGNADA",IF(C321="VISITAS","DOTACION VISITA",IF(C321="MTTO","DOTACION MTTO",IF(C321="PLANTA EMERGENCIA","DOTACION RES DE EMERGENCIA",IF(C321="EXTERNOS","DOTACION DE EXTERNO","DOTACION DISPONIBLE")))))))</f>
        <v/>
      </c>
    </row>
    <row r="322" spans="1:5" ht="18">
      <c r="A322" s="85"/>
      <c r="B322" s="104"/>
      <c r="C322" s="3"/>
      <c r="D322" s="78"/>
      <c r="E322" s="22" t="str">
        <f>IF(B322="","",IF(A322=0,"DOT PERDIDA",IF(COUNTIF(ASIGNACIONES!$B$3:$B948,B322)=1,"DOTACION ASIGNADA",IF(C322="VISITAS","DOTACION VISITA",IF(C322="MTTO","DOTACION MTTO",IF(C322="PLANTA EMERGENCIA","DOTACION RES DE EMERGENCIA",IF(C322="EXTERNOS","DOTACION DE EXTERNO","DOTACION DISPONIBLE")))))))</f>
        <v/>
      </c>
    </row>
    <row r="323" spans="1:5" ht="18">
      <c r="A323" s="85"/>
      <c r="B323" s="104"/>
      <c r="C323" s="3"/>
      <c r="D323" s="78"/>
      <c r="E323" s="22" t="str">
        <f>IF(B323="","",IF(A323=0,"DOT PERDIDA",IF(COUNTIF(ASIGNACIONES!$B$3:$B948,B323)=1,"DOTACION ASIGNADA",IF(C323="VISITAS","DOTACION VISITA",IF(C323="MTTO","DOTACION MTTO",IF(C323="PLANTA EMERGENCIA","DOTACION RES DE EMERGENCIA",IF(C323="EXTERNOS","DOTACION DE EXTERNO","DOTACION DISPONIBLE")))))))</f>
        <v/>
      </c>
    </row>
    <row r="324" spans="1:5" ht="18">
      <c r="A324" s="85"/>
      <c r="B324" s="104"/>
      <c r="C324" s="3"/>
      <c r="D324" s="78"/>
      <c r="E324" s="22" t="str">
        <f>IF(B324="","",IF(A324=0,"DOT PERDIDA",IF(COUNTIF(ASIGNACIONES!$B$3:$B948,B324)=1,"DOTACION ASIGNADA",IF(C324="VISITAS","DOTACION VISITA",IF(C324="MTTO","DOTACION MTTO",IF(C324="PLANTA EMERGENCIA","DOTACION RES DE EMERGENCIA",IF(C324="EXTERNOS","DOTACION DE EXTERNO","DOTACION DISPONIBLE")))))))</f>
        <v/>
      </c>
    </row>
    <row r="325" spans="1:5" ht="18">
      <c r="A325" s="85"/>
      <c r="B325" s="104"/>
      <c r="C325" s="3"/>
      <c r="D325" s="78"/>
      <c r="E325" s="22" t="str">
        <f>IF(B325="","",IF(A325=0,"DOT PERDIDA",IF(COUNTIF(ASIGNACIONES!$B$3:$B948,B325)=1,"DOTACION ASIGNADA",IF(C325="VISITAS","DOTACION VISITA",IF(C325="MTTO","DOTACION MTTO",IF(C325="PLANTA EMERGENCIA","DOTACION RES DE EMERGENCIA",IF(C325="EXTERNOS","DOTACION DE EXTERNO","DOTACION DISPONIBLE")))))))</f>
        <v/>
      </c>
    </row>
    <row r="326" spans="1:5" ht="18">
      <c r="A326" s="85"/>
      <c r="B326" s="104"/>
      <c r="C326" s="3"/>
      <c r="D326" s="78"/>
      <c r="E326" s="22" t="str">
        <f>IF(B326="","",IF(A326=0,"DOT PERDIDA",IF(COUNTIF(ASIGNACIONES!$B$3:$B948,B326)=1,"DOTACION ASIGNADA",IF(C326="VISITAS","DOTACION VISITA",IF(C326="MTTO","DOTACION MTTO",IF(C326="PLANTA EMERGENCIA","DOTACION RES DE EMERGENCIA",IF(C326="EXTERNOS","DOTACION DE EXTERNO","DOTACION DISPONIBLE")))))))</f>
        <v/>
      </c>
    </row>
    <row r="327" spans="1:5" ht="18">
      <c r="A327" s="85"/>
      <c r="B327" s="104"/>
      <c r="C327" s="3"/>
      <c r="D327" s="78"/>
      <c r="E327" s="22" t="str">
        <f>IF(B327="","",IF(A327=0,"DOT PERDIDA",IF(COUNTIF(ASIGNACIONES!$B$3:$B948,B327)=1,"DOTACION ASIGNADA",IF(C327="VISITAS","DOTACION VISITA",IF(C327="MTTO","DOTACION MTTO",IF(C327="PLANTA EMERGENCIA","DOTACION RES DE EMERGENCIA",IF(C327="EXTERNOS","DOTACION DE EXTERNO","DOTACION DISPONIBLE")))))))</f>
        <v/>
      </c>
    </row>
    <row r="328" spans="1:5" ht="18">
      <c r="A328" s="85"/>
      <c r="B328" s="104"/>
      <c r="C328" s="3"/>
      <c r="D328" s="78"/>
      <c r="E328" s="22" t="str">
        <f>IF(B328="","",IF(A328=0,"DOT PERDIDA",IF(COUNTIF(ASIGNACIONES!$B$3:$B948,B328)=1,"DOTACION ASIGNADA",IF(C328="VISITAS","DOTACION VISITA",IF(C328="MTTO","DOTACION MTTO",IF(C328="PLANTA EMERGENCIA","DOTACION RES DE EMERGENCIA",IF(C328="EXTERNOS","DOTACION DE EXTERNO","DOTACION DISPONIBLE")))))))</f>
        <v/>
      </c>
    </row>
    <row r="329" spans="1:5" ht="18">
      <c r="A329" s="85"/>
      <c r="B329" s="104"/>
      <c r="C329" s="3"/>
      <c r="D329" s="78"/>
      <c r="E329" s="22" t="str">
        <f>IF(B329="","",IF(A329=0,"DOT PERDIDA",IF(COUNTIF(ASIGNACIONES!$B$3:$B948,B329)=1,"DOTACION ASIGNADA",IF(C329="VISITAS","DOTACION VISITA",IF(C329="MTTO","DOTACION MTTO",IF(C329="PLANTA EMERGENCIA","DOTACION RES DE EMERGENCIA",IF(C329="EXTERNOS","DOTACION DE EXTERNO","DOTACION DISPONIBLE")))))))</f>
        <v/>
      </c>
    </row>
    <row r="330" spans="1:5" ht="18">
      <c r="A330" s="85"/>
      <c r="B330" s="104"/>
      <c r="C330" s="3"/>
      <c r="D330" s="78"/>
      <c r="E330" s="22" t="str">
        <f>IF(B330="","",IF(A330=0,"DOT PERDIDA",IF(COUNTIF(ASIGNACIONES!$B$3:$B948,B330)=1,"DOTACION ASIGNADA",IF(C330="VISITAS","DOTACION VISITA",IF(C330="MTTO","DOTACION MTTO",IF(C330="PLANTA EMERGENCIA","DOTACION RES DE EMERGENCIA",IF(C330="EXTERNOS","DOTACION DE EXTERNO","DOTACION DISPONIBLE")))))))</f>
        <v/>
      </c>
    </row>
    <row r="331" spans="1:5" ht="18">
      <c r="A331" s="85"/>
      <c r="B331" s="104"/>
      <c r="C331" s="3"/>
      <c r="D331" s="78"/>
      <c r="E331" s="22" t="str">
        <f>IF(B331="","",IF(A331=0,"DOT PERDIDA",IF(COUNTIF(ASIGNACIONES!$B$3:$B948,B331)=1,"DOTACION ASIGNADA",IF(C331="VISITAS","DOTACION VISITA",IF(C331="MTTO","DOTACION MTTO",IF(C331="PLANTA EMERGENCIA","DOTACION RES DE EMERGENCIA",IF(C331="EXTERNOS","DOTACION DE EXTERNO","DOTACION DISPONIBLE")))))))</f>
        <v/>
      </c>
    </row>
    <row r="332" spans="1:5" ht="18">
      <c r="A332" s="85"/>
      <c r="B332" s="104"/>
      <c r="C332" s="3"/>
      <c r="D332" s="78"/>
      <c r="E332" s="22" t="str">
        <f>IF(B332="","",IF(A332=0,"DOT PERDIDA",IF(COUNTIF(ASIGNACIONES!$B$3:$B948,B332)=1,"DOTACION ASIGNADA",IF(C332="VISITAS","DOTACION VISITA",IF(C332="MTTO","DOTACION MTTO",IF(C332="PLANTA EMERGENCIA","DOTACION RES DE EMERGENCIA",IF(C332="EXTERNOS","DOTACION DE EXTERNO","DOTACION DISPONIBLE")))))))</f>
        <v/>
      </c>
    </row>
    <row r="333" spans="1:5" ht="18">
      <c r="A333" s="85"/>
      <c r="B333" s="104"/>
      <c r="C333" s="3"/>
      <c r="D333" s="78"/>
      <c r="E333" s="22" t="str">
        <f>IF(B333="","",IF(A333=0,"DOT PERDIDA",IF(COUNTIF(ASIGNACIONES!$B$3:$B948,B333)=1,"DOTACION ASIGNADA",IF(C333="VISITAS","DOTACION VISITA",IF(C333="MTTO","DOTACION MTTO",IF(C333="PLANTA EMERGENCIA","DOTACION RES DE EMERGENCIA",IF(C333="EXTERNOS","DOTACION DE EXTERNO","DOTACION DISPONIBLE")))))))</f>
        <v/>
      </c>
    </row>
    <row r="334" spans="1:5" ht="18">
      <c r="A334" s="85"/>
      <c r="B334" s="104"/>
      <c r="C334" s="3"/>
      <c r="D334" s="78"/>
      <c r="E334" s="22" t="str">
        <f>IF(B334="","",IF(A334=0,"DOT PERDIDA",IF(COUNTIF(ASIGNACIONES!$B$3:$B948,B334)=1,"DOTACION ASIGNADA",IF(C334="VISITAS","DOTACION VISITA",IF(C334="MTTO","DOTACION MTTO",IF(C334="PLANTA EMERGENCIA","DOTACION RES DE EMERGENCIA",IF(C334="EXTERNOS","DOTACION DE EXTERNO","DOTACION DISPONIBLE")))))))</f>
        <v/>
      </c>
    </row>
    <row r="335" spans="1:5" ht="18">
      <c r="A335" s="85"/>
      <c r="B335" s="104"/>
      <c r="C335" s="3"/>
      <c r="D335" s="78"/>
      <c r="E335" s="22" t="str">
        <f>IF(B335="","",IF(A335=0,"DOT PERDIDA",IF(COUNTIF(ASIGNACIONES!$B$3:$B948,B335)=1,"DOTACION ASIGNADA",IF(C335="VISITAS","DOTACION VISITA",IF(C335="MTTO","DOTACION MTTO",IF(C335="PLANTA EMERGENCIA","DOTACION RES DE EMERGENCIA",IF(C335="EXTERNOS","DOTACION DE EXTERNO","DOTACION DISPONIBLE")))))))</f>
        <v/>
      </c>
    </row>
    <row r="336" spans="1:5" ht="18">
      <c r="A336" s="85"/>
      <c r="B336" s="104"/>
      <c r="C336" s="3"/>
      <c r="D336" s="78"/>
      <c r="E336" s="22" t="str">
        <f>IF(B336="","",IF(A336=0,"DOT PERDIDA",IF(COUNTIF(ASIGNACIONES!$B$3:$B948,B336)=1,"DOTACION ASIGNADA",IF(C336="VISITAS","DOTACION VISITA",IF(C336="MTTO","DOTACION MTTO",IF(C336="PLANTA EMERGENCIA","DOTACION RES DE EMERGENCIA",IF(C336="EXTERNOS","DOTACION DE EXTERNO","DOTACION DISPONIBLE")))))))</f>
        <v/>
      </c>
    </row>
    <row r="337" spans="1:5" ht="18">
      <c r="A337" s="85"/>
      <c r="B337" s="104"/>
      <c r="C337" s="3"/>
      <c r="D337" s="78"/>
      <c r="E337" s="22" t="str">
        <f>IF(B337="","",IF(A337=0,"DOT PERDIDA",IF(COUNTIF(ASIGNACIONES!$B$3:$B948,B337)=1,"DOTACION ASIGNADA",IF(C337="VISITAS","DOTACION VISITA",IF(C337="MTTO","DOTACION MTTO",IF(C337="PLANTA EMERGENCIA","DOTACION RES DE EMERGENCIA",IF(C337="EXTERNOS","DOTACION DE EXTERNO","DOTACION DISPONIBLE")))))))</f>
        <v/>
      </c>
    </row>
    <row r="338" spans="1:5" ht="18">
      <c r="A338" s="85"/>
      <c r="B338" s="104"/>
      <c r="C338" s="3"/>
      <c r="D338" s="78"/>
      <c r="E338" s="22" t="str">
        <f>IF(B338="","",IF(A338=0,"DOT PERDIDA",IF(COUNTIF(ASIGNACIONES!$B$3:$B948,B338)=1,"DOTACION ASIGNADA",IF(C338="VISITAS","DOTACION VISITA",IF(C338="MTTO","DOTACION MTTO",IF(C338="PLANTA EMERGENCIA","DOTACION RES DE EMERGENCIA",IF(C338="EXTERNOS","DOTACION DE EXTERNO","DOTACION DISPONIBLE")))))))</f>
        <v/>
      </c>
    </row>
    <row r="339" spans="1:5" ht="18">
      <c r="A339" s="85"/>
      <c r="B339" s="104"/>
      <c r="C339" s="3"/>
      <c r="D339" s="78"/>
      <c r="E339" s="22" t="str">
        <f>IF(B339="","",IF(A339=0,"DOT PERDIDA",IF(COUNTIF(ASIGNACIONES!$B$3:$B948,B339)=1,"DOTACION ASIGNADA",IF(C339="VISITAS","DOTACION VISITA",IF(C339="MTTO","DOTACION MTTO",IF(C339="PLANTA EMERGENCIA","DOTACION RES DE EMERGENCIA",IF(C339="EXTERNOS","DOTACION DE EXTERNO","DOTACION DISPONIBLE")))))))</f>
        <v/>
      </c>
    </row>
    <row r="340" spans="1:5" ht="18">
      <c r="A340" s="85"/>
      <c r="B340" s="104"/>
      <c r="C340" s="3"/>
      <c r="D340" s="78"/>
      <c r="E340" s="22" t="str">
        <f>IF(B340="","",IF(A340=0,"DOT PERDIDA",IF(COUNTIF(ASIGNACIONES!$B$3:$B948,B340)=1,"DOTACION ASIGNADA",IF(C340="VISITAS","DOTACION VISITA",IF(C340="MTTO","DOTACION MTTO",IF(C340="PLANTA EMERGENCIA","DOTACION RES DE EMERGENCIA",IF(C340="EXTERNOS","DOTACION DE EXTERNO","DOTACION DISPONIBLE")))))))</f>
        <v/>
      </c>
    </row>
    <row r="341" spans="1:5" ht="18">
      <c r="A341" s="85"/>
      <c r="B341" s="104"/>
      <c r="C341" s="3"/>
      <c r="D341" s="78"/>
      <c r="E341" s="22" t="str">
        <f>IF(B341="","",IF(A341=0,"DOT PERDIDA",IF(COUNTIF(ASIGNACIONES!$B$3:$B948,B341)=1,"DOTACION ASIGNADA",IF(C341="VISITAS","DOTACION VISITA",IF(C341="MTTO","DOTACION MTTO",IF(C341="PLANTA EMERGENCIA","DOTACION RES DE EMERGENCIA",IF(C341="EXTERNOS","DOTACION DE EXTERNO","DOTACION DISPONIBLE")))))))</f>
        <v/>
      </c>
    </row>
    <row r="342" spans="1:5" ht="18">
      <c r="A342" s="85"/>
      <c r="B342" s="104"/>
      <c r="C342" s="3"/>
      <c r="D342" s="78"/>
      <c r="E342" s="22" t="str">
        <f>IF(B342="","",IF(A342=0,"DOT PERDIDA",IF(COUNTIF(ASIGNACIONES!$B$3:$B948,B342)=1,"DOTACION ASIGNADA",IF(C342="VISITAS","DOTACION VISITA",IF(C342="MTTO","DOTACION MTTO",IF(C342="PLANTA EMERGENCIA","DOTACION RES DE EMERGENCIA",IF(C342="EXTERNOS","DOTACION DE EXTERNO","DOTACION DISPONIBLE")))))))</f>
        <v/>
      </c>
    </row>
    <row r="343" spans="1:5" ht="18">
      <c r="A343" s="85"/>
      <c r="B343" s="104"/>
      <c r="C343" s="3"/>
      <c r="D343" s="78"/>
      <c r="E343" s="22" t="str">
        <f>IF(B343="","",IF(A343=0,"DOT PERDIDA",IF(COUNTIF(ASIGNACIONES!$B$3:$B948,B343)=1,"DOTACION ASIGNADA",IF(C343="VISITAS","DOTACION VISITA",IF(C343="MTTO","DOTACION MTTO",IF(C343="PLANTA EMERGENCIA","DOTACION RES DE EMERGENCIA",IF(C343="EXTERNOS","DOTACION DE EXTERNO","DOTACION DISPONIBLE")))))))</f>
        <v/>
      </c>
    </row>
    <row r="344" spans="1:5" ht="18">
      <c r="A344" s="85"/>
      <c r="B344" s="104"/>
      <c r="C344" s="3"/>
      <c r="D344" s="78"/>
      <c r="E344" s="22" t="str">
        <f>IF(B344="","",IF(A344=0,"DOT PERDIDA",IF(COUNTIF(ASIGNACIONES!$B$3:$B948,B344)=1,"DOTACION ASIGNADA",IF(C344="VISITAS","DOTACION VISITA",IF(C344="MTTO","DOTACION MTTO",IF(C344="PLANTA EMERGENCIA","DOTACION RES DE EMERGENCIA",IF(C344="EXTERNOS","DOTACION DE EXTERNO","DOTACION DISPONIBLE")))))))</f>
        <v/>
      </c>
    </row>
    <row r="345" spans="1:5" ht="18">
      <c r="A345" s="85"/>
      <c r="B345" s="104"/>
      <c r="C345" s="3"/>
      <c r="D345" s="78"/>
      <c r="E345" s="22" t="str">
        <f>IF(B345="","",IF(A345=0,"DOT PERDIDA",IF(COUNTIF(ASIGNACIONES!$B$3:$B948,B345)=1,"DOTACION ASIGNADA",IF(C345="VISITAS","DOTACION VISITA",IF(C345="MTTO","DOTACION MTTO",IF(C345="PLANTA EMERGENCIA","DOTACION RES DE EMERGENCIA",IF(C345="EXTERNOS","DOTACION DE EXTERNO","DOTACION DISPONIBLE")))))))</f>
        <v/>
      </c>
    </row>
    <row r="346" spans="1:5" ht="18">
      <c r="A346" s="85"/>
      <c r="B346" s="104"/>
      <c r="C346" s="3"/>
      <c r="D346" s="78"/>
      <c r="E346" s="22" t="str">
        <f>IF(B346="","",IF(A346=0,"DOT PERDIDA",IF(COUNTIF(ASIGNACIONES!$B$3:$B948,B346)=1,"DOTACION ASIGNADA",IF(C346="VISITAS","DOTACION VISITA",IF(C346="MTTO","DOTACION MTTO",IF(C346="PLANTA EMERGENCIA","DOTACION RES DE EMERGENCIA",IF(C346="EXTERNOS","DOTACION DE EXTERNO","DOTACION DISPONIBLE")))))))</f>
        <v/>
      </c>
    </row>
    <row r="347" spans="1:5" ht="18">
      <c r="A347" s="85"/>
      <c r="B347" s="104"/>
      <c r="C347" s="3"/>
      <c r="D347" s="78"/>
      <c r="E347" s="22" t="str">
        <f>IF(B347="","",IF(A347=0,"DOT PERDIDA",IF(COUNTIF(ASIGNACIONES!$B$3:$B948,B347)=1,"DOTACION ASIGNADA",IF(C347="VISITAS","DOTACION VISITA",IF(C347="MTTO","DOTACION MTTO",IF(C347="PLANTA EMERGENCIA","DOTACION RES DE EMERGENCIA",IF(C347="EXTERNOS","DOTACION DE EXTERNO","DOTACION DISPONIBLE")))))))</f>
        <v/>
      </c>
    </row>
    <row r="348" spans="1:5" ht="18">
      <c r="A348" s="85"/>
      <c r="B348" s="104"/>
      <c r="C348" s="3"/>
      <c r="D348" s="78"/>
      <c r="E348" s="22" t="str">
        <f>IF(B348="","",IF(A348=0,"DOT PERDIDA",IF(COUNTIF(ASIGNACIONES!$B$3:$B948,B348)=1,"DOTACION ASIGNADA",IF(C348="VISITAS","DOTACION VISITA",IF(C348="MTTO","DOTACION MTTO",IF(C348="PLANTA EMERGENCIA","DOTACION RES DE EMERGENCIA",IF(C348="EXTERNOS","DOTACION DE EXTERNO","DOTACION DISPONIBLE")))))))</f>
        <v/>
      </c>
    </row>
    <row r="349" spans="1:5" ht="18">
      <c r="A349" s="85"/>
      <c r="B349" s="104"/>
      <c r="C349" s="3"/>
      <c r="D349" s="78"/>
      <c r="E349" s="22" t="str">
        <f>IF(B349="","",IF(A349=0,"DOT PERDIDA",IF(COUNTIF(ASIGNACIONES!$B$3:$B948,B349)=1,"DOTACION ASIGNADA",IF(C349="VISITAS","DOTACION VISITA",IF(C349="MTTO","DOTACION MTTO",IF(C349="PLANTA EMERGENCIA","DOTACION RES DE EMERGENCIA",IF(C349="EXTERNOS","DOTACION DE EXTERNO","DOTACION DISPONIBLE")))))))</f>
        <v/>
      </c>
    </row>
    <row r="350" spans="1:5" ht="18">
      <c r="A350" s="85"/>
      <c r="B350" s="104"/>
      <c r="C350" s="3"/>
      <c r="D350" s="78"/>
      <c r="E350" s="22" t="str">
        <f>IF(B350="","",IF(A350=0,"DOT PERDIDA",IF(COUNTIF(ASIGNACIONES!$B$3:$B948,B350)=1,"DOTACION ASIGNADA",IF(C350="VISITAS","DOTACION VISITA",IF(C350="MTTO","DOTACION MTTO",IF(C350="PLANTA EMERGENCIA","DOTACION RES DE EMERGENCIA",IF(C350="EXTERNOS","DOTACION DE EXTERNO","DOTACION DISPONIBLE")))))))</f>
        <v/>
      </c>
    </row>
    <row r="351" spans="1:5" ht="18">
      <c r="A351" s="85"/>
      <c r="B351" s="104"/>
      <c r="C351" s="3"/>
      <c r="D351" s="78"/>
      <c r="E351" s="22" t="str">
        <f>IF(B351="","",IF(A351=0,"DOT PERDIDA",IF(COUNTIF(ASIGNACIONES!$B$3:$B948,B351)=1,"DOTACION ASIGNADA",IF(C351="VISITAS","DOTACION VISITA",IF(C351="MTTO","DOTACION MTTO",IF(C351="PLANTA EMERGENCIA","DOTACION RES DE EMERGENCIA",IF(C351="EXTERNOS","DOTACION DE EXTERNO","DOTACION DISPONIBLE")))))))</f>
        <v/>
      </c>
    </row>
    <row r="352" spans="1:5" ht="18">
      <c r="A352" s="85"/>
      <c r="B352" s="104"/>
      <c r="C352" s="3"/>
      <c r="D352" s="78"/>
      <c r="E352" s="22" t="str">
        <f>IF(B352="","",IF(A352=0,"DOT PERDIDA",IF(COUNTIF(ASIGNACIONES!$B$3:$B948,B352)=1,"DOTACION ASIGNADA",IF(C352="VISITAS","DOTACION VISITA",IF(C352="MTTO","DOTACION MTTO",IF(C352="PLANTA EMERGENCIA","DOTACION RES DE EMERGENCIA",IF(C352="EXTERNOS","DOTACION DE EXTERNO","DOTACION DISPONIBLE")))))))</f>
        <v/>
      </c>
    </row>
    <row r="353" spans="1:5" ht="18">
      <c r="A353" s="85"/>
      <c r="B353" s="104"/>
      <c r="C353" s="3"/>
      <c r="D353" s="78"/>
      <c r="E353" s="22" t="str">
        <f>IF(B353="","",IF(A353=0,"DOT PERDIDA",IF(COUNTIF(ASIGNACIONES!$B$3:$B948,B353)=1,"DOTACION ASIGNADA",IF(C353="VISITAS","DOTACION VISITA",IF(C353="MTTO","DOTACION MTTO",IF(C353="PLANTA EMERGENCIA","DOTACION RES DE EMERGENCIA",IF(C353="EXTERNOS","DOTACION DE EXTERNO","DOTACION DISPONIBLE")))))))</f>
        <v/>
      </c>
    </row>
    <row r="354" spans="1:5" ht="18">
      <c r="A354" s="85"/>
      <c r="B354" s="104"/>
      <c r="C354" s="3"/>
      <c r="D354" s="78"/>
      <c r="E354" s="22" t="str">
        <f>IF(B354="","",IF(A354=0,"DOT PERDIDA",IF(COUNTIF(ASIGNACIONES!$B$3:$B948,B354)=1,"DOTACION ASIGNADA",IF(C354="VISITAS","DOTACION VISITA",IF(C354="MTTO","DOTACION MTTO",IF(C354="PLANTA EMERGENCIA","DOTACION RES DE EMERGENCIA",IF(C354="EXTERNOS","DOTACION DE EXTERNO","DOTACION DISPONIBLE")))))))</f>
        <v/>
      </c>
    </row>
    <row r="355" spans="1:5" ht="18">
      <c r="A355" s="85"/>
      <c r="B355" s="104"/>
      <c r="C355" s="3"/>
      <c r="D355" s="78"/>
      <c r="E355" s="22" t="str">
        <f>IF(B355="","",IF(A355=0,"DOT PERDIDA",IF(COUNTIF(ASIGNACIONES!$B$3:$B948,B355)=1,"DOTACION ASIGNADA",IF(C355="VISITAS","DOTACION VISITA",IF(C355="MTTO","DOTACION MTTO",IF(C355="PLANTA EMERGENCIA","DOTACION RES DE EMERGENCIA",IF(C355="EXTERNOS","DOTACION DE EXTERNO","DOTACION DISPONIBLE")))))))</f>
        <v/>
      </c>
    </row>
    <row r="356" spans="1:5" ht="18">
      <c r="A356" s="85"/>
      <c r="B356" s="104"/>
      <c r="C356" s="3"/>
      <c r="D356" s="78"/>
      <c r="E356" s="22" t="str">
        <f>IF(B356="","",IF(A356=0,"DOT PERDIDA",IF(COUNTIF(ASIGNACIONES!$B$3:$B948,B356)=1,"DOTACION ASIGNADA",IF(C356="VISITAS","DOTACION VISITA",IF(C356="MTTO","DOTACION MTTO",IF(C356="PLANTA EMERGENCIA","DOTACION RES DE EMERGENCIA",IF(C356="EXTERNOS","DOTACION DE EXTERNO","DOTACION DISPONIBLE")))))))</f>
        <v/>
      </c>
    </row>
    <row r="357" spans="1:5" ht="18">
      <c r="A357" s="85"/>
      <c r="B357" s="104"/>
      <c r="C357" s="3"/>
      <c r="D357" s="78"/>
      <c r="E357" s="22" t="str">
        <f>IF(B357="","",IF(A357=0,"DOT PERDIDA",IF(COUNTIF(ASIGNACIONES!$B$3:$B948,B357)=1,"DOTACION ASIGNADA",IF(C357="VISITAS","DOTACION VISITA",IF(C357="MTTO","DOTACION MTTO",IF(C357="PLANTA EMERGENCIA","DOTACION RES DE EMERGENCIA",IF(C357="EXTERNOS","DOTACION DE EXTERNO","DOTACION DISPONIBLE")))))))</f>
        <v/>
      </c>
    </row>
    <row r="358" spans="1:5" ht="18">
      <c r="A358" s="85"/>
      <c r="B358" s="104"/>
      <c r="C358" s="3"/>
      <c r="D358" s="78"/>
      <c r="E358" s="22" t="str">
        <f>IF(B358="","",IF(A358=0,"DOT PERDIDA",IF(COUNTIF(ASIGNACIONES!$B$3:$B948,B358)=1,"DOTACION ASIGNADA",IF(C358="VISITAS","DOTACION VISITA",IF(C358="MTTO","DOTACION MTTO",IF(C358="PLANTA EMERGENCIA","DOTACION RES DE EMERGENCIA",IF(C358="EXTERNOS","DOTACION DE EXTERNO","DOTACION DISPONIBLE")))))))</f>
        <v/>
      </c>
    </row>
    <row r="359" spans="1:5" ht="18">
      <c r="A359" s="85"/>
      <c r="B359" s="104"/>
      <c r="C359" s="3"/>
      <c r="D359" s="78"/>
      <c r="E359" s="22" t="str">
        <f>IF(B359="","",IF(A359=0,"DOT PERDIDA",IF(COUNTIF(ASIGNACIONES!$B$3:$B948,B359)=1,"DOTACION ASIGNADA",IF(C359="VISITAS","DOTACION VISITA",IF(C359="MTTO","DOTACION MTTO",IF(C359="PLANTA EMERGENCIA","DOTACION RES DE EMERGENCIA",IF(C359="EXTERNOS","DOTACION DE EXTERNO","DOTACION DISPONIBLE")))))))</f>
        <v/>
      </c>
    </row>
    <row r="360" spans="1:5" ht="18">
      <c r="A360" s="85"/>
      <c r="B360" s="104"/>
      <c r="C360" s="3"/>
      <c r="D360" s="78"/>
      <c r="E360" s="22" t="str">
        <f>IF(B360="","",IF(A360=0,"DOT PERDIDA",IF(COUNTIF(ASIGNACIONES!$B$3:$B948,B360)=1,"DOTACION ASIGNADA",IF(C360="VISITAS","DOTACION VISITA",IF(C360="MTTO","DOTACION MTTO",IF(C360="PLANTA EMERGENCIA","DOTACION RES DE EMERGENCIA",IF(C360="EXTERNOS","DOTACION DE EXTERNO","DOTACION DISPONIBLE")))))))</f>
        <v/>
      </c>
    </row>
    <row r="361" spans="1:5" ht="18">
      <c r="A361" s="85"/>
      <c r="B361" s="104"/>
      <c r="C361" s="3"/>
      <c r="D361" s="78"/>
      <c r="E361" s="22" t="str">
        <f>IF(B361="","",IF(A361=0,"DOT PERDIDA",IF(COUNTIF(ASIGNACIONES!$B$3:$B948,B361)=1,"DOTACION ASIGNADA",IF(C361="VISITAS","DOTACION VISITA",IF(C361="MTTO","DOTACION MTTO",IF(C361="PLANTA EMERGENCIA","DOTACION RES DE EMERGENCIA",IF(C361="EXTERNOS","DOTACION DE EXTERNO","DOTACION DISPONIBLE")))))))</f>
        <v/>
      </c>
    </row>
    <row r="362" spans="1:5" ht="18">
      <c r="A362" s="85"/>
      <c r="B362" s="104"/>
      <c r="C362" s="3"/>
      <c r="D362" s="78"/>
      <c r="E362" s="22" t="str">
        <f>IF(B362="","",IF(A362=0,"DOT PERDIDA",IF(COUNTIF(ASIGNACIONES!$B$3:$B948,B362)=1,"DOTACION ASIGNADA",IF(C362="VISITAS","DOTACION VISITA",IF(C362="MTTO","DOTACION MTTO",IF(C362="PLANTA EMERGENCIA","DOTACION RES DE EMERGENCIA",IF(C362="EXTERNOS","DOTACION DE EXTERNO","DOTACION DISPONIBLE")))))))</f>
        <v/>
      </c>
    </row>
    <row r="363" spans="1:5" ht="18">
      <c r="A363" s="85"/>
      <c r="B363" s="104"/>
      <c r="C363" s="3"/>
      <c r="D363" s="78"/>
      <c r="E363" s="22" t="str">
        <f>IF(B363="","",IF(A363=0,"DOT PERDIDA",IF(COUNTIF(ASIGNACIONES!$B$3:$B948,B363)=1,"DOTACION ASIGNADA",IF(C363="VISITAS","DOTACION VISITA",IF(C363="MTTO","DOTACION MTTO",IF(C363="PLANTA EMERGENCIA","DOTACION RES DE EMERGENCIA",IF(C363="EXTERNOS","DOTACION DE EXTERNO","DOTACION DISPONIBLE")))))))</f>
        <v/>
      </c>
    </row>
    <row r="364" spans="1:5" ht="18">
      <c r="A364" s="85"/>
      <c r="B364" s="104"/>
      <c r="C364" s="3"/>
      <c r="D364" s="78"/>
      <c r="E364" s="22" t="str">
        <f>IF(B364="","",IF(A364=0,"DOT PERDIDA",IF(COUNTIF(ASIGNACIONES!$B$3:$B948,B364)=1,"DOTACION ASIGNADA",IF(C364="VISITAS","DOTACION VISITA",IF(C364="MTTO","DOTACION MTTO",IF(C364="PLANTA EMERGENCIA","DOTACION RES DE EMERGENCIA",IF(C364="EXTERNOS","DOTACION DE EXTERNO","DOTACION DISPONIBLE")))))))</f>
        <v/>
      </c>
    </row>
    <row r="365" spans="1:5" ht="18">
      <c r="A365" s="85"/>
      <c r="B365" s="104"/>
      <c r="C365" s="3"/>
      <c r="D365" s="78"/>
      <c r="E365" s="22" t="str">
        <f>IF(B365="","",IF(A365=0,"DOT PERDIDA",IF(COUNTIF(ASIGNACIONES!$B$3:$B948,B365)=1,"DOTACION ASIGNADA",IF(C365="VISITAS","DOTACION VISITA",IF(C365="MTTO","DOTACION MTTO",IF(C365="PLANTA EMERGENCIA","DOTACION RES DE EMERGENCIA",IF(C365="EXTERNOS","DOTACION DE EXTERNO","DOTACION DISPONIBLE")))))))</f>
        <v/>
      </c>
    </row>
    <row r="366" spans="1:5" ht="18">
      <c r="A366" s="85"/>
      <c r="B366" s="104"/>
      <c r="C366" s="3"/>
      <c r="D366" s="78"/>
      <c r="E366" s="22" t="str">
        <f>IF(B366="","",IF(A366=0,"DOT PERDIDA",IF(COUNTIF(ASIGNACIONES!$B$3:$B948,B366)=1,"DOTACION ASIGNADA",IF(C366="VISITAS","DOTACION VISITA",IF(C366="MTTO","DOTACION MTTO",IF(C366="PLANTA EMERGENCIA","DOTACION RES DE EMERGENCIA",IF(C366="EXTERNOS","DOTACION DE EXTERNO","DOTACION DISPONIBLE")))))))</f>
        <v/>
      </c>
    </row>
    <row r="367" spans="1:5" ht="18">
      <c r="A367" s="85"/>
      <c r="B367" s="104"/>
      <c r="C367" s="3"/>
      <c r="D367" s="78"/>
      <c r="E367" s="22" t="str">
        <f>IF(B367="","",IF(A367=0,"DOT PERDIDA",IF(COUNTIF(ASIGNACIONES!$B$3:$B948,B367)=1,"DOTACION ASIGNADA",IF(C367="VISITAS","DOTACION VISITA",IF(C367="MTTO","DOTACION MTTO",IF(C367="PLANTA EMERGENCIA","DOTACION RES DE EMERGENCIA",IF(C367="EXTERNOS","DOTACION DE EXTERNO","DOTACION DISPONIBLE")))))))</f>
        <v/>
      </c>
    </row>
    <row r="368" spans="1:5" ht="18">
      <c r="A368" s="85"/>
      <c r="B368" s="104"/>
      <c r="C368" s="3"/>
      <c r="D368" s="78"/>
      <c r="E368" s="22" t="str">
        <f>IF(B368="","",IF(A368=0,"DOT PERDIDA",IF(COUNTIF(ASIGNACIONES!$B$3:$B948,B368)=1,"DOTACION ASIGNADA",IF(C368="VISITAS","DOTACION VISITA",IF(C368="MTTO","DOTACION MTTO",IF(C368="PLANTA EMERGENCIA","DOTACION RES DE EMERGENCIA",IF(C368="EXTERNOS","DOTACION DE EXTERNO","DOTACION DISPONIBLE")))))))</f>
        <v/>
      </c>
    </row>
    <row r="369" spans="1:5" ht="18">
      <c r="A369" s="85"/>
      <c r="B369" s="104"/>
      <c r="C369" s="3"/>
      <c r="D369" s="78"/>
      <c r="E369" s="22" t="str">
        <f>IF(B369="","",IF(A369=0,"DOT PERDIDA",IF(COUNTIF(ASIGNACIONES!$B$3:$B948,B369)=1,"DOTACION ASIGNADA",IF(C369="VISITAS","DOTACION VISITA",IF(C369="MTTO","DOTACION MTTO",IF(C369="PLANTA EMERGENCIA","DOTACION RES DE EMERGENCIA",IF(C369="EXTERNOS","DOTACION DE EXTERNO","DOTACION DISPONIBLE")))))))</f>
        <v/>
      </c>
    </row>
    <row r="370" spans="1:5" ht="18">
      <c r="A370" s="85"/>
      <c r="B370" s="104"/>
      <c r="C370" s="3"/>
      <c r="D370" s="78"/>
      <c r="E370" s="22" t="str">
        <f>IF(B370="","",IF(A370=0,"DOT PERDIDA",IF(COUNTIF(ASIGNACIONES!$B$3:$B948,B370)=1,"DOTACION ASIGNADA",IF(C370="VISITAS","DOTACION VISITA",IF(C370="MTTO","DOTACION MTTO",IF(C370="PLANTA EMERGENCIA","DOTACION RES DE EMERGENCIA",IF(C370="EXTERNOS","DOTACION DE EXTERNO","DOTACION DISPONIBLE")))))))</f>
        <v/>
      </c>
    </row>
    <row r="371" spans="1:5" ht="18">
      <c r="A371" s="85"/>
      <c r="B371" s="104"/>
      <c r="C371" s="3"/>
      <c r="D371" s="78"/>
      <c r="E371" s="22" t="str">
        <f>IF(B371="","",IF(A371=0,"DOT PERDIDA",IF(COUNTIF(ASIGNACIONES!$B$3:$B948,B371)=1,"DOTACION ASIGNADA",IF(C371="VISITAS","DOTACION VISITA",IF(C371="MTTO","DOTACION MTTO",IF(C371="PLANTA EMERGENCIA","DOTACION RES DE EMERGENCIA",IF(C371="EXTERNOS","DOTACION DE EXTERNO","DOTACION DISPONIBLE")))))))</f>
        <v/>
      </c>
    </row>
    <row r="372" spans="1:5" ht="18">
      <c r="A372" s="85"/>
      <c r="B372" s="104"/>
      <c r="C372" s="3"/>
      <c r="D372" s="78"/>
      <c r="E372" s="22" t="str">
        <f>IF(B372="","",IF(A372=0,"DOT PERDIDA",IF(COUNTIF(ASIGNACIONES!$B$3:$B948,B372)=1,"DOTACION ASIGNADA",IF(C372="VISITAS","DOTACION VISITA",IF(C372="MTTO","DOTACION MTTO",IF(C372="PLANTA EMERGENCIA","DOTACION RES DE EMERGENCIA",IF(C372="EXTERNOS","DOTACION DE EXTERNO","DOTACION DISPONIBLE")))))))</f>
        <v/>
      </c>
    </row>
    <row r="373" spans="1:5" ht="18">
      <c r="A373" s="85"/>
      <c r="B373" s="104"/>
      <c r="C373" s="3"/>
      <c r="D373" s="78"/>
      <c r="E373" s="22" t="str">
        <f>IF(B373="","",IF(A373=0,"DOT PERDIDA",IF(COUNTIF(ASIGNACIONES!$B$3:$B948,B373)=1,"DOTACION ASIGNADA",IF(C373="VISITAS","DOTACION VISITA",IF(C373="MTTO","DOTACION MTTO",IF(C373="PLANTA EMERGENCIA","DOTACION RES DE EMERGENCIA",IF(C373="EXTERNOS","DOTACION DE EXTERNO","DOTACION DISPONIBLE")))))))</f>
        <v/>
      </c>
    </row>
    <row r="374" spans="1:5" ht="18">
      <c r="A374" s="85"/>
      <c r="B374" s="104"/>
      <c r="C374" s="3"/>
      <c r="D374" s="78"/>
      <c r="E374" s="22" t="str">
        <f>IF(B374="","",IF(A374=0,"DOT PERDIDA",IF(COUNTIF(ASIGNACIONES!$B$3:$B948,B374)=1,"DOTACION ASIGNADA",IF(C374="VISITAS","DOTACION VISITA",IF(C374="MTTO","DOTACION MTTO",IF(C374="PLANTA EMERGENCIA","DOTACION RES DE EMERGENCIA",IF(C374="EXTERNOS","DOTACION DE EXTERNO","DOTACION DISPONIBLE")))))))</f>
        <v/>
      </c>
    </row>
    <row r="375" spans="1:5" ht="18">
      <c r="A375" s="85"/>
      <c r="B375" s="104"/>
      <c r="C375" s="3"/>
      <c r="D375" s="78"/>
      <c r="E375" s="22" t="str">
        <f>IF(B375="","",IF(A375=0,"DOT PERDIDA",IF(COUNTIF(ASIGNACIONES!$B$3:$B948,B375)=1,"DOTACION ASIGNADA",IF(C375="VISITAS","DOTACION VISITA",IF(C375="MTTO","DOTACION MTTO",IF(C375="PLANTA EMERGENCIA","DOTACION RES DE EMERGENCIA",IF(C375="EXTERNOS","DOTACION DE EXTERNO","DOTACION DISPONIBLE")))))))</f>
        <v/>
      </c>
    </row>
    <row r="376" spans="1:5" ht="18">
      <c r="A376" s="85"/>
      <c r="B376" s="104"/>
      <c r="C376" s="3"/>
      <c r="D376" s="78"/>
      <c r="E376" s="22" t="str">
        <f>IF(B376="","",IF(A376=0,"DOT PERDIDA",IF(COUNTIF(ASIGNACIONES!$B$3:$B948,B376)=1,"DOTACION ASIGNADA",IF(C376="VISITAS","DOTACION VISITA",IF(C376="MTTO","DOTACION MTTO",IF(C376="PLANTA EMERGENCIA","DOTACION RES DE EMERGENCIA",IF(C376="EXTERNOS","DOTACION DE EXTERNO","DOTACION DISPONIBLE")))))))</f>
        <v/>
      </c>
    </row>
    <row r="377" spans="1:5" ht="18">
      <c r="A377" s="85"/>
      <c r="B377" s="104"/>
      <c r="C377" s="3"/>
      <c r="D377" s="78"/>
      <c r="E377" s="22" t="str">
        <f>IF(B377="","",IF(A377=0,"DOT PERDIDA",IF(COUNTIF(ASIGNACIONES!$B$3:$B948,B377)=1,"DOTACION ASIGNADA",IF(C377="VISITAS","DOTACION VISITA",IF(C377="MTTO","DOTACION MTTO",IF(C377="PLANTA EMERGENCIA","DOTACION RES DE EMERGENCIA",IF(C377="EXTERNOS","DOTACION DE EXTERNO","DOTACION DISPONIBLE")))))))</f>
        <v/>
      </c>
    </row>
    <row r="378" spans="1:5" ht="18">
      <c r="A378" s="85"/>
      <c r="B378" s="104"/>
      <c r="C378" s="3"/>
      <c r="D378" s="78"/>
      <c r="E378" s="22" t="str">
        <f>IF(B378="","",IF(A378=0,"DOT PERDIDA",IF(COUNTIF(ASIGNACIONES!$B$3:$B948,B378)=1,"DOTACION ASIGNADA",IF(C378="VISITAS","DOTACION VISITA",IF(C378="MTTO","DOTACION MTTO",IF(C378="PLANTA EMERGENCIA","DOTACION RES DE EMERGENCIA",IF(C378="EXTERNOS","DOTACION DE EXTERNO","DOTACION DISPONIBLE")))))))</f>
        <v/>
      </c>
    </row>
    <row r="379" spans="1:5" ht="18">
      <c r="A379" s="85"/>
      <c r="B379" s="104"/>
      <c r="C379" s="3"/>
      <c r="D379" s="78"/>
      <c r="E379" s="22" t="str">
        <f>IF(B379="","",IF(A379=0,"DOT PERDIDA",IF(COUNTIF(ASIGNACIONES!$B$3:$B948,B379)=1,"DOTACION ASIGNADA",IF(C379="VISITAS","DOTACION VISITA",IF(C379="MTTO","DOTACION MTTO",IF(C379="PLANTA EMERGENCIA","DOTACION RES DE EMERGENCIA",IF(C379="EXTERNOS","DOTACION DE EXTERNO","DOTACION DISPONIBLE")))))))</f>
        <v/>
      </c>
    </row>
    <row r="380" spans="1:5" ht="18">
      <c r="A380" s="85"/>
      <c r="B380" s="104"/>
      <c r="C380" s="3"/>
      <c r="D380" s="78"/>
      <c r="E380" s="22" t="str">
        <f>IF(B380="","",IF(A380=0,"DOT PERDIDA",IF(COUNTIF(ASIGNACIONES!$B$3:$B948,B380)=1,"DOTACION ASIGNADA",IF(C380="VISITAS","DOTACION VISITA",IF(C380="MTTO","DOTACION MTTO",IF(C380="PLANTA EMERGENCIA","DOTACION RES DE EMERGENCIA",IF(C380="EXTERNOS","DOTACION DE EXTERNO","DOTACION DISPONIBLE")))))))</f>
        <v/>
      </c>
    </row>
    <row r="381" spans="1:5" ht="18">
      <c r="A381" s="85"/>
      <c r="B381" s="104"/>
      <c r="C381" s="3"/>
      <c r="D381" s="78"/>
      <c r="E381" s="22" t="str">
        <f>IF(B381="","",IF(A381=0,"DOT PERDIDA",IF(COUNTIF(ASIGNACIONES!$B$3:$B948,B381)=1,"DOTACION ASIGNADA",IF(C381="VISITAS","DOTACION VISITA",IF(C381="MTTO","DOTACION MTTO",IF(C381="PLANTA EMERGENCIA","DOTACION RES DE EMERGENCIA",IF(C381="EXTERNOS","DOTACION DE EXTERNO","DOTACION DISPONIBLE")))))))</f>
        <v/>
      </c>
    </row>
    <row r="382" spans="1:5" ht="18">
      <c r="A382" s="85"/>
      <c r="B382" s="104"/>
      <c r="C382" s="3"/>
      <c r="D382" s="78"/>
      <c r="E382" s="22" t="str">
        <f>IF(B382="","",IF(A382=0,"DOT PERDIDA",IF(COUNTIF(ASIGNACIONES!$B$3:$B948,B382)=1,"DOTACION ASIGNADA",IF(C382="VISITAS","DOTACION VISITA",IF(C382="MTTO","DOTACION MTTO",IF(C382="PLANTA EMERGENCIA","DOTACION RES DE EMERGENCIA",IF(C382="EXTERNOS","DOTACION DE EXTERNO","DOTACION DISPONIBLE")))))))</f>
        <v/>
      </c>
    </row>
    <row r="383" spans="1:5" ht="18">
      <c r="A383" s="85"/>
      <c r="B383" s="104"/>
      <c r="C383" s="3"/>
      <c r="D383" s="78"/>
      <c r="E383" s="22" t="str">
        <f>IF(B383="","",IF(A383=0,"DOT PERDIDA",IF(COUNTIF(ASIGNACIONES!$B$3:$B948,B383)=1,"DOTACION ASIGNADA",IF(C383="VISITAS","DOTACION VISITA",IF(C383="MTTO","DOTACION MTTO",IF(C383="PLANTA EMERGENCIA","DOTACION RES DE EMERGENCIA",IF(C383="EXTERNOS","DOTACION DE EXTERNO","DOTACION DISPONIBLE")))))))</f>
        <v/>
      </c>
    </row>
    <row r="384" spans="1:5" ht="18">
      <c r="A384" s="85"/>
      <c r="B384" s="104"/>
      <c r="C384" s="3"/>
      <c r="D384" s="78"/>
      <c r="E384" s="22" t="str">
        <f>IF(B384="","",IF(A384=0,"DOT PERDIDA",IF(COUNTIF(ASIGNACIONES!$B$3:$B948,B384)=1,"DOTACION ASIGNADA",IF(C384="VISITAS","DOTACION VISITA",IF(C384="MTTO","DOTACION MTTO",IF(C384="PLANTA EMERGENCIA","DOTACION RES DE EMERGENCIA",IF(C384="EXTERNOS","DOTACION DE EXTERNO","DOTACION DISPONIBLE")))))))</f>
        <v/>
      </c>
    </row>
    <row r="385" spans="1:5" ht="18">
      <c r="A385" s="85"/>
      <c r="B385" s="104"/>
      <c r="C385" s="3"/>
      <c r="D385" s="78"/>
      <c r="E385" s="22" t="str">
        <f>IF(B385="","",IF(A385=0,"DOT PERDIDA",IF(COUNTIF(ASIGNACIONES!$B$3:$B948,B385)=1,"DOTACION ASIGNADA",IF(C385="VISITAS","DOTACION VISITA",IF(C385="MTTO","DOTACION MTTO",IF(C385="PLANTA EMERGENCIA","DOTACION RES DE EMERGENCIA",IF(C385="EXTERNOS","DOTACION DE EXTERNO","DOTACION DISPONIBLE")))))))</f>
        <v/>
      </c>
    </row>
    <row r="386" spans="1:5" ht="18">
      <c r="A386" s="85"/>
      <c r="B386" s="104"/>
      <c r="C386" s="3"/>
      <c r="D386" s="78"/>
      <c r="E386" s="22" t="str">
        <f>IF(B386="","",IF(A386=0,"DOT PERDIDA",IF(COUNTIF(ASIGNACIONES!$B$3:$B948,B386)=1,"DOTACION ASIGNADA",IF(C386="VISITAS","DOTACION VISITA",IF(C386="MTTO","DOTACION MTTO",IF(C386="PLANTA EMERGENCIA","DOTACION RES DE EMERGENCIA",IF(C386="EXTERNOS","DOTACION DE EXTERNO","DOTACION DISPONIBLE")))))))</f>
        <v/>
      </c>
    </row>
    <row r="387" spans="1:5" ht="18">
      <c r="A387" s="85"/>
      <c r="B387" s="104"/>
      <c r="C387" s="3"/>
      <c r="D387" s="78"/>
      <c r="E387" s="22" t="str">
        <f>IF(B387="","",IF(A387=0,"DOT PERDIDA",IF(COUNTIF(ASIGNACIONES!$B$3:$B948,B387)=1,"DOTACION ASIGNADA",IF(C387="VISITAS","DOTACION VISITA",IF(C387="MTTO","DOTACION MTTO",IF(C387="PLANTA EMERGENCIA","DOTACION RES DE EMERGENCIA",IF(C387="EXTERNOS","DOTACION DE EXTERNO","DOTACION DISPONIBLE")))))))</f>
        <v/>
      </c>
    </row>
    <row r="388" spans="1:5" ht="18">
      <c r="A388" s="85"/>
      <c r="B388" s="104"/>
      <c r="C388" s="3"/>
      <c r="D388" s="78"/>
      <c r="E388" s="22" t="str">
        <f>IF(B388="","",IF(A388=0,"DOT PERDIDA",IF(COUNTIF(ASIGNACIONES!$B$3:$B948,B388)=1,"DOTACION ASIGNADA",IF(C388="VISITAS","DOTACION VISITA",IF(C388="MTTO","DOTACION MTTO",IF(C388="PLANTA EMERGENCIA","DOTACION RES DE EMERGENCIA",IF(C388="EXTERNOS","DOTACION DE EXTERNO","DOTACION DISPONIBLE")))))))</f>
        <v/>
      </c>
    </row>
    <row r="389" spans="1:5" ht="18">
      <c r="A389" s="85"/>
      <c r="B389" s="104"/>
      <c r="C389" s="3"/>
      <c r="D389" s="78"/>
      <c r="E389" s="22" t="str">
        <f>IF(B389="","",IF(A389=0,"DOT PERDIDA",IF(COUNTIF(ASIGNACIONES!$B$3:$B948,B389)=1,"DOTACION ASIGNADA",IF(C389="VISITAS","DOTACION VISITA",IF(C389="MTTO","DOTACION MTTO",IF(C389="PLANTA EMERGENCIA","DOTACION RES DE EMERGENCIA",IF(C389="EXTERNOS","DOTACION DE EXTERNO","DOTACION DISPONIBLE")))))))</f>
        <v/>
      </c>
    </row>
    <row r="390" spans="1:5" ht="18">
      <c r="A390" s="85"/>
      <c r="B390" s="104"/>
      <c r="C390" s="3"/>
      <c r="D390" s="78"/>
      <c r="E390" s="22" t="str">
        <f>IF(B390="","",IF(A390=0,"DOT PERDIDA",IF(COUNTIF(ASIGNACIONES!$B$3:$B948,B390)=1,"DOTACION ASIGNADA",IF(C390="VISITAS","DOTACION VISITA",IF(C390="MTTO","DOTACION MTTO",IF(C390="PLANTA EMERGENCIA","DOTACION RES DE EMERGENCIA",IF(C390="EXTERNOS","DOTACION DE EXTERNO","DOTACION DISPONIBLE")))))))</f>
        <v/>
      </c>
    </row>
    <row r="391" spans="1:5" ht="18">
      <c r="A391" s="85"/>
      <c r="B391" s="104"/>
      <c r="C391" s="3"/>
      <c r="D391" s="78"/>
      <c r="E391" s="22" t="str">
        <f>IF(B391="","",IF(A391=0,"DOT PERDIDA",IF(COUNTIF(ASIGNACIONES!$B$3:$B948,B391)=1,"DOTACION ASIGNADA",IF(C391="VISITAS","DOTACION VISITA",IF(C391="MTTO","DOTACION MTTO",IF(C391="PLANTA EMERGENCIA","DOTACION RES DE EMERGENCIA",IF(C391="EXTERNOS","DOTACION DE EXTERNO","DOTACION DISPONIBLE")))))))</f>
        <v/>
      </c>
    </row>
    <row r="392" spans="1:5" ht="18">
      <c r="A392" s="85"/>
      <c r="B392" s="104"/>
      <c r="C392" s="3"/>
      <c r="D392" s="78"/>
      <c r="E392" s="22" t="str">
        <f>IF(B392="","",IF(A392=0,"DOT PERDIDA",IF(COUNTIF(ASIGNACIONES!$B$3:$B948,B392)=1,"DOTACION ASIGNADA",IF(C392="VISITAS","DOTACION VISITA",IF(C392="MTTO","DOTACION MTTO",IF(C392="PLANTA EMERGENCIA","DOTACION RES DE EMERGENCIA",IF(C392="EXTERNOS","DOTACION DE EXTERNO","DOTACION DISPONIBLE")))))))</f>
        <v/>
      </c>
    </row>
    <row r="393" spans="1:5" ht="18">
      <c r="A393" s="85"/>
      <c r="B393" s="104"/>
      <c r="C393" s="3"/>
      <c r="D393" s="78"/>
      <c r="E393" s="22" t="str">
        <f>IF(B393="","",IF(A393=0,"DOT PERDIDA",IF(COUNTIF(ASIGNACIONES!$B$3:$B948,B393)=1,"DOTACION ASIGNADA",IF(C393="VISITAS","DOTACION VISITA",IF(C393="MTTO","DOTACION MTTO",IF(C393="PLANTA EMERGENCIA","DOTACION RES DE EMERGENCIA",IF(C393="EXTERNOS","DOTACION DE EXTERNO","DOTACION DISPONIBLE")))))))</f>
        <v/>
      </c>
    </row>
    <row r="394" spans="1:5" ht="18">
      <c r="A394" s="85"/>
      <c r="B394" s="104"/>
      <c r="C394" s="3"/>
      <c r="D394" s="78"/>
      <c r="E394" s="22" t="str">
        <f>IF(B394="","",IF(A394=0,"DOT PERDIDA",IF(COUNTIF(ASIGNACIONES!$B$3:$B948,B394)=1,"DOTACION ASIGNADA",IF(C394="VISITAS","DOTACION VISITA",IF(C394="MTTO","DOTACION MTTO",IF(C394="PLANTA EMERGENCIA","DOTACION RES DE EMERGENCIA",IF(C394="EXTERNOS","DOTACION DE EXTERNO","DOTACION DISPONIBLE")))))))</f>
        <v/>
      </c>
    </row>
    <row r="395" spans="1:5" ht="18">
      <c r="A395" s="85"/>
      <c r="B395" s="104"/>
      <c r="C395" s="3"/>
      <c r="D395" s="78"/>
      <c r="E395" s="22" t="str">
        <f>IF(B395="","",IF(A395=0,"DOT PERDIDA",IF(COUNTIF(ASIGNACIONES!$B$3:$B948,B395)=1,"DOTACION ASIGNADA",IF(C395="VISITAS","DOTACION VISITA",IF(C395="MTTO","DOTACION MTTO",IF(C395="PLANTA EMERGENCIA","DOTACION RES DE EMERGENCIA",IF(C395="EXTERNOS","DOTACION DE EXTERNO","DOTACION DISPONIBLE")))))))</f>
        <v/>
      </c>
    </row>
    <row r="396" spans="1:5" ht="18">
      <c r="A396" s="85"/>
      <c r="B396" s="104"/>
      <c r="C396" s="3"/>
      <c r="D396" s="78"/>
      <c r="E396" s="22" t="str">
        <f>IF(B396="","",IF(A396=0,"DOT PERDIDA",IF(COUNTIF(ASIGNACIONES!$B$3:$B948,B396)=1,"DOTACION ASIGNADA",IF(C396="VISITAS","DOTACION VISITA",IF(C396="MTTO","DOTACION MTTO",IF(C396="PLANTA EMERGENCIA","DOTACION RES DE EMERGENCIA",IF(C396="EXTERNOS","DOTACION DE EXTERNO","DOTACION DISPONIBLE")))))))</f>
        <v/>
      </c>
    </row>
    <row r="397" spans="1:5" ht="18">
      <c r="A397" s="85"/>
      <c r="B397" s="104"/>
      <c r="C397" s="3"/>
      <c r="D397" s="78"/>
      <c r="E397" s="22" t="str">
        <f>IF(B397="","",IF(A397=0,"DOT PERDIDA",IF(COUNTIF(ASIGNACIONES!$B$3:$B948,B397)=1,"DOTACION ASIGNADA",IF(C397="VISITAS","DOTACION VISITA",IF(C397="MTTO","DOTACION MTTO",IF(C397="PLANTA EMERGENCIA","DOTACION RES DE EMERGENCIA",IF(C397="EXTERNOS","DOTACION DE EXTERNO","DOTACION DISPONIBLE")))))))</f>
        <v/>
      </c>
    </row>
    <row r="398" spans="1:5" ht="18">
      <c r="A398" s="85"/>
      <c r="B398" s="104"/>
      <c r="C398" s="3"/>
      <c r="D398" s="78"/>
      <c r="E398" s="22" t="str">
        <f>IF(B398="","",IF(A398=0,"DOT PERDIDA",IF(COUNTIF(ASIGNACIONES!$B$3:$B948,B398)=1,"DOTACION ASIGNADA",IF(C398="VISITAS","DOTACION VISITA",IF(C398="MTTO","DOTACION MTTO",IF(C398="PLANTA EMERGENCIA","DOTACION RES DE EMERGENCIA",IF(C398="EXTERNOS","DOTACION DE EXTERNO","DOTACION DISPONIBLE")))))))</f>
        <v/>
      </c>
    </row>
    <row r="399" spans="1:5" ht="18">
      <c r="A399" s="85"/>
      <c r="B399" s="104"/>
      <c r="C399" s="3"/>
      <c r="D399" s="78"/>
      <c r="E399" s="22" t="str">
        <f>IF(B399="","",IF(A399=0,"DOT PERDIDA",IF(COUNTIF(ASIGNACIONES!$B$3:$B948,B399)=1,"DOTACION ASIGNADA",IF(C399="VISITAS","DOTACION VISITA",IF(C399="MTTO","DOTACION MTTO",IF(C399="PLANTA EMERGENCIA","DOTACION RES DE EMERGENCIA",IF(C399="EXTERNOS","DOTACION DE EXTERNO","DOTACION DISPONIBLE")))))))</f>
        <v/>
      </c>
    </row>
    <row r="400" spans="1:5" ht="18">
      <c r="A400" s="85"/>
      <c r="B400" s="104"/>
      <c r="C400" s="3"/>
      <c r="D400" s="78"/>
      <c r="E400" s="22" t="str">
        <f>IF(B400="","",IF(A400=0,"DOT PERDIDA",IF(COUNTIF(ASIGNACIONES!$B$3:$B948,B400)=1,"DOTACION ASIGNADA",IF(C400="VISITAS","DOTACION VISITA",IF(C400="MTTO","DOTACION MTTO",IF(C400="PLANTA EMERGENCIA","DOTACION RES DE EMERGENCIA",IF(C400="EXTERNOS","DOTACION DE EXTERNO","DOTACION DISPONIBLE")))))))</f>
        <v/>
      </c>
    </row>
    <row r="401" spans="1:5" ht="18">
      <c r="A401" s="85"/>
      <c r="B401" s="104"/>
      <c r="C401" s="3"/>
      <c r="D401" s="78"/>
      <c r="E401" s="22" t="str">
        <f>IF(B401="","",IF(A401=0,"DOT PERDIDA",IF(COUNTIF(ASIGNACIONES!$B$3:$B948,B401)=1,"DOTACION ASIGNADA",IF(C401="VISITAS","DOTACION VISITA",IF(C401="MTTO","DOTACION MTTO",IF(C401="PLANTA EMERGENCIA","DOTACION RES DE EMERGENCIA",IF(C401="EXTERNOS","DOTACION DE EXTERNO","DOTACION DISPONIBLE")))))))</f>
        <v/>
      </c>
    </row>
    <row r="402" spans="1:5" ht="18">
      <c r="A402" s="85"/>
      <c r="B402" s="104"/>
      <c r="C402" s="3"/>
      <c r="D402" s="78"/>
      <c r="E402" s="22" t="str">
        <f>IF(B402="","",IF(A402=0,"DOT PERDIDA",IF(COUNTIF(ASIGNACIONES!$B$3:$B948,B402)=1,"DOTACION ASIGNADA",IF(C402="VISITAS","DOTACION VISITA",IF(C402="MTTO","DOTACION MTTO",IF(C402="PLANTA EMERGENCIA","DOTACION RES DE EMERGENCIA",IF(C402="EXTERNOS","DOTACION DE EXTERNO","DOTACION DISPONIBLE")))))))</f>
        <v/>
      </c>
    </row>
    <row r="403" spans="1:5" ht="18">
      <c r="A403" s="85"/>
      <c r="B403" s="104"/>
      <c r="C403" s="3"/>
      <c r="D403" s="78"/>
      <c r="E403" s="22" t="str">
        <f>IF(B403="","",IF(A403=0,"DOT PERDIDA",IF(COUNTIF(ASIGNACIONES!$B$3:$B948,B403)=1,"DOTACION ASIGNADA",IF(C403="VISITAS","DOTACION VISITA",IF(C403="MTTO","DOTACION MTTO",IF(C403="PLANTA EMERGENCIA","DOTACION RES DE EMERGENCIA",IF(C403="EXTERNOS","DOTACION DE EXTERNO","DOTACION DISPONIBLE")))))))</f>
        <v/>
      </c>
    </row>
    <row r="404" spans="1:5" ht="18">
      <c r="A404" s="85"/>
      <c r="B404" s="104"/>
      <c r="C404" s="3"/>
      <c r="D404" s="78"/>
      <c r="E404" s="22" t="str">
        <f>IF(B404="","",IF(A404=0,"DOT PERDIDA",IF(COUNTIF(ASIGNACIONES!$B$3:$B948,B404)=1,"DOTACION ASIGNADA",IF(C404="VISITAS","DOTACION VISITA",IF(C404="MTTO","DOTACION MTTO",IF(C404="PLANTA EMERGENCIA","DOTACION RES DE EMERGENCIA",IF(C404="EXTERNOS","DOTACION DE EXTERNO","DOTACION DISPONIBLE")))))))</f>
        <v/>
      </c>
    </row>
    <row r="405" spans="1:5" ht="18">
      <c r="A405" s="85"/>
      <c r="B405" s="104"/>
      <c r="C405" s="3"/>
      <c r="D405" s="78"/>
      <c r="E405" s="22" t="str">
        <f>IF(B405="","",IF(A405=0,"DOT PERDIDA",IF(COUNTIF(ASIGNACIONES!$B$3:$B948,B405)=1,"DOTACION ASIGNADA",IF(C405="VISITAS","DOTACION VISITA",IF(C405="MTTO","DOTACION MTTO",IF(C405="PLANTA EMERGENCIA","DOTACION RES DE EMERGENCIA",IF(C405="EXTERNOS","DOTACION DE EXTERNO","DOTACION DISPONIBLE")))))))</f>
        <v/>
      </c>
    </row>
    <row r="406" spans="1:5" ht="18">
      <c r="A406" s="85"/>
      <c r="B406" s="104"/>
      <c r="C406" s="3"/>
      <c r="D406" s="78"/>
      <c r="E406" s="22" t="str">
        <f>IF(B406="","",IF(A406=0,"DOT PERDIDA",IF(COUNTIF(ASIGNACIONES!$B$3:$B948,B406)=1,"DOTACION ASIGNADA",IF(C406="VISITAS","DOTACION VISITA",IF(C406="MTTO","DOTACION MTTO",IF(C406="PLANTA EMERGENCIA","DOTACION RES DE EMERGENCIA",IF(C406="EXTERNOS","DOTACION DE EXTERNO","DOTACION DISPONIBLE")))))))</f>
        <v/>
      </c>
    </row>
    <row r="407" spans="1:5" ht="18">
      <c r="A407" s="85"/>
      <c r="B407" s="104"/>
      <c r="C407" s="3"/>
      <c r="D407" s="78"/>
      <c r="E407" s="22" t="str">
        <f>IF(B407="","",IF(A407=0,"DOT PERDIDA",IF(COUNTIF(ASIGNACIONES!$B$3:$B948,B407)=1,"DOTACION ASIGNADA",IF(C407="VISITAS","DOTACION VISITA",IF(C407="MTTO","DOTACION MTTO",IF(C407="PLANTA EMERGENCIA","DOTACION RES DE EMERGENCIA",IF(C407="EXTERNOS","DOTACION DE EXTERNO","DOTACION DISPONIBLE")))))))</f>
        <v/>
      </c>
    </row>
    <row r="408" spans="1:5" ht="18">
      <c r="A408" s="85"/>
      <c r="B408" s="104"/>
      <c r="C408" s="3"/>
      <c r="D408" s="78"/>
      <c r="E408" s="22" t="str">
        <f>IF(B408="","",IF(A408=0,"DOT PERDIDA",IF(COUNTIF(ASIGNACIONES!$B$3:$B948,B408)=1,"DOTACION ASIGNADA",IF(C408="VISITAS","DOTACION VISITA",IF(C408="MTTO","DOTACION MTTO",IF(C408="PLANTA EMERGENCIA","DOTACION RES DE EMERGENCIA",IF(C408="EXTERNOS","DOTACION DE EXTERNO","DOTACION DISPONIBLE")))))))</f>
        <v/>
      </c>
    </row>
    <row r="409" spans="1:5" ht="18">
      <c r="A409" s="85"/>
      <c r="B409" s="104"/>
      <c r="C409" s="3"/>
      <c r="D409" s="78"/>
      <c r="E409" s="22" t="str">
        <f>IF(B409="","",IF(A409=0,"DOT PERDIDA",IF(COUNTIF(ASIGNACIONES!$B$3:$B948,B409)=1,"DOTACION ASIGNADA",IF(C409="VISITAS","DOTACION VISITA",IF(C409="MTTO","DOTACION MTTO",IF(C409="PLANTA EMERGENCIA","DOTACION RES DE EMERGENCIA",IF(C409="EXTERNOS","DOTACION DE EXTERNO","DOTACION DISPONIBLE")))))))</f>
        <v/>
      </c>
    </row>
    <row r="410" spans="1:5" ht="18">
      <c r="A410" s="85"/>
      <c r="B410" s="104"/>
      <c r="C410" s="3"/>
      <c r="D410" s="78"/>
      <c r="E410" s="22" t="str">
        <f>IF(B410="","",IF(A410=0,"DOT PERDIDA",IF(COUNTIF(ASIGNACIONES!$B$3:$B948,B410)=1,"DOTACION ASIGNADA",IF(C410="VISITAS","DOTACION VISITA",IF(C410="MTTO","DOTACION MTTO",IF(C410="PLANTA EMERGENCIA","DOTACION RES DE EMERGENCIA",IF(C410="EXTERNOS","DOTACION DE EXTERNO","DOTACION DISPONIBLE")))))))</f>
        <v/>
      </c>
    </row>
    <row r="411" spans="1:5" ht="18">
      <c r="A411" s="85"/>
      <c r="B411" s="104"/>
      <c r="C411" s="3"/>
      <c r="D411" s="78"/>
      <c r="E411" s="22" t="str">
        <f>IF(B411="","",IF(A411=0,"DOT PERDIDA",IF(COUNTIF(ASIGNACIONES!$B$3:$B948,B411)=1,"DOTACION ASIGNADA",IF(C411="VISITAS","DOTACION VISITA",IF(C411="MTTO","DOTACION MTTO",IF(C411="PLANTA EMERGENCIA","DOTACION RES DE EMERGENCIA",IF(C411="EXTERNOS","DOTACION DE EXTERNO","DOTACION DISPONIBLE")))))))</f>
        <v/>
      </c>
    </row>
    <row r="412" spans="1:5" ht="18">
      <c r="A412" s="85"/>
      <c r="B412" s="104"/>
      <c r="C412" s="3"/>
      <c r="D412" s="78"/>
      <c r="E412" s="22" t="str">
        <f>IF(B412="","",IF(A412=0,"DOT PERDIDA",IF(COUNTIF(ASIGNACIONES!$B$3:$B948,B412)=1,"DOTACION ASIGNADA",IF(C412="VISITAS","DOTACION VISITA",IF(C412="MTTO","DOTACION MTTO",IF(C412="PLANTA EMERGENCIA","DOTACION RES DE EMERGENCIA",IF(C412="EXTERNOS","DOTACION DE EXTERNO","DOTACION DISPONIBLE")))))))</f>
        <v/>
      </c>
    </row>
    <row r="413" spans="1:5" ht="18">
      <c r="A413" s="85"/>
      <c r="B413" s="104"/>
      <c r="C413" s="3"/>
      <c r="D413" s="78"/>
      <c r="E413" s="22" t="str">
        <f>IF(B413="","",IF(A413=0,"DOT PERDIDA",IF(COUNTIF(ASIGNACIONES!$B$3:$B948,B413)=1,"DOTACION ASIGNADA",IF(C413="VISITAS","DOTACION VISITA",IF(C413="MTTO","DOTACION MTTO",IF(C413="PLANTA EMERGENCIA","DOTACION RES DE EMERGENCIA",IF(C413="EXTERNOS","DOTACION DE EXTERNO","DOTACION DISPONIBLE")))))))</f>
        <v/>
      </c>
    </row>
    <row r="414" spans="1:5" ht="18">
      <c r="A414" s="85"/>
      <c r="B414" s="104"/>
      <c r="C414" s="3"/>
      <c r="D414" s="78"/>
      <c r="E414" s="22" t="str">
        <f>IF(B414="","",IF(A414=0,"DOT PERDIDA",IF(COUNTIF(ASIGNACIONES!$B$3:$B948,B414)=1,"DOTACION ASIGNADA",IF(C414="VISITAS","DOTACION VISITA",IF(C414="MTTO","DOTACION MTTO",IF(C414="PLANTA EMERGENCIA","DOTACION RES DE EMERGENCIA",IF(C414="EXTERNOS","DOTACION DE EXTERNO","DOTACION DISPONIBLE")))))))</f>
        <v/>
      </c>
    </row>
    <row r="415" spans="1:5" ht="18">
      <c r="A415" s="85"/>
      <c r="B415" s="104"/>
      <c r="C415" s="3"/>
      <c r="D415" s="78"/>
      <c r="E415" s="22" t="str">
        <f>IF(B415="","",IF(A415=0,"DOT PERDIDA",IF(COUNTIF(ASIGNACIONES!$B$3:$B948,B415)=1,"DOTACION ASIGNADA",IF(C415="VISITAS","DOTACION VISITA",IF(C415="MTTO","DOTACION MTTO",IF(C415="PLANTA EMERGENCIA","DOTACION RES DE EMERGENCIA",IF(C415="EXTERNOS","DOTACION DE EXTERNO","DOTACION DISPONIBLE")))))))</f>
        <v/>
      </c>
    </row>
    <row r="416" spans="1:5" ht="18">
      <c r="A416" s="85"/>
      <c r="B416" s="104"/>
      <c r="C416" s="3"/>
      <c r="D416" s="78"/>
      <c r="E416" s="22" t="str">
        <f>IF(B416="","",IF(A416=0,"DOT PERDIDA",IF(COUNTIF(ASIGNACIONES!$B$3:$B948,B416)=1,"DOTACION ASIGNADA",IF(C416="VISITAS","DOTACION VISITA",IF(C416="MTTO","DOTACION MTTO",IF(C416="PLANTA EMERGENCIA","DOTACION RES DE EMERGENCIA",IF(C416="EXTERNOS","DOTACION DE EXTERNO","DOTACION DISPONIBLE")))))))</f>
        <v/>
      </c>
    </row>
    <row r="417" spans="1:5" ht="18">
      <c r="A417" s="85"/>
      <c r="B417" s="104"/>
      <c r="C417" s="3"/>
      <c r="D417" s="78"/>
      <c r="E417" s="22" t="str">
        <f>IF(B417="","",IF(A417=0,"DOT PERDIDA",IF(COUNTIF(ASIGNACIONES!$B$3:$B948,B417)=1,"DOTACION ASIGNADA",IF(C417="VISITAS","DOTACION VISITA",IF(C417="MTTO","DOTACION MTTO",IF(C417="PLANTA EMERGENCIA","DOTACION RES DE EMERGENCIA",IF(C417="EXTERNOS","DOTACION DE EXTERNO","DOTACION DISPONIBLE")))))))</f>
        <v/>
      </c>
    </row>
    <row r="418" spans="1:5" ht="18">
      <c r="A418" s="85"/>
      <c r="B418" s="104"/>
      <c r="C418" s="3"/>
      <c r="D418" s="78"/>
      <c r="E418" s="22" t="str">
        <f>IF(B418="","",IF(A418=0,"DOT PERDIDA",IF(COUNTIF(ASIGNACIONES!$B$3:$B948,B418)=1,"DOTACION ASIGNADA",IF(C418="VISITAS","DOTACION VISITA",IF(C418="MTTO","DOTACION MTTO",IF(C418="PLANTA EMERGENCIA","DOTACION RES DE EMERGENCIA",IF(C418="EXTERNOS","DOTACION DE EXTERNO","DOTACION DISPONIBLE")))))))</f>
        <v/>
      </c>
    </row>
    <row r="419" spans="1:5" ht="18">
      <c r="A419" s="85"/>
      <c r="B419" s="104"/>
      <c r="C419" s="3"/>
      <c r="D419" s="78"/>
      <c r="E419" s="22" t="str">
        <f>IF(B419="","",IF(A419=0,"DOT PERDIDA",IF(COUNTIF(ASIGNACIONES!$B$3:$B948,B419)=1,"DOTACION ASIGNADA",IF(C419="VISITAS","DOTACION VISITA",IF(C419="MTTO","DOTACION MTTO",IF(C419="PLANTA EMERGENCIA","DOTACION RES DE EMERGENCIA",IF(C419="EXTERNOS","DOTACION DE EXTERNO","DOTACION DISPONIBLE")))))))</f>
        <v/>
      </c>
    </row>
    <row r="420" spans="1:5" ht="18">
      <c r="A420" s="85"/>
      <c r="B420" s="104"/>
      <c r="C420" s="3"/>
      <c r="D420" s="78"/>
      <c r="E420" s="22" t="str">
        <f>IF(B420="","",IF(A420=0,"DOT PERDIDA",IF(COUNTIF(ASIGNACIONES!$B$3:$B948,B420)=1,"DOTACION ASIGNADA",IF(C420="VISITAS","DOTACION VISITA",IF(C420="MTTO","DOTACION MTTO",IF(C420="PLANTA EMERGENCIA","DOTACION RES DE EMERGENCIA",IF(C420="EXTERNOS","DOTACION DE EXTERNO","DOTACION DISPONIBLE")))))))</f>
        <v/>
      </c>
    </row>
    <row r="421" spans="1:5" ht="18">
      <c r="A421" s="85"/>
      <c r="B421" s="104"/>
      <c r="C421" s="3"/>
      <c r="D421" s="78"/>
      <c r="E421" s="22" t="str">
        <f>IF(B421="","",IF(A421=0,"DOT PERDIDA",IF(COUNTIF(ASIGNACIONES!$B$3:$B948,B421)=1,"DOTACION ASIGNADA",IF(C421="VISITAS","DOTACION VISITA",IF(C421="MTTO","DOTACION MTTO",IF(C421="PLANTA EMERGENCIA","DOTACION RES DE EMERGENCIA",IF(C421="EXTERNOS","DOTACION DE EXTERNO","DOTACION DISPONIBLE")))))))</f>
        <v/>
      </c>
    </row>
    <row r="422" spans="1:5" ht="18">
      <c r="A422" s="85"/>
      <c r="B422" s="104"/>
      <c r="C422" s="3"/>
      <c r="D422" s="78"/>
      <c r="E422" s="22" t="str">
        <f>IF(B422="","",IF(A422=0,"DOT PERDIDA",IF(COUNTIF(ASIGNACIONES!$B$3:$B948,B422)=1,"DOTACION ASIGNADA",IF(C422="VISITAS","DOTACION VISITA",IF(C422="MTTO","DOTACION MTTO",IF(C422="PLANTA EMERGENCIA","DOTACION RES DE EMERGENCIA",IF(C422="EXTERNOS","DOTACION DE EXTERNO","DOTACION DISPONIBLE")))))))</f>
        <v/>
      </c>
    </row>
    <row r="423" spans="1:5" ht="18">
      <c r="A423" s="85"/>
      <c r="B423" s="104"/>
      <c r="C423" s="3"/>
      <c r="D423" s="78"/>
      <c r="E423" s="22" t="str">
        <f>IF(B423="","",IF(A423=0,"DOT PERDIDA",IF(COUNTIF(ASIGNACIONES!$B$3:$B948,B423)=1,"DOTACION ASIGNADA",IF(C423="VISITAS","DOTACION VISITA",IF(C423="MTTO","DOTACION MTTO",IF(C423="PLANTA EMERGENCIA","DOTACION RES DE EMERGENCIA",IF(C423="EXTERNOS","DOTACION DE EXTERNO","DOTACION DISPONIBLE")))))))</f>
        <v/>
      </c>
    </row>
    <row r="424" spans="1:5" ht="18">
      <c r="A424" s="85"/>
      <c r="B424" s="104"/>
      <c r="C424" s="3"/>
      <c r="D424" s="78"/>
      <c r="E424" s="22" t="str">
        <f>IF(B424="","",IF(A424=0,"DOT PERDIDA",IF(COUNTIF(ASIGNACIONES!$B$3:$B948,B424)=1,"DOTACION ASIGNADA",IF(C424="VISITAS","DOTACION VISITA",IF(C424="MTTO","DOTACION MTTO",IF(C424="PLANTA EMERGENCIA","DOTACION RES DE EMERGENCIA",IF(C424="EXTERNOS","DOTACION DE EXTERNO","DOTACION DISPONIBLE")))))))</f>
        <v/>
      </c>
    </row>
    <row r="425" spans="1:5" ht="18">
      <c r="A425" s="85"/>
      <c r="B425" s="104"/>
      <c r="C425" s="3"/>
      <c r="D425" s="78"/>
      <c r="E425" s="22" t="str">
        <f>IF(B425="","",IF(A425=0,"DOT PERDIDA",IF(COUNTIF(ASIGNACIONES!$B$3:$B948,B425)=1,"DOTACION ASIGNADA",IF(C425="VISITAS","DOTACION VISITA",IF(C425="MTTO","DOTACION MTTO",IF(C425="PLANTA EMERGENCIA","DOTACION RES DE EMERGENCIA",IF(C425="EXTERNOS","DOTACION DE EXTERNO","DOTACION DISPONIBLE")))))))</f>
        <v/>
      </c>
    </row>
    <row r="426" spans="1:5" ht="18">
      <c r="A426" s="85"/>
      <c r="B426" s="104"/>
      <c r="C426" s="3"/>
      <c r="D426" s="78"/>
      <c r="E426" s="22" t="str">
        <f>IF(B426="","",IF(A426=0,"DOT PERDIDA",IF(COUNTIF(ASIGNACIONES!$B$3:$B948,B426)=1,"DOTACION ASIGNADA",IF(C426="VISITAS","DOTACION VISITA",IF(C426="MTTO","DOTACION MTTO",IF(C426="PLANTA EMERGENCIA","DOTACION RES DE EMERGENCIA",IF(C426="EXTERNOS","DOTACION DE EXTERNO","DOTACION DISPONIBLE")))))))</f>
        <v/>
      </c>
    </row>
    <row r="427" spans="1:5" ht="18">
      <c r="A427" s="85"/>
      <c r="B427" s="104"/>
      <c r="C427" s="3"/>
      <c r="D427" s="78"/>
      <c r="E427" s="22" t="str">
        <f>IF(B427="","",IF(A427=0,"DOT PERDIDA",IF(COUNTIF(ASIGNACIONES!$B$3:$B948,B427)=1,"DOTACION ASIGNADA",IF(C427="VISITAS","DOTACION VISITA",IF(C427="MTTO","DOTACION MTTO",IF(C427="PLANTA EMERGENCIA","DOTACION RES DE EMERGENCIA",IF(C427="EXTERNOS","DOTACION DE EXTERNO","DOTACION DISPONIBLE")))))))</f>
        <v/>
      </c>
    </row>
    <row r="428" spans="1:5" ht="18">
      <c r="A428" s="85"/>
      <c r="B428" s="104"/>
      <c r="C428" s="3"/>
      <c r="D428" s="78"/>
      <c r="E428" s="22" t="str">
        <f>IF(B428="","",IF(A428=0,"DOT PERDIDA",IF(COUNTIF(ASIGNACIONES!$B$3:$B948,B428)=1,"DOTACION ASIGNADA",IF(C428="VISITAS","DOTACION VISITA",IF(C428="MTTO","DOTACION MTTO",IF(C428="PLANTA EMERGENCIA","DOTACION RES DE EMERGENCIA",IF(C428="EXTERNOS","DOTACION DE EXTERNO","DOTACION DISPONIBLE")))))))</f>
        <v/>
      </c>
    </row>
    <row r="429" spans="1:5" ht="18">
      <c r="A429" s="85"/>
      <c r="B429" s="104"/>
      <c r="C429" s="3"/>
      <c r="D429" s="78"/>
      <c r="E429" s="22" t="str">
        <f>IF(B429="","",IF(A429=0,"DOT PERDIDA",IF(COUNTIF(ASIGNACIONES!$B$3:$B948,B429)=1,"DOTACION ASIGNADA",IF(C429="VISITAS","DOTACION VISITA",IF(C429="MTTO","DOTACION MTTO",IF(C429="PLANTA EMERGENCIA","DOTACION RES DE EMERGENCIA",IF(C429="EXTERNOS","DOTACION DE EXTERNO","DOTACION DISPONIBLE")))))))</f>
        <v/>
      </c>
    </row>
    <row r="430" spans="1:5" ht="18">
      <c r="A430" s="85"/>
      <c r="B430" s="104"/>
      <c r="C430" s="3"/>
      <c r="D430" s="78"/>
      <c r="E430" s="22" t="str">
        <f>IF(B430="","",IF(A430=0,"DOT PERDIDA",IF(COUNTIF(ASIGNACIONES!$B$3:$B948,B430)=1,"DOTACION ASIGNADA",IF(C430="VISITAS","DOTACION VISITA",IF(C430="MTTO","DOTACION MTTO",IF(C430="PLANTA EMERGENCIA","DOTACION RES DE EMERGENCIA",IF(C430="EXTERNOS","DOTACION DE EXTERNO","DOTACION DISPONIBLE")))))))</f>
        <v/>
      </c>
    </row>
    <row r="431" spans="1:5" ht="18">
      <c r="A431" s="85"/>
      <c r="B431" s="104"/>
      <c r="C431" s="3"/>
      <c r="D431" s="78"/>
      <c r="E431" s="22" t="str">
        <f>IF(B431="","",IF(A431=0,"DOT PERDIDA",IF(COUNTIF(ASIGNACIONES!$B$3:$B948,B431)=1,"DOTACION ASIGNADA",IF(C431="VISITAS","DOTACION VISITA",IF(C431="MTTO","DOTACION MTTO",IF(C431="PLANTA EMERGENCIA","DOTACION RES DE EMERGENCIA",IF(C431="EXTERNOS","DOTACION DE EXTERNO","DOTACION DISPONIBLE")))))))</f>
        <v/>
      </c>
    </row>
    <row r="432" spans="1:5" ht="18">
      <c r="A432" s="85"/>
      <c r="B432" s="104"/>
      <c r="C432" s="3"/>
      <c r="D432" s="78"/>
      <c r="E432" s="22" t="str">
        <f>IF(B432="","",IF(A432=0,"DOT PERDIDA",IF(COUNTIF(ASIGNACIONES!$B$3:$B948,B432)=1,"DOTACION ASIGNADA",IF(C432="VISITAS","DOTACION VISITA",IF(C432="MTTO","DOTACION MTTO",IF(C432="PLANTA EMERGENCIA","DOTACION RES DE EMERGENCIA",IF(C432="EXTERNOS","DOTACION DE EXTERNO","DOTACION DISPONIBLE")))))))</f>
        <v/>
      </c>
    </row>
    <row r="433" spans="1:5" ht="18">
      <c r="A433" s="85"/>
      <c r="B433" s="104"/>
      <c r="C433" s="3"/>
      <c r="D433" s="78"/>
      <c r="E433" s="22" t="str">
        <f>IF(B433="","",IF(A433=0,"DOT PERDIDA",IF(COUNTIF(ASIGNACIONES!$B$3:$B948,B433)=1,"DOTACION ASIGNADA",IF(C433="VISITAS","DOTACION VISITA",IF(C433="MTTO","DOTACION MTTO",IF(C433="PLANTA EMERGENCIA","DOTACION RES DE EMERGENCIA",IF(C433="EXTERNOS","DOTACION DE EXTERNO","DOTACION DISPONIBLE")))))))</f>
        <v/>
      </c>
    </row>
    <row r="434" spans="1:5" ht="18">
      <c r="A434" s="85"/>
      <c r="B434" s="104"/>
      <c r="C434" s="3"/>
      <c r="D434" s="78"/>
      <c r="E434" s="22" t="str">
        <f>IF(B434="","",IF(A434=0,"DOT PERDIDA",IF(COUNTIF(ASIGNACIONES!$B$3:$B948,B434)=1,"DOTACION ASIGNADA",IF(C434="VISITAS","DOTACION VISITA",IF(C434="MTTO","DOTACION MTTO",IF(C434="PLANTA EMERGENCIA","DOTACION RES DE EMERGENCIA",IF(C434="EXTERNOS","DOTACION DE EXTERNO","DOTACION DISPONIBLE")))))))</f>
        <v/>
      </c>
    </row>
    <row r="435" spans="1:5" ht="18">
      <c r="A435" s="85"/>
      <c r="B435" s="104"/>
      <c r="C435" s="3"/>
      <c r="D435" s="78"/>
      <c r="E435" s="22" t="str">
        <f>IF(B435="","",IF(A435=0,"DOT PERDIDA",IF(COUNTIF(ASIGNACIONES!$B$3:$B948,B435)=1,"DOTACION ASIGNADA",IF(C435="VISITAS","DOTACION VISITA",IF(C435="MTTO","DOTACION MTTO",IF(C435="PLANTA EMERGENCIA","DOTACION RES DE EMERGENCIA",IF(C435="EXTERNOS","DOTACION DE EXTERNO","DOTACION DISPONIBLE")))))))</f>
        <v/>
      </c>
    </row>
    <row r="436" spans="1:5" ht="18">
      <c r="A436" s="85"/>
      <c r="B436" s="104"/>
      <c r="C436" s="3"/>
      <c r="D436" s="78"/>
      <c r="E436" s="22" t="str">
        <f>IF(B436="","",IF(A436=0,"DOT PERDIDA",IF(COUNTIF(ASIGNACIONES!$B$3:$B948,B436)=1,"DOTACION ASIGNADA",IF(C436="VISITAS","DOTACION VISITA",IF(C436="MTTO","DOTACION MTTO",IF(C436="PLANTA EMERGENCIA","DOTACION RES DE EMERGENCIA",IF(C436="EXTERNOS","DOTACION DE EXTERNO","DOTACION DISPONIBLE")))))))</f>
        <v/>
      </c>
    </row>
    <row r="437" spans="1:5" ht="18">
      <c r="A437" s="85"/>
      <c r="B437" s="104"/>
      <c r="C437" s="3"/>
      <c r="D437" s="78"/>
      <c r="E437" s="22" t="str">
        <f>IF(B437="","",IF(A437=0,"DOT PERDIDA",IF(COUNTIF(ASIGNACIONES!$B$3:$B948,B437)=1,"DOTACION ASIGNADA",IF(C437="VISITAS","DOTACION VISITA",IF(C437="MTTO","DOTACION MTTO",IF(C437="PLANTA EMERGENCIA","DOTACION RES DE EMERGENCIA",IF(C437="EXTERNOS","DOTACION DE EXTERNO","DOTACION DISPONIBLE")))))))</f>
        <v/>
      </c>
    </row>
    <row r="438" spans="1:5" ht="18">
      <c r="A438" s="85"/>
      <c r="B438" s="104"/>
      <c r="C438" s="3"/>
      <c r="D438" s="78"/>
      <c r="E438" s="22" t="str">
        <f>IF(B438="","",IF(A438=0,"DOT PERDIDA",IF(COUNTIF(ASIGNACIONES!$B$4:$B948,B438)=1,"DOTACION ASIGNADA",IF(C438="VISITAS","DOTACION VISITA",IF(C438="MTTO","DOTACION MTTO",IF(C438="PLANTA EMERGENCIA","DOTACION RES DE EMERGENCIA",IF(C438="EXTERNOS","DOTACION DE EXTERNO","DOTACION DISPONIBLE")))))))</f>
        <v/>
      </c>
    </row>
    <row r="439" spans="1:5" ht="18">
      <c r="A439" s="85"/>
      <c r="B439" s="104"/>
      <c r="C439" s="3"/>
      <c r="D439" s="78"/>
      <c r="E439" s="22" t="str">
        <f>IF(B439="","",IF(A439=0,"DOT PERDIDA",IF(COUNTIF(ASIGNACIONES!$B$4:$B948,B439)=1,"DOTACION ASIGNADA",IF(C439="VISITAS","DOTACION VISITA",IF(C439="MTTO","DOTACION MTTO",IF(C439="PLANTA EMERGENCIA","DOTACION RES DE EMERGENCIA",IF(C439="EXTERNOS","DOTACION DE EXTERNO","DOTACION DISPONIBLE")))))))</f>
        <v/>
      </c>
    </row>
    <row r="440" spans="1:5" ht="18">
      <c r="A440" s="85"/>
      <c r="B440" s="104"/>
      <c r="C440" s="3"/>
      <c r="D440" s="78"/>
      <c r="E440" s="22" t="str">
        <f>IF(B440="","",IF(A440=0,"DOT PERDIDA",IF(COUNTIF(ASIGNACIONES!$B$4:$B948,B440)=1,"DOTACION ASIGNADA",IF(C440="VISITAS","DOTACION VISITA",IF(C440="MTTO","DOTACION MTTO",IF(C440="PLANTA EMERGENCIA","DOTACION RES DE EMERGENCIA",IF(C440="EXTERNOS","DOTACION DE EXTERNO","DOTACION DISPONIBLE")))))))</f>
        <v/>
      </c>
    </row>
    <row r="441" spans="1:5" ht="18">
      <c r="A441" s="85"/>
      <c r="B441" s="104"/>
      <c r="C441" s="3"/>
      <c r="D441" s="78"/>
      <c r="E441" s="22" t="str">
        <f>IF(B441="","",IF(A441=0,"DOT PERDIDA",IF(COUNTIF(ASIGNACIONES!$B$4:$B948,B441)=1,"DOTACION ASIGNADA",IF(C441="VISITAS","DOTACION VISITA",IF(C441="MTTO","DOTACION MTTO",IF(C441="PLANTA EMERGENCIA","DOTACION RES DE EMERGENCIA",IF(C441="EXTERNOS","DOTACION DE EXTERNO","DOTACION DISPONIBLE")))))))</f>
        <v/>
      </c>
    </row>
    <row r="442" spans="1:5" ht="18">
      <c r="A442" s="85"/>
      <c r="B442" s="104"/>
      <c r="C442" s="3"/>
      <c r="D442" s="78"/>
      <c r="E442" s="22" t="str">
        <f>IF(B442="","",IF(A442=0,"DOT PERDIDA",IF(COUNTIF(ASIGNACIONES!$B$4:$B948,B442)=1,"DOTACION ASIGNADA",IF(C442="VISITAS","DOTACION VISITA",IF(C442="MTTO","DOTACION MTTO",IF(C442="PLANTA EMERGENCIA","DOTACION RES DE EMERGENCIA",IF(C442="EXTERNOS","DOTACION DE EXTERNO","DOTACION DISPONIBLE")))))))</f>
        <v/>
      </c>
    </row>
    <row r="443" spans="1:5" ht="18">
      <c r="A443" s="85"/>
      <c r="B443" s="104"/>
      <c r="C443" s="3"/>
      <c r="D443" s="78"/>
      <c r="E443" s="22" t="str">
        <f>IF(B443="","",IF(A443=0,"DOT PERDIDA",IF(COUNTIF(ASIGNACIONES!$B$4:$B948,B443)=1,"DOTACION ASIGNADA",IF(C443="VISITAS","DOTACION VISITA",IF(C443="MTTO","DOTACION MTTO",IF(C443="PLANTA EMERGENCIA","DOTACION RES DE EMERGENCIA",IF(C443="EXTERNOS","DOTACION DE EXTERNO","DOTACION DISPONIBLE")))))))</f>
        <v/>
      </c>
    </row>
    <row r="444" spans="1:5" ht="18">
      <c r="A444" s="85"/>
      <c r="B444" s="104"/>
      <c r="C444" s="3"/>
      <c r="D444" s="78"/>
      <c r="E444" s="22" t="str">
        <f>IF(B444="","",IF(A444=0,"DOT PERDIDA",IF(COUNTIF(ASIGNACIONES!$B$4:$B948,B444)=1,"DOTACION ASIGNADA",IF(C444="VISITAS","DOTACION VISITA",IF(C444="MTTO","DOTACION MTTO",IF(C444="PLANTA EMERGENCIA","DOTACION RES DE EMERGENCIA",IF(C444="EXTERNOS","DOTACION DE EXTERNO","DOTACION DISPONIBLE")))))))</f>
        <v/>
      </c>
    </row>
    <row r="445" spans="1:5" ht="18">
      <c r="A445" s="85"/>
      <c r="B445" s="104"/>
      <c r="C445" s="3"/>
      <c r="D445" s="78"/>
      <c r="E445" s="22" t="str">
        <f>IF(B445="","",IF(A445=0,"DOT PERDIDA",IF(COUNTIF(ASIGNACIONES!$B$4:$B948,B445)=1,"DOTACION ASIGNADA",IF(C445="VISITAS","DOTACION VISITA",IF(C445="MTTO","DOTACION MTTO",IF(C445="PLANTA EMERGENCIA","DOTACION RES DE EMERGENCIA",IF(C445="EXTERNOS","DOTACION DE EXTERNO","DOTACION DISPONIBLE")))))))</f>
        <v/>
      </c>
    </row>
    <row r="446" spans="1:5" ht="18">
      <c r="A446" s="85"/>
      <c r="B446" s="104"/>
      <c r="C446" s="3"/>
      <c r="D446" s="78"/>
      <c r="E446" s="22" t="str">
        <f>IF(B446="","",IF(A446=0,"DOT PERDIDA",IF(COUNTIF(ASIGNACIONES!$B$4:$B948,B446)=1,"DOTACION ASIGNADA",IF(C446="VISITAS","DOTACION VISITA",IF(C446="MTTO","DOTACION MTTO",IF(C446="PLANTA EMERGENCIA","DOTACION RES DE EMERGENCIA",IF(C446="EXTERNOS","DOTACION DE EXTERNO","DOTACION DISPONIBLE")))))))</f>
        <v/>
      </c>
    </row>
    <row r="447" spans="1:5" ht="18">
      <c r="A447" s="85"/>
      <c r="B447" s="104"/>
      <c r="C447" s="3"/>
      <c r="D447" s="78"/>
      <c r="E447" s="22" t="str">
        <f>IF(B447="","",IF(A447=0,"DOT PERDIDA",IF(COUNTIF(ASIGNACIONES!$B$4:$B948,B447)=1,"DOTACION ASIGNADA",IF(C447="VISITAS","DOTACION VISITA",IF(C447="MTTO","DOTACION MTTO",IF(C447="PLANTA EMERGENCIA","DOTACION RES DE EMERGENCIA",IF(C447="EXTERNOS","DOTACION DE EXTERNO","DOTACION DISPONIBLE")))))))</f>
        <v/>
      </c>
    </row>
    <row r="448" spans="1:5" ht="18">
      <c r="A448" s="85"/>
      <c r="B448" s="104"/>
      <c r="C448" s="3"/>
      <c r="D448" s="78"/>
      <c r="E448" s="22" t="str">
        <f>IF(B448="","",IF(A448=0,"DOT PERDIDA",IF(COUNTIF(ASIGNACIONES!$B$4:$B948,B448)=1,"DOTACION ASIGNADA",IF(C448="VISITAS","DOTACION VISITA",IF(C448="MTTO","DOTACION MTTO",IF(C448="PLANTA EMERGENCIA","DOTACION RES DE EMERGENCIA",IF(C448="EXTERNOS","DOTACION DE EXTERNO","DOTACION DISPONIBLE")))))))</f>
        <v/>
      </c>
    </row>
    <row r="449" spans="1:5" ht="18">
      <c r="A449" s="85"/>
      <c r="B449" s="104"/>
      <c r="C449" s="3"/>
      <c r="D449" s="78"/>
      <c r="E449" s="22" t="str">
        <f>IF(B449="","",IF(A449=0,"DOT PERDIDA",IF(COUNTIF(ASIGNACIONES!$B$4:$B948,B449)=1,"DOTACION ASIGNADA",IF(C449="VISITAS","DOTACION VISITA",IF(C449="MTTO","DOTACION MTTO",IF(C449="PLANTA EMERGENCIA","DOTACION RES DE EMERGENCIA",IF(C449="EXTERNOS","DOTACION DE EXTERNO","DOTACION DISPONIBLE")))))))</f>
        <v/>
      </c>
    </row>
    <row r="450" spans="1:5" ht="18">
      <c r="A450" s="85"/>
      <c r="B450" s="104"/>
      <c r="C450" s="3"/>
      <c r="D450" s="78"/>
      <c r="E450" s="22" t="str">
        <f>IF(B450="","",IF(A450=0,"DOT PERDIDA",IF(COUNTIF(ASIGNACIONES!$B$4:$B948,B450)=1,"DOTACION ASIGNADA",IF(C450="VISITAS","DOTACION VISITA",IF(C450="MTTO","DOTACION MTTO",IF(C450="PLANTA EMERGENCIA","DOTACION RES DE EMERGENCIA",IF(C450="EXTERNOS","DOTACION DE EXTERNO","DOTACION DISPONIBLE")))))))</f>
        <v/>
      </c>
    </row>
    <row r="451" spans="1:5" ht="18">
      <c r="A451" s="85"/>
      <c r="B451" s="104"/>
      <c r="C451" s="3"/>
      <c r="D451" s="78"/>
      <c r="E451" s="22" t="str">
        <f>IF(B451="","",IF(A451=0,"DOT PERDIDA",IF(COUNTIF(ASIGNACIONES!$B$4:$B948,B451)=1,"DOTACION ASIGNADA",IF(C451="VISITAS","DOTACION VISITA",IF(C451="MTTO","DOTACION MTTO",IF(C451="PLANTA EMERGENCIA","DOTACION RES DE EMERGENCIA",IF(C451="EXTERNOS","DOTACION DE EXTERNO","DOTACION DISPONIBLE")))))))</f>
        <v/>
      </c>
    </row>
    <row r="452" spans="1:5" ht="18">
      <c r="A452" s="85"/>
      <c r="B452" s="104"/>
      <c r="C452" s="3"/>
      <c r="D452" s="78"/>
      <c r="E452" s="22" t="str">
        <f>IF(B452="","",IF(A452=0,"DOT PERDIDA",IF(COUNTIF(ASIGNACIONES!$B$4:$B948,B452)=1,"DOTACION ASIGNADA",IF(C452="VISITAS","DOTACION VISITA",IF(C452="MTTO","DOTACION MTTO",IF(C452="PLANTA EMERGENCIA","DOTACION RES DE EMERGENCIA",IF(C452="EXTERNOS","DOTACION DE EXTERNO","DOTACION DISPONIBLE")))))))</f>
        <v/>
      </c>
    </row>
    <row r="453" spans="1:5" ht="18">
      <c r="A453" s="85"/>
      <c r="B453" s="104"/>
      <c r="C453" s="3"/>
      <c r="D453" s="78"/>
      <c r="E453" s="22" t="str">
        <f>IF(B453="","",IF(A453=0,"DOT PERDIDA",IF(COUNTIF(ASIGNACIONES!$B$4:$B948,B453)=1,"DOTACION ASIGNADA",IF(C453="VISITAS","DOTACION VISITA",IF(C453="MTTO","DOTACION MTTO",IF(C453="PLANTA EMERGENCIA","DOTACION RES DE EMERGENCIA",IF(C453="EXTERNOS","DOTACION DE EXTERNO","DOTACION DISPONIBLE")))))))</f>
        <v/>
      </c>
    </row>
    <row r="454" spans="1:5" ht="18">
      <c r="A454" s="85"/>
      <c r="B454" s="104"/>
      <c r="C454" s="3"/>
      <c r="D454" s="78"/>
      <c r="E454" s="22" t="str">
        <f>IF(B454="","",IF(A454=0,"DOT PERDIDA",IF(COUNTIF(ASIGNACIONES!$B$4:$B948,B454)=1,"DOTACION ASIGNADA",IF(C454="VISITAS","DOTACION VISITA",IF(C454="MTTO","DOTACION MTTO",IF(C454="PLANTA EMERGENCIA","DOTACION RES DE EMERGENCIA",IF(C454="EXTERNOS","DOTACION DE EXTERNO","DOTACION DISPONIBLE")))))))</f>
        <v/>
      </c>
    </row>
    <row r="455" spans="1:5" ht="18">
      <c r="A455" s="85"/>
      <c r="B455" s="104"/>
      <c r="C455" s="3"/>
      <c r="D455" s="78"/>
      <c r="E455" s="22" t="str">
        <f>IF(B455="","",IF(A455=0,"DOT PERDIDA",IF(COUNTIF(ASIGNACIONES!$B$4:$B948,B455)=1,"DOTACION ASIGNADA",IF(C455="VISITAS","DOTACION VISITA",IF(C455="MTTO","DOTACION MTTO",IF(C455="PLANTA EMERGENCIA","DOTACION RES DE EMERGENCIA",IF(C455="EXTERNOS","DOTACION DE EXTERNO","DOTACION DISPONIBLE")))))))</f>
        <v/>
      </c>
    </row>
    <row r="456" spans="1:5" ht="18">
      <c r="A456" s="85"/>
      <c r="B456" s="104"/>
      <c r="C456" s="3"/>
      <c r="D456" s="78"/>
      <c r="E456" s="22" t="str">
        <f>IF(B456="","",IF(A456=0,"DOT PERDIDA",IF(COUNTIF(ASIGNACIONES!$B$4:$B948,B456)=1,"DOTACION ASIGNADA",IF(C456="VISITAS","DOTACION VISITA",IF(C456="MTTO","DOTACION MTTO",IF(C456="PLANTA EMERGENCIA","DOTACION RES DE EMERGENCIA",IF(C456="EXTERNOS","DOTACION DE EXTERNO","DOTACION DISPONIBLE")))))))</f>
        <v/>
      </c>
    </row>
    <row r="457" spans="1:5" ht="18">
      <c r="A457" s="85"/>
      <c r="B457" s="104"/>
      <c r="C457" s="3"/>
      <c r="D457" s="78"/>
      <c r="E457" s="22" t="str">
        <f>IF(B457="","",IF(A457=0,"DOT PERDIDA",IF(COUNTIF(ASIGNACIONES!$B$4:$B948,B457)=1,"DOTACION ASIGNADA",IF(C457="VISITAS","DOTACION VISITA",IF(C457="MTTO","DOTACION MTTO",IF(C457="PLANTA EMERGENCIA","DOTACION RES DE EMERGENCIA",IF(C457="EXTERNOS","DOTACION DE EXTERNO","DOTACION DISPONIBLE")))))))</f>
        <v/>
      </c>
    </row>
    <row r="458" spans="1:5" ht="18">
      <c r="A458" s="85"/>
      <c r="B458" s="104"/>
      <c r="C458" s="3"/>
      <c r="D458" s="78"/>
      <c r="E458" s="22" t="str">
        <f>IF(B458="","",IF(A458=0,"DOT PERDIDA",IF(COUNTIF(ASIGNACIONES!$B$4:$B948,B458)=1,"DOTACION ASIGNADA",IF(C458="VISITAS","DOTACION VISITA",IF(C458="MTTO","DOTACION MTTO",IF(C458="PLANTA EMERGENCIA","DOTACION RES DE EMERGENCIA",IF(C458="EXTERNOS","DOTACION DE EXTERNO","DOTACION DISPONIBLE")))))))</f>
        <v/>
      </c>
    </row>
    <row r="459" spans="1:5" ht="18">
      <c r="A459" s="85"/>
      <c r="B459" s="104"/>
      <c r="C459" s="3"/>
      <c r="D459" s="78"/>
      <c r="E459" s="22" t="str">
        <f>IF(B459="","",IF(A459=0,"DOT PERDIDA",IF(COUNTIF(ASIGNACIONES!$B$4:$B948,B459)=1,"DOTACION ASIGNADA",IF(C459="VISITAS","DOTACION VISITA",IF(C459="MTTO","DOTACION MTTO",IF(C459="PLANTA EMERGENCIA","DOTACION RES DE EMERGENCIA",IF(C459="EXTERNOS","DOTACION DE EXTERNO","DOTACION DISPONIBLE")))))))</f>
        <v/>
      </c>
    </row>
    <row r="460" spans="1:5" ht="18">
      <c r="A460" s="85"/>
      <c r="B460" s="104"/>
      <c r="C460" s="3"/>
      <c r="D460" s="78"/>
      <c r="E460" s="22" t="str">
        <f>IF(B460="","",IF(A460=0,"DOT PERDIDA",IF(COUNTIF(ASIGNACIONES!$B$4:$B948,B460)=1,"DOTACION ASIGNADA",IF(C460="VISITAS","DOTACION VISITA",IF(C460="MTTO","DOTACION MTTO",IF(C460="PLANTA EMERGENCIA","DOTACION RES DE EMERGENCIA",IF(C460="EXTERNOS","DOTACION DE EXTERNO","DOTACION DISPONIBLE")))))))</f>
        <v/>
      </c>
    </row>
    <row r="461" spans="1:5" ht="18">
      <c r="A461" s="85"/>
      <c r="B461" s="104"/>
      <c r="C461" s="3"/>
      <c r="D461" s="78"/>
      <c r="E461" s="22" t="str">
        <f>IF(B461="","",IF(A461=0,"DOT PERDIDA",IF(COUNTIF(ASIGNACIONES!$B$4:$B948,B461)=1,"DOTACION ASIGNADA",IF(C461="VISITAS","DOTACION VISITA",IF(C461="MTTO","DOTACION MTTO",IF(C461="PLANTA EMERGENCIA","DOTACION RES DE EMERGENCIA",IF(C461="EXTERNOS","DOTACION DE EXTERNO","DOTACION DISPONIBLE")))))))</f>
        <v/>
      </c>
    </row>
    <row r="462" spans="1:5" ht="18">
      <c r="A462" s="85"/>
      <c r="B462" s="104"/>
      <c r="C462" s="3"/>
      <c r="D462" s="78"/>
      <c r="E462" s="22" t="str">
        <f>IF(B462="","",IF(A462=0,"DOT PERDIDA",IF(COUNTIF(ASIGNACIONES!$B$4:$B948,B462)=1,"DOTACION ASIGNADA",IF(C462="VISITAS","DOTACION VISITA",IF(C462="MTTO","DOTACION MTTO",IF(C462="PLANTA EMERGENCIA","DOTACION RES DE EMERGENCIA",IF(C462="EXTERNOS","DOTACION DE EXTERNO","DOTACION DISPONIBLE")))))))</f>
        <v/>
      </c>
    </row>
    <row r="463" spans="1:5" ht="18">
      <c r="A463" s="85"/>
      <c r="B463" s="104"/>
      <c r="C463" s="3"/>
      <c r="D463" s="78"/>
      <c r="E463" s="22" t="str">
        <f>IF(B463="","",IF(A463=0,"DOT PERDIDA",IF(COUNTIF(ASIGNACIONES!$B$4:$B948,B463)=1,"DOTACION ASIGNADA",IF(C463="VISITAS","DOTACION VISITA",IF(C463="MTTO","DOTACION MTTO",IF(C463="PLANTA EMERGENCIA","DOTACION RES DE EMERGENCIA",IF(C463="EXTERNOS","DOTACION DE EXTERNO","DOTACION DISPONIBLE")))))))</f>
        <v/>
      </c>
    </row>
    <row r="464" spans="1:5" ht="18">
      <c r="A464" s="85"/>
      <c r="B464" s="104"/>
      <c r="C464" s="3"/>
      <c r="D464" s="78"/>
      <c r="E464" s="22" t="str">
        <f>IF(B464="","",IF(A464=0,"DOT PERDIDA",IF(COUNTIF(ASIGNACIONES!$B$4:$B948,B464)=1,"DOTACION ASIGNADA",IF(C464="VISITAS","DOTACION VISITA",IF(C464="MTTO","DOTACION MTTO",IF(C464="PLANTA EMERGENCIA","DOTACION RES DE EMERGENCIA",IF(C464="EXTERNOS","DOTACION DE EXTERNO","DOTACION DISPONIBLE")))))))</f>
        <v/>
      </c>
    </row>
    <row r="465" spans="1:5" ht="18">
      <c r="A465" s="85"/>
      <c r="B465" s="104"/>
      <c r="C465" s="3"/>
      <c r="D465" s="78"/>
      <c r="E465" s="22" t="str">
        <f>IF(B465="","",IF(A465=0,"DOT PERDIDA",IF(COUNTIF(ASIGNACIONES!$B$4:$B948,B465)=1,"DOTACION ASIGNADA",IF(C465="VISITAS","DOTACION VISITA",IF(C465="MTTO","DOTACION MTTO",IF(C465="PLANTA EMERGENCIA","DOTACION RES DE EMERGENCIA",IF(C465="EXTERNOS","DOTACION DE EXTERNO","DOTACION DISPONIBLE")))))))</f>
        <v/>
      </c>
    </row>
    <row r="466" spans="1:5" ht="18">
      <c r="A466" s="85"/>
      <c r="B466" s="104"/>
      <c r="C466" s="3"/>
      <c r="D466" s="78"/>
      <c r="E466" s="22" t="str">
        <f>IF(B466="","",IF(A466=0,"DOT PERDIDA",IF(COUNTIF(ASIGNACIONES!$B$4:$B948,B466)=1,"DOTACION ASIGNADA",IF(C466="VISITAS","DOTACION VISITA",IF(C466="MTTO","DOTACION MTTO",IF(C466="PLANTA EMERGENCIA","DOTACION RES DE EMERGENCIA",IF(C466="EXTERNOS","DOTACION DE EXTERNO","DOTACION DISPONIBLE")))))))</f>
        <v/>
      </c>
    </row>
    <row r="467" spans="1:5" ht="18">
      <c r="A467" s="85"/>
      <c r="B467" s="104"/>
      <c r="C467" s="3"/>
      <c r="D467" s="78"/>
      <c r="E467" s="22" t="str">
        <f>IF(B467="","",IF(A467=0,"DOT PERDIDA",IF(COUNTIF(ASIGNACIONES!$B$4:$B948,B467)=1,"DOTACION ASIGNADA",IF(C467="VISITAS","DOTACION VISITA",IF(C467="MTTO","DOTACION MTTO",IF(C467="PLANTA EMERGENCIA","DOTACION RES DE EMERGENCIA",IF(C467="EXTERNOS","DOTACION DE EXTERNO","DOTACION DISPONIBLE")))))))</f>
        <v/>
      </c>
    </row>
    <row r="468" spans="1:5" ht="18">
      <c r="A468" s="85"/>
      <c r="B468" s="104"/>
      <c r="C468" s="3"/>
      <c r="D468" s="78"/>
      <c r="E468" s="22" t="str">
        <f>IF(B468="","",IF(A468=0,"DOT PERDIDA",IF(COUNTIF(ASIGNACIONES!$B$4:$B948,B468)=1,"DOTACION ASIGNADA",IF(C468="VISITAS","DOTACION VISITA",IF(C468="MTTO","DOTACION MTTO",IF(C468="PLANTA EMERGENCIA","DOTACION RES DE EMERGENCIA",IF(C468="EXTERNOS","DOTACION DE EXTERNO","DOTACION DISPONIBLE")))))))</f>
        <v/>
      </c>
    </row>
    <row r="469" spans="1:5" ht="18">
      <c r="A469" s="85"/>
      <c r="B469" s="104"/>
      <c r="C469" s="3"/>
      <c r="D469" s="78"/>
      <c r="E469" s="22" t="str">
        <f>IF(B469="","",IF(A469=0,"DOT PERDIDA",IF(COUNTIF(ASIGNACIONES!$B$4:$B948,B469)=1,"DOTACION ASIGNADA",IF(C469="VISITAS","DOTACION VISITA",IF(C469="MTTO","DOTACION MTTO",IF(C469="PLANTA EMERGENCIA","DOTACION RES DE EMERGENCIA",IF(C469="EXTERNOS","DOTACION DE EXTERNO","DOTACION DISPONIBLE")))))))</f>
        <v/>
      </c>
    </row>
    <row r="470" spans="1:5" ht="18">
      <c r="A470" s="85"/>
      <c r="B470" s="104"/>
      <c r="C470" s="3"/>
      <c r="D470" s="78"/>
      <c r="E470" s="22" t="str">
        <f>IF(B470="","",IF(A470=0,"DOT PERDIDA",IF(COUNTIF(ASIGNACIONES!$B$4:$B948,B470)=1,"DOTACION ASIGNADA",IF(C470="VISITAS","DOTACION VISITA",IF(C470="MTTO","DOTACION MTTO",IF(C470="PLANTA EMERGENCIA","DOTACION RES DE EMERGENCIA",IF(C470="EXTERNOS","DOTACION DE EXTERNO","DOTACION DISPONIBLE")))))))</f>
        <v/>
      </c>
    </row>
    <row r="471" spans="1:5" ht="18">
      <c r="A471" s="85"/>
      <c r="B471" s="104"/>
      <c r="C471" s="3"/>
      <c r="D471" s="78"/>
      <c r="E471" s="22" t="str">
        <f>IF(B471="","",IF(A471=0,"DOT PERDIDA",IF(COUNTIF(ASIGNACIONES!$B$4:$B948,B471)=1,"DOTACION ASIGNADA",IF(C471="VISITAS","DOTACION VISITA",IF(C471="MTTO","DOTACION MTTO",IF(C471="PLANTA EMERGENCIA","DOTACION RES DE EMERGENCIA",IF(C471="EXTERNOS","DOTACION DE EXTERNO","DOTACION DISPONIBLE")))))))</f>
        <v/>
      </c>
    </row>
    <row r="472" spans="1:5" ht="18">
      <c r="A472" s="85"/>
      <c r="B472" s="104"/>
      <c r="C472" s="3"/>
      <c r="D472" s="78"/>
      <c r="E472" s="22" t="str">
        <f>IF(B472="","",IF(A472=0,"DOT PERDIDA",IF(COUNTIF(ASIGNACIONES!$B$4:$B948,B472)=1,"DOTACION ASIGNADA",IF(C472="VISITAS","DOTACION VISITA",IF(C472="MTTO","DOTACION MTTO",IF(C472="PLANTA EMERGENCIA","DOTACION RES DE EMERGENCIA",IF(C472="EXTERNOS","DOTACION DE EXTERNO","DOTACION DISPONIBLE")))))))</f>
        <v/>
      </c>
    </row>
    <row r="473" spans="1:5" ht="18">
      <c r="A473" s="85"/>
      <c r="B473" s="104"/>
      <c r="C473" s="3"/>
      <c r="D473" s="78"/>
      <c r="E473" s="22" t="str">
        <f>IF(B473="","",IF(A473=0,"DOT PERDIDA",IF(COUNTIF(ASIGNACIONES!$B$4:$B948,B473)=1,"DOTACION ASIGNADA",IF(C473="VISITAS","DOTACION VISITA",IF(C473="MTTO","DOTACION MTTO",IF(C473="PLANTA EMERGENCIA","DOTACION RES DE EMERGENCIA",IF(C473="EXTERNOS","DOTACION DE EXTERNO","DOTACION DISPONIBLE")))))))</f>
        <v/>
      </c>
    </row>
    <row r="474" spans="1:5" ht="18">
      <c r="A474" s="85"/>
      <c r="B474" s="104"/>
      <c r="C474" s="3"/>
      <c r="D474" s="78"/>
      <c r="E474" s="22" t="str">
        <f>IF(B474="","",IF(A474=0,"DOT PERDIDA",IF(COUNTIF(ASIGNACIONES!$B$4:$B948,B474)=1,"DOTACION ASIGNADA",IF(C474="VISITAS","DOTACION VISITA",IF(C474="MTTO","DOTACION MTTO",IF(C474="PLANTA EMERGENCIA","DOTACION RES DE EMERGENCIA",IF(C474="EXTERNOS","DOTACION DE EXTERNO","DOTACION DISPONIBLE")))))))</f>
        <v/>
      </c>
    </row>
    <row r="475" spans="1:5" ht="18">
      <c r="A475" s="85"/>
      <c r="B475" s="104"/>
      <c r="C475" s="3"/>
      <c r="D475" s="78"/>
      <c r="E475" s="22" t="str">
        <f>IF(B475="","",IF(A475=0,"DOT PERDIDA",IF(COUNTIF(ASIGNACIONES!$B$4:$B948,B475)=1,"DOTACION ASIGNADA",IF(C475="VISITAS","DOTACION VISITA",IF(C475="MTTO","DOTACION MTTO",IF(C475="PLANTA EMERGENCIA","DOTACION RES DE EMERGENCIA",IF(C475="EXTERNOS","DOTACION DE EXTERNO","DOTACION DISPONIBLE")))))))</f>
        <v/>
      </c>
    </row>
    <row r="476" spans="1:5" ht="18">
      <c r="A476" s="85"/>
      <c r="B476" s="104"/>
      <c r="C476" s="3"/>
      <c r="D476" s="78"/>
      <c r="E476" s="22" t="str">
        <f>IF(B476="","",IF(A476=0,"DOT PERDIDA",IF(COUNTIF(ASIGNACIONES!$B$4:$B948,B476)=1,"DOTACION ASIGNADA",IF(C476="VISITAS","DOTACION VISITA",IF(C476="MTTO","DOTACION MTTO",IF(C476="PLANTA EMERGENCIA","DOTACION RES DE EMERGENCIA",IF(C476="EXTERNOS","DOTACION DE EXTERNO","DOTACION DISPONIBLE")))))))</f>
        <v/>
      </c>
    </row>
    <row r="477" spans="1:5" ht="18">
      <c r="A477" s="85"/>
      <c r="B477" s="104"/>
      <c r="C477" s="3"/>
      <c r="D477" s="78"/>
      <c r="E477" s="22" t="str">
        <f>IF(B477="","",IF(A477=0,"DOT PERDIDA",IF(COUNTIF(ASIGNACIONES!$B$4:$B948,B477)=1,"DOTACION ASIGNADA",IF(C477="VISITAS","DOTACION VISITA",IF(C477="MTTO","DOTACION MTTO",IF(C477="PLANTA EMERGENCIA","DOTACION RES DE EMERGENCIA",IF(C477="EXTERNOS","DOTACION DE EXTERNO","DOTACION DISPONIBLE")))))))</f>
        <v/>
      </c>
    </row>
    <row r="478" spans="1:5" ht="18">
      <c r="A478" s="85"/>
      <c r="B478" s="104"/>
      <c r="C478" s="3"/>
      <c r="D478" s="78"/>
      <c r="E478" s="22" t="str">
        <f>IF(B478="","",IF(A478=0,"DOT PERDIDA",IF(COUNTIF(ASIGNACIONES!$B$4:$B948,B478)=1,"DOTACION ASIGNADA",IF(C478="VISITAS","DOTACION VISITA",IF(C478="MTTO","DOTACION MTTO",IF(C478="PLANTA EMERGENCIA","DOTACION RES DE EMERGENCIA",IF(C478="EXTERNOS","DOTACION DE EXTERNO","DOTACION DISPONIBLE")))))))</f>
        <v/>
      </c>
    </row>
    <row r="479" spans="1:5" ht="18">
      <c r="A479" s="85"/>
      <c r="B479" s="104"/>
      <c r="C479" s="3"/>
      <c r="D479" s="78"/>
      <c r="E479" s="22" t="str">
        <f>IF(B479="","",IF(A479=0,"DOT PERDIDA",IF(COUNTIF(ASIGNACIONES!$B$4:$B948,B479)=1,"DOTACION ASIGNADA",IF(C479="VISITAS","DOTACION VISITA",IF(C479="MTTO","DOTACION MTTO",IF(C479="PLANTA EMERGENCIA","DOTACION RES DE EMERGENCIA",IF(C479="EXTERNOS","DOTACION DE EXTERNO","DOTACION DISPONIBLE")))))))</f>
        <v/>
      </c>
    </row>
    <row r="480" spans="1:5" ht="18">
      <c r="A480" s="85"/>
      <c r="B480" s="104"/>
      <c r="C480" s="3"/>
      <c r="D480" s="78"/>
      <c r="E480" s="22" t="str">
        <f>IF(B480="","",IF(A480=0,"DOT PERDIDA",IF(COUNTIF(ASIGNACIONES!$B$4:$B948,B480)=1,"DOTACION ASIGNADA",IF(C480="VISITAS","DOTACION VISITA",IF(C480="MTTO","DOTACION MTTO",IF(C480="PLANTA EMERGENCIA","DOTACION RES DE EMERGENCIA",IF(C480="EXTERNOS","DOTACION DE EXTERNO","DOTACION DISPONIBLE")))))))</f>
        <v/>
      </c>
    </row>
    <row r="481" spans="1:5" ht="18">
      <c r="A481" s="85"/>
      <c r="B481" s="104"/>
      <c r="C481" s="3"/>
      <c r="D481" s="78"/>
      <c r="E481" s="22" t="str">
        <f>IF(B481="","",IF(A481=0,"DOT PERDIDA",IF(COUNTIF(ASIGNACIONES!$B$4:$B948,B481)=1,"DOTACION ASIGNADA",IF(C481="VISITAS","DOTACION VISITA",IF(C481="MTTO","DOTACION MTTO",IF(C481="PLANTA EMERGENCIA","DOTACION RES DE EMERGENCIA",IF(C481="EXTERNOS","DOTACION DE EXTERNO","DOTACION DISPONIBLE")))))))</f>
        <v/>
      </c>
    </row>
    <row r="482" spans="1:5" ht="18">
      <c r="A482" s="85"/>
      <c r="B482" s="104"/>
      <c r="C482" s="3"/>
      <c r="D482" s="78"/>
      <c r="E482" s="22" t="str">
        <f>IF(B482="","",IF(A482=0,"DOT PERDIDA",IF(COUNTIF(ASIGNACIONES!$B$4:$B948,B482)=1,"DOTACION ASIGNADA",IF(C482="VISITAS","DOTACION VISITA",IF(C482="MTTO","DOTACION MTTO",IF(C482="PLANTA EMERGENCIA","DOTACION RES DE EMERGENCIA",IF(C482="EXTERNOS","DOTACION DE EXTERNO","DOTACION DISPONIBLE")))))))</f>
        <v/>
      </c>
    </row>
    <row r="483" spans="1:5" ht="18">
      <c r="A483" s="85"/>
      <c r="B483" s="104"/>
      <c r="C483" s="3"/>
      <c r="D483" s="78"/>
      <c r="E483" s="22" t="str">
        <f>IF(B483="","",IF(A483=0,"DOT PERDIDA",IF(COUNTIF(ASIGNACIONES!$B$4:$B948,B483)=1,"DOTACION ASIGNADA",IF(C483="VISITAS","DOTACION VISITA",IF(C483="MTTO","DOTACION MTTO",IF(C483="PLANTA EMERGENCIA","DOTACION RES DE EMERGENCIA",IF(C483="EXTERNOS","DOTACION DE EXTERNO","DOTACION DISPONIBLE")))))))</f>
        <v/>
      </c>
    </row>
    <row r="484" spans="1:5" ht="18">
      <c r="A484" s="85"/>
      <c r="B484" s="104"/>
      <c r="C484" s="3"/>
      <c r="D484" s="78"/>
      <c r="E484" s="22" t="str">
        <f>IF(B484="","",IF(A484=0,"DOT PERDIDA",IF(COUNTIF(ASIGNACIONES!$B$4:$B948,B484)=1,"DOTACION ASIGNADA",IF(C484="VISITAS","DOTACION VISITA",IF(C484="MTTO","DOTACION MTTO",IF(C484="PLANTA EMERGENCIA","DOTACION RES DE EMERGENCIA",IF(C484="EXTERNOS","DOTACION DE EXTERNO","DOTACION DISPONIBLE")))))))</f>
        <v/>
      </c>
    </row>
    <row r="485" spans="1:5" ht="18">
      <c r="A485" s="85"/>
      <c r="B485" s="104"/>
      <c r="C485" s="3"/>
      <c r="D485" s="78"/>
      <c r="E485" s="22" t="str">
        <f>IF(B485="","",IF(A485=0,"DOT PERDIDA",IF(COUNTIF(ASIGNACIONES!$B$4:$B948,B485)=1,"DOTACION ASIGNADA",IF(C485="VISITAS","DOTACION VISITA",IF(C485="MTTO","DOTACION MTTO",IF(C485="PLANTA EMERGENCIA","DOTACION RES DE EMERGENCIA",IF(C485="EXTERNOS","DOTACION DE EXTERNO","DOTACION DISPONIBLE")))))))</f>
        <v/>
      </c>
    </row>
    <row r="486" spans="1:5" ht="18">
      <c r="A486" s="85"/>
      <c r="B486" s="104"/>
      <c r="C486" s="3"/>
      <c r="D486" s="78"/>
      <c r="E486" s="22" t="str">
        <f>IF(B486="","",IF(A486=0,"DOT PERDIDA",IF(COUNTIF(ASIGNACIONES!$B$4:$B948,B486)=1,"DOTACION ASIGNADA",IF(C486="VISITAS","DOTACION VISITA",IF(C486="MTTO","DOTACION MTTO",IF(C486="PLANTA EMERGENCIA","DOTACION RES DE EMERGENCIA",IF(C486="EXTERNOS","DOTACION DE EXTERNO","DOTACION DISPONIBLE")))))))</f>
        <v/>
      </c>
    </row>
    <row r="487" spans="1:5" ht="18">
      <c r="A487" s="85"/>
      <c r="B487" s="104"/>
      <c r="C487" s="3"/>
      <c r="D487" s="78"/>
      <c r="E487" s="22" t="str">
        <f>IF(B487="","",IF(A487=0,"DOT PERDIDA",IF(COUNTIF(ASIGNACIONES!$B$4:$B948,B487)=1,"DOTACION ASIGNADA",IF(C487="VISITAS","DOTACION VISITA",IF(C487="MTTO","DOTACION MTTO",IF(C487="PLANTA EMERGENCIA","DOTACION RES DE EMERGENCIA",IF(C487="EXTERNOS","DOTACION DE EXTERNO","DOTACION DISPONIBLE")))))))</f>
        <v/>
      </c>
    </row>
    <row r="488" spans="1:5" ht="18">
      <c r="A488" s="85"/>
      <c r="B488" s="104"/>
      <c r="C488" s="3"/>
      <c r="D488" s="78"/>
      <c r="E488" s="22" t="str">
        <f>IF(B488="","",IF(A488=0,"DOT PERDIDA",IF(COUNTIF(ASIGNACIONES!$B$4:$B948,B488)=1,"DOTACION ASIGNADA",IF(C488="VISITAS","DOTACION VISITA",IF(C488="MTTO","DOTACION MTTO",IF(C488="PLANTA EMERGENCIA","DOTACION RES DE EMERGENCIA",IF(C488="EXTERNOS","DOTACION DE EXTERNO","DOTACION DISPONIBLE")))))))</f>
        <v/>
      </c>
    </row>
    <row r="489" spans="1:5" ht="18">
      <c r="A489" s="85"/>
      <c r="B489" s="104"/>
      <c r="C489" s="3"/>
      <c r="D489" s="78"/>
      <c r="E489" s="22" t="str">
        <f>IF(B489="","",IF(A489=0,"DOT PERDIDA",IF(COUNTIF(ASIGNACIONES!$B$4:$B948,B489)=1,"DOTACION ASIGNADA",IF(C489="VISITAS","DOTACION VISITA",IF(C489="MTTO","DOTACION MTTO",IF(C489="PLANTA EMERGENCIA","DOTACION RES DE EMERGENCIA",IF(C489="EXTERNOS","DOTACION DE EXTERNO","DOTACION DISPONIBLE")))))))</f>
        <v/>
      </c>
    </row>
    <row r="490" spans="1:5" ht="18">
      <c r="A490" s="85"/>
      <c r="B490" s="104"/>
      <c r="C490" s="3"/>
      <c r="D490" s="78"/>
      <c r="E490" s="22" t="str">
        <f>IF(B490="","",IF(A490=0,"DOT PERDIDA",IF(COUNTIF(ASIGNACIONES!$B$4:$B948,B490)=1,"DOTACION ASIGNADA",IF(C490="VISITAS","DOTACION VISITA",IF(C490="MTTO","DOTACION MTTO",IF(C490="PLANTA EMERGENCIA","DOTACION RES DE EMERGENCIA",IF(C490="EXTERNOS","DOTACION DE EXTERNO","DOTACION DISPONIBLE")))))))</f>
        <v/>
      </c>
    </row>
    <row r="491" spans="1:5" ht="18">
      <c r="A491" s="85"/>
      <c r="B491" s="104"/>
      <c r="C491" s="3"/>
      <c r="D491" s="78"/>
      <c r="E491" s="22" t="str">
        <f>IF(B491="","",IF(A491=0,"DOT PERDIDA",IF(COUNTIF(ASIGNACIONES!$B$4:$B948,B491)=1,"DOTACION ASIGNADA",IF(C491="VISITAS","DOTACION VISITA",IF(C491="MTTO","DOTACION MTTO",IF(C491="PLANTA EMERGENCIA","DOTACION RES DE EMERGENCIA",IF(C491="EXTERNOS","DOTACION DE EXTERNO","DOTACION DISPONIBLE")))))))</f>
        <v/>
      </c>
    </row>
    <row r="492" spans="1:5" ht="18">
      <c r="A492" s="85"/>
      <c r="B492" s="104"/>
      <c r="C492" s="3"/>
      <c r="D492" s="78"/>
      <c r="E492" s="22" t="str">
        <f>IF(B492="","",IF(A492=0,"DOT PERDIDA",IF(COUNTIF(ASIGNACIONES!$B$4:$B948,B492)=1,"DOTACION ASIGNADA",IF(C492="VISITAS","DOTACION VISITA",IF(C492="MTTO","DOTACION MTTO",IF(C492="PLANTA EMERGENCIA","DOTACION RES DE EMERGENCIA",IF(C492="EXTERNOS","DOTACION DE EXTERNO","DOTACION DISPONIBLE")))))))</f>
        <v/>
      </c>
    </row>
    <row r="493" spans="1:5" ht="18">
      <c r="A493" s="85"/>
      <c r="B493" s="104"/>
      <c r="C493" s="3"/>
      <c r="D493" s="78"/>
      <c r="E493" s="22" t="str">
        <f>IF(B493="","",IF(A493=0,"DOT PERDIDA",IF(COUNTIF(ASIGNACIONES!$B$4:$B948,B493)=1,"DOTACION ASIGNADA",IF(C493="VISITAS","DOTACION VISITA",IF(C493="MTTO","DOTACION MTTO",IF(C493="PLANTA EMERGENCIA","DOTACION RES DE EMERGENCIA",IF(C493="EXTERNOS","DOTACION DE EXTERNO","DOTACION DISPONIBLE")))))))</f>
        <v/>
      </c>
    </row>
    <row r="494" spans="1:5" ht="18">
      <c r="A494" s="85"/>
      <c r="B494" s="104"/>
      <c r="C494" s="3"/>
      <c r="D494" s="78"/>
      <c r="E494" s="22" t="str">
        <f>IF(B494="","",IF(A494=0,"DOT PERDIDA",IF(COUNTIF(ASIGNACIONES!$B$4:$B948,B494)=1,"DOTACION ASIGNADA",IF(C494="VISITAS","DOTACION VISITA",IF(C494="MTTO","DOTACION MTTO",IF(C494="PLANTA EMERGENCIA","DOTACION RES DE EMERGENCIA",IF(C494="EXTERNOS","DOTACION DE EXTERNO","DOTACION DISPONIBLE")))))))</f>
        <v/>
      </c>
    </row>
    <row r="495" spans="1:5" ht="18">
      <c r="A495" s="85"/>
      <c r="B495" s="104"/>
      <c r="C495" s="3"/>
      <c r="D495" s="78"/>
      <c r="E495" s="22" t="str">
        <f>IF(B495="","",IF(A495=0,"DOT PERDIDA",IF(COUNTIF(ASIGNACIONES!$B$4:$B948,B495)=1,"DOTACION ASIGNADA",IF(C495="VISITAS","DOTACION VISITA",IF(C495="MTTO","DOTACION MTTO",IF(C495="PLANTA EMERGENCIA","DOTACION RES DE EMERGENCIA",IF(C495="EXTERNOS","DOTACION DE EXTERNO","DOTACION DISPONIBLE")))))))</f>
        <v/>
      </c>
    </row>
    <row r="496" spans="1:5" ht="18">
      <c r="A496" s="85"/>
      <c r="B496" s="104"/>
      <c r="C496" s="3"/>
      <c r="D496" s="78"/>
      <c r="E496" s="22" t="str">
        <f>IF(B496="","",IF(A496=0,"DOT PERDIDA",IF(COUNTIF(ASIGNACIONES!$B$4:$B948,B496)=1,"DOTACION ASIGNADA",IF(C496="VISITAS","DOTACION VISITA",IF(C496="MTTO","DOTACION MTTO",IF(C496="PLANTA EMERGENCIA","DOTACION RES DE EMERGENCIA",IF(C496="EXTERNOS","DOTACION DE EXTERNO","DOTACION DISPONIBLE")))))))</f>
        <v/>
      </c>
    </row>
    <row r="497" spans="1:5" ht="18">
      <c r="A497" s="85"/>
      <c r="B497" s="104"/>
      <c r="C497" s="3"/>
      <c r="D497" s="78"/>
      <c r="E497" s="22" t="str">
        <f>IF(B497="","",IF(A497=0,"DOT PERDIDA",IF(COUNTIF(ASIGNACIONES!$B$4:$B948,B497)=1,"DOTACION ASIGNADA",IF(C497="VISITAS","DOTACION VISITA",IF(C497="MTTO","DOTACION MTTO",IF(C497="PLANTA EMERGENCIA","DOTACION RES DE EMERGENCIA",IF(C497="EXTERNOS","DOTACION DE EXTERNO","DOTACION DISPONIBLE")))))))</f>
        <v/>
      </c>
    </row>
    <row r="498" spans="1:5" ht="18">
      <c r="A498" s="85"/>
      <c r="B498" s="104"/>
      <c r="C498" s="3"/>
      <c r="D498" s="78"/>
      <c r="E498" s="22" t="str">
        <f>IF(B498="","",IF(A498=0,"DOT PERDIDA",IF(COUNTIF(ASIGNACIONES!$B$4:$B948,B498)=1,"DOTACION ASIGNADA",IF(C498="VISITAS","DOTACION VISITA",IF(C498="MTTO","DOTACION MTTO",IF(C498="PLANTA EMERGENCIA","DOTACION RES DE EMERGENCIA",IF(C498="EXTERNOS","DOTACION DE EXTERNO","DOTACION DISPONIBLE")))))))</f>
        <v/>
      </c>
    </row>
    <row r="499" spans="1:5" ht="18">
      <c r="A499" s="85"/>
      <c r="B499" s="104"/>
      <c r="C499" s="3"/>
      <c r="D499" s="78"/>
      <c r="E499" s="22" t="str">
        <f>IF(B499="","",IF(A499=0,"DOT PERDIDA",IF(COUNTIF(ASIGNACIONES!$B$4:$B948,B499)=1,"DOTACION ASIGNADA",IF(C499="VISITAS","DOTACION VISITA",IF(C499="MTTO","DOTACION MTTO",IF(C499="PLANTA EMERGENCIA","DOTACION RES DE EMERGENCIA",IF(C499="EXTERNOS","DOTACION DE EXTERNO","DOTACION DISPONIBLE")))))))</f>
        <v/>
      </c>
    </row>
    <row r="500" spans="1:5" ht="18">
      <c r="A500" s="85"/>
      <c r="B500" s="104"/>
      <c r="C500" s="3"/>
      <c r="D500" s="78"/>
      <c r="E500" s="22" t="str">
        <f>IF(B500="","",IF(A500=0,"DOT PERDIDA",IF(COUNTIF(ASIGNACIONES!$B$4:$B948,B500)=1,"DOTACION ASIGNADA",IF(C500="VISITAS","DOTACION VISITA",IF(C500="MTTO","DOTACION MTTO",IF(C500="PLANTA EMERGENCIA","DOTACION RES DE EMERGENCIA",IF(C500="EXTERNOS","DOTACION DE EXTERNO","DOTACION DISPONIBLE")))))))</f>
        <v/>
      </c>
    </row>
    <row r="501" spans="1:5" ht="18">
      <c r="A501" s="85"/>
      <c r="B501" s="104"/>
      <c r="C501" s="3"/>
      <c r="D501" s="78"/>
      <c r="E501" s="22" t="str">
        <f>IF(B501="","",IF(A501=0,"DOT PERDIDA",IF(COUNTIF(ASIGNACIONES!$B$4:$B948,B501)=1,"DOTACION ASIGNADA",IF(C501="VISITAS","DOTACION VISITA",IF(C501="MTTO","DOTACION MTTO",IF(C501="PLANTA EMERGENCIA","DOTACION RES DE EMERGENCIA",IF(C501="EXTERNOS","DOTACION DE EXTERNO","DOTACION DISPONIBLE")))))))</f>
        <v/>
      </c>
    </row>
    <row r="502" spans="1:5" ht="18">
      <c r="A502" s="85"/>
      <c r="B502" s="104"/>
      <c r="C502" s="3"/>
      <c r="D502" s="78"/>
      <c r="E502" s="22" t="str">
        <f>IF(B502="","",IF(A502=0,"DOT PERDIDA",IF(COUNTIF(ASIGNACIONES!$B$4:$B948,B502)=1,"DOTACION ASIGNADA",IF(C502="VISITAS","DOTACION VISITA",IF(C502="MTTO","DOTACION MTTO",IF(C502="PLANTA EMERGENCIA","DOTACION RES DE EMERGENCIA",IF(C502="EXTERNOS","DOTACION DE EXTERNO","DOTACION DISPONIBLE")))))))</f>
        <v/>
      </c>
    </row>
    <row r="503" spans="1:5" ht="18">
      <c r="A503" s="85"/>
      <c r="B503" s="104"/>
      <c r="C503" s="3"/>
      <c r="D503" s="78"/>
      <c r="E503" s="22" t="str">
        <f>IF(B503="","",IF(A503=0,"DOT PERDIDA",IF(COUNTIF(ASIGNACIONES!$B$4:$B948,B503)=1,"DOTACION ASIGNADA",IF(C503="VISITAS","DOTACION VISITA",IF(C503="MTTO","DOTACION MTTO",IF(C503="PLANTA EMERGENCIA","DOTACION RES DE EMERGENCIA",IF(C503="EXTERNOS","DOTACION DE EXTERNO","DOTACION DISPONIBLE")))))))</f>
        <v/>
      </c>
    </row>
    <row r="504" spans="1:5" ht="18">
      <c r="A504" s="85"/>
      <c r="B504" s="104"/>
      <c r="C504" s="3"/>
      <c r="D504" s="78"/>
      <c r="E504" s="22" t="str">
        <f>IF(B504="","",IF(A504=0,"DOT PERDIDA",IF(COUNTIF(ASIGNACIONES!$B$4:$B948,B504)=1,"DOTACION ASIGNADA",IF(C504="VISITAS","DOTACION VISITA",IF(C504="MTTO","DOTACION MTTO",IF(C504="PLANTA EMERGENCIA","DOTACION RES DE EMERGENCIA",IF(C504="EXTERNOS","DOTACION DE EXTERNO","DOTACION DISPONIBLE")))))))</f>
        <v/>
      </c>
    </row>
    <row r="505" spans="1:5" ht="18">
      <c r="A505" s="85"/>
      <c r="B505" s="104"/>
      <c r="C505" s="3"/>
      <c r="D505" s="78"/>
      <c r="E505" s="22" t="str">
        <f>IF(B505="","",IF(A505=0,"DOT PERDIDA",IF(COUNTIF(ASIGNACIONES!$B$4:$B948,B505)=1,"DOTACION ASIGNADA",IF(C505="VISITAS","DOTACION VISITA",IF(C505="MTTO","DOTACION MTTO",IF(C505="PLANTA EMERGENCIA","DOTACION RES DE EMERGENCIA",IF(C505="EXTERNOS","DOTACION DE EXTERNO","DOTACION DISPONIBLE")))))))</f>
        <v/>
      </c>
    </row>
    <row r="506" spans="1:5" ht="18">
      <c r="A506" s="85"/>
      <c r="B506" s="104"/>
      <c r="C506" s="3"/>
      <c r="D506" s="78"/>
      <c r="E506" s="22" t="str">
        <f>IF(B506="","",IF(A506=0,"DOT PERDIDA",IF(COUNTIF(ASIGNACIONES!$B$4:$B948,B506)=1,"DOTACION ASIGNADA",IF(C506="VISITAS","DOTACION VISITA",IF(C506="MTTO","DOTACION MTTO",IF(C506="PLANTA EMERGENCIA","DOTACION RES DE EMERGENCIA",IF(C506="EXTERNOS","DOTACION DE EXTERNO","DOTACION DISPONIBLE")))))))</f>
        <v/>
      </c>
    </row>
    <row r="507" spans="1:5" ht="18">
      <c r="A507" s="85"/>
      <c r="B507" s="104"/>
      <c r="C507" s="3"/>
      <c r="D507" s="78"/>
      <c r="E507" s="22" t="str">
        <f>IF(B507="","",IF(A507=0,"DOT PERDIDA",IF(COUNTIF(ASIGNACIONES!$B$4:$B948,B507)=1,"DOTACION ASIGNADA",IF(C507="VISITAS","DOTACION VISITA",IF(C507="MTTO","DOTACION MTTO",IF(C507="PLANTA EMERGENCIA","DOTACION RES DE EMERGENCIA",IF(C507="EXTERNOS","DOTACION DE EXTERNO","DOTACION DISPONIBLE")))))))</f>
        <v/>
      </c>
    </row>
    <row r="508" spans="1:5" ht="18">
      <c r="A508" s="85"/>
      <c r="B508" s="104"/>
      <c r="C508" s="3"/>
      <c r="D508" s="78"/>
      <c r="E508" s="22" t="str">
        <f>IF(B508="","",IF(A508=0,"DOT PERDIDA",IF(COUNTIF(ASIGNACIONES!$B$4:$B948,B508)=1,"DOTACION ASIGNADA",IF(C508="VISITAS","DOTACION VISITA",IF(C508="MTTO","DOTACION MTTO",IF(C508="PLANTA EMERGENCIA","DOTACION RES DE EMERGENCIA",IF(C508="EXTERNOS","DOTACION DE EXTERNO","DOTACION DISPONIBLE")))))))</f>
        <v/>
      </c>
    </row>
    <row r="509" spans="1:5" ht="18">
      <c r="A509" s="85"/>
      <c r="B509" s="104"/>
      <c r="C509" s="3"/>
      <c r="D509" s="78"/>
      <c r="E509" s="22" t="str">
        <f>IF(B509="","",IF(A509=0,"DOT PERDIDA",IF(COUNTIF(ASIGNACIONES!$B$4:$B948,B509)=1,"DOTACION ASIGNADA",IF(C509="VISITAS","DOTACION VISITA",IF(C509="MTTO","DOTACION MTTO",IF(C509="PLANTA EMERGENCIA","DOTACION RES DE EMERGENCIA",IF(C509="EXTERNOS","DOTACION DE EXTERNO","DOTACION DISPONIBLE")))))))</f>
        <v/>
      </c>
    </row>
    <row r="510" spans="1:5" ht="18">
      <c r="A510" s="85"/>
      <c r="B510" s="104"/>
      <c r="C510" s="3"/>
      <c r="D510" s="78"/>
      <c r="E510" s="22" t="str">
        <f>IF(B510="","",IF(A510=0,"DOT PERDIDA",IF(COUNTIF(ASIGNACIONES!$B$4:$B948,B510)=1,"DOTACION ASIGNADA",IF(C510="VISITAS","DOTACION VISITA",IF(C510="MTTO","DOTACION MTTO",IF(C510="PLANTA EMERGENCIA","DOTACION RES DE EMERGENCIA",IF(C510="EXTERNOS","DOTACION DE EXTERNO","DOTACION DISPONIBLE")))))))</f>
        <v/>
      </c>
    </row>
    <row r="511" spans="1:5" ht="18">
      <c r="A511" s="85"/>
      <c r="B511" s="104"/>
      <c r="C511" s="3"/>
      <c r="D511" s="78"/>
      <c r="E511" s="22" t="str">
        <f>IF(B511="","",IF(A511=0,"DOT PERDIDA",IF(COUNTIF(ASIGNACIONES!$B$4:$B948,B511)=1,"DOTACION ASIGNADA",IF(C511="VISITAS","DOTACION VISITA",IF(C511="MTTO","DOTACION MTTO",IF(C511="PLANTA EMERGENCIA","DOTACION RES DE EMERGENCIA",IF(C511="EXTERNOS","DOTACION DE EXTERNO","DOTACION DISPONIBLE")))))))</f>
        <v/>
      </c>
    </row>
    <row r="512" spans="1:5" ht="18">
      <c r="A512" s="85"/>
      <c r="B512" s="104"/>
      <c r="C512" s="3"/>
      <c r="D512" s="78"/>
      <c r="E512" s="22" t="str">
        <f>IF(B512="","",IF(A512=0,"DOT PERDIDA",IF(COUNTIF(ASIGNACIONES!$B$4:$B948,B512)=1,"DOTACION ASIGNADA",IF(C512="VISITAS","DOTACION VISITA",IF(C512="MTTO","DOTACION MTTO",IF(C512="PLANTA EMERGENCIA","DOTACION RES DE EMERGENCIA",IF(C512="EXTERNOS","DOTACION DE EXTERNO","DOTACION DISPONIBLE")))))))</f>
        <v/>
      </c>
    </row>
    <row r="513" spans="1:5" ht="18">
      <c r="A513" s="85"/>
      <c r="B513" s="104"/>
      <c r="C513" s="3"/>
      <c r="D513" s="78"/>
      <c r="E513" s="22" t="str">
        <f>IF(B513="","",IF(A513=0,"DOT PERDIDA",IF(COUNTIF(ASIGNACIONES!$B$4:$B948,B513)=1,"DOTACION ASIGNADA",IF(C513="VISITAS","DOTACION VISITA",IF(C513="MTTO","DOTACION MTTO",IF(C513="PLANTA EMERGENCIA","DOTACION RES DE EMERGENCIA",IF(C513="EXTERNOS","DOTACION DE EXTERNO","DOTACION DISPONIBLE")))))))</f>
        <v/>
      </c>
    </row>
    <row r="514" spans="1:5" ht="18">
      <c r="A514" s="85"/>
      <c r="B514" s="104"/>
      <c r="C514" s="3"/>
      <c r="D514" s="78"/>
      <c r="E514" s="22" t="str">
        <f>IF(B514="","",IF(A514=0,"DOT PERDIDA",IF(COUNTIF(ASIGNACIONES!$B$4:$B948,B514)=1,"DOTACION ASIGNADA",IF(C514="VISITAS","DOTACION VISITA",IF(C514="MTTO","DOTACION MTTO",IF(C514="PLANTA EMERGENCIA","DOTACION RES DE EMERGENCIA",IF(C514="EXTERNOS","DOTACION DE EXTERNO","DOTACION DISPONIBLE")))))))</f>
        <v/>
      </c>
    </row>
    <row r="515" spans="1:5" ht="18">
      <c r="A515" s="85"/>
      <c r="B515" s="104"/>
      <c r="C515" s="3"/>
      <c r="D515" s="78"/>
      <c r="E515" s="22" t="str">
        <f>IF(B515="","",IF(A515=0,"DOT PERDIDA",IF(COUNTIF(ASIGNACIONES!$B$4:$B948,B515)=1,"DOTACION ASIGNADA",IF(C515="VISITAS","DOTACION VISITA",IF(C515="MTTO","DOTACION MTTO",IF(C515="PLANTA EMERGENCIA","DOTACION RES DE EMERGENCIA",IF(C515="EXTERNOS","DOTACION DE EXTERNO","DOTACION DISPONIBLE")))))))</f>
        <v/>
      </c>
    </row>
    <row r="516" spans="1:5" ht="18">
      <c r="A516" s="85"/>
      <c r="B516" s="104"/>
      <c r="C516" s="3"/>
      <c r="D516" s="78"/>
      <c r="E516" s="22" t="str">
        <f>IF(B516="","",IF(A516=0,"DOT PERDIDA",IF(COUNTIF(ASIGNACIONES!$B$4:$B948,B516)=1,"DOTACION ASIGNADA",IF(C516="VISITAS","DOTACION VISITA",IF(C516="MTTO","DOTACION MTTO",IF(C516="PLANTA EMERGENCIA","DOTACION RES DE EMERGENCIA",IF(C516="EXTERNOS","DOTACION DE EXTERNO","DOTACION DISPONIBLE")))))))</f>
        <v/>
      </c>
    </row>
    <row r="517" spans="1:5" ht="18">
      <c r="A517" s="85"/>
      <c r="B517" s="104"/>
      <c r="C517" s="3"/>
      <c r="D517" s="78"/>
      <c r="E517" s="22" t="str">
        <f>IF(B517="","",IF(A517=0,"DOT PERDIDA",IF(COUNTIF(ASIGNACIONES!$B$4:$B948,B517)=1,"DOTACION ASIGNADA",IF(C517="VISITAS","DOTACION VISITA",IF(C517="MTTO","DOTACION MTTO",IF(C517="PLANTA EMERGENCIA","DOTACION RES DE EMERGENCIA",IF(C517="EXTERNOS","DOTACION DE EXTERNO","DOTACION DISPONIBLE")))))))</f>
        <v/>
      </c>
    </row>
    <row r="518" spans="1:5" ht="18">
      <c r="A518" s="85"/>
      <c r="B518" s="104"/>
      <c r="C518" s="3"/>
      <c r="D518" s="78"/>
      <c r="E518" s="22" t="str">
        <f>IF(B518="","",IF(A518=0,"DOT PERDIDA",IF(COUNTIF(ASIGNACIONES!$B$4:$B948,B518)=1,"DOTACION ASIGNADA",IF(C518="VISITAS","DOTACION VISITA",IF(C518="MTTO","DOTACION MTTO",IF(C518="PLANTA EMERGENCIA","DOTACION RES DE EMERGENCIA",IF(C518="EXTERNOS","DOTACION DE EXTERNO","DOTACION DISPONIBLE")))))))</f>
        <v/>
      </c>
    </row>
    <row r="519" spans="1:5" ht="18">
      <c r="A519" s="85"/>
      <c r="B519" s="104"/>
      <c r="C519" s="3"/>
      <c r="D519" s="78"/>
      <c r="E519" s="22" t="str">
        <f>IF(B519="","",IF(A519=0,"DOT PERDIDA",IF(COUNTIF(ASIGNACIONES!$B$4:$B948,B519)=1,"DOTACION ASIGNADA",IF(C519="VISITAS","DOTACION VISITA",IF(C519="MTTO","DOTACION MTTO",IF(C519="PLANTA EMERGENCIA","DOTACION RES DE EMERGENCIA",IF(C519="EXTERNOS","DOTACION DE EXTERNO","DOTACION DISPONIBLE")))))))</f>
        <v/>
      </c>
    </row>
    <row r="520" spans="1:5" ht="18">
      <c r="A520" s="85"/>
      <c r="B520" s="104"/>
      <c r="C520" s="3"/>
      <c r="D520" s="78"/>
      <c r="E520" s="22" t="str">
        <f>IF(B520="","",IF(A520=0,"DOT PERDIDA",IF(COUNTIF(ASIGNACIONES!$B$4:$B948,B520)=1,"DOTACION ASIGNADA",IF(C520="VISITAS","DOTACION VISITA",IF(C520="MTTO","DOTACION MTTO",IF(C520="PLANTA EMERGENCIA","DOTACION RES DE EMERGENCIA",IF(C520="EXTERNOS","DOTACION DE EXTERNO","DOTACION DISPONIBLE")))))))</f>
        <v/>
      </c>
    </row>
    <row r="521" spans="1:5" ht="18">
      <c r="A521" s="85"/>
      <c r="B521" s="104"/>
      <c r="C521" s="3"/>
      <c r="D521" s="78"/>
      <c r="E521" s="22" t="str">
        <f>IF(B521="","",IF(A521=0,"DOT PERDIDA",IF(COUNTIF(ASIGNACIONES!$B$4:$B948,B521)=1,"DOTACION ASIGNADA",IF(C521="VISITAS","DOTACION VISITA",IF(C521="MTTO","DOTACION MTTO",IF(C521="PLANTA EMERGENCIA","DOTACION RES DE EMERGENCIA",IF(C521="EXTERNOS","DOTACION DE EXTERNO","DOTACION DISPONIBLE")))))))</f>
        <v/>
      </c>
    </row>
    <row r="522" spans="1:5" ht="18">
      <c r="A522" s="85"/>
      <c r="B522" s="104"/>
      <c r="C522" s="3"/>
      <c r="D522" s="78"/>
      <c r="E522" s="22" t="str">
        <f>IF(B522="","",IF(A522=0,"DOT PERDIDA",IF(COUNTIF(ASIGNACIONES!$B$4:$B948,B522)=1,"DOTACION ASIGNADA",IF(C522="VISITAS","DOTACION VISITA",IF(C522="MTTO","DOTACION MTTO",IF(C522="PLANTA EMERGENCIA","DOTACION RES DE EMERGENCIA",IF(C522="EXTERNOS","DOTACION DE EXTERNO","DOTACION DISPONIBLE")))))))</f>
        <v/>
      </c>
    </row>
    <row r="523" spans="1:5" ht="18">
      <c r="A523" s="85"/>
      <c r="B523" s="104"/>
      <c r="C523" s="3"/>
      <c r="D523" s="78"/>
      <c r="E523" s="22" t="str">
        <f>IF(B523="","",IF(A523=0,"DOT PERDIDA",IF(COUNTIF(ASIGNACIONES!$B$4:$B948,B523)=1,"DOTACION ASIGNADA",IF(C523="VISITAS","DOTACION VISITA",IF(C523="MTTO","DOTACION MTTO",IF(C523="PLANTA EMERGENCIA","DOTACION RES DE EMERGENCIA",IF(C523="EXTERNOS","DOTACION DE EXTERNO","DOTACION DISPONIBLE")))))))</f>
        <v/>
      </c>
    </row>
    <row r="524" spans="1:5" ht="18">
      <c r="A524" s="85"/>
      <c r="B524" s="104"/>
      <c r="C524" s="3"/>
      <c r="D524" s="78"/>
      <c r="E524" s="22" t="str">
        <f>IF(B524="","",IF(A524=0,"DOT PERDIDA",IF(COUNTIF(ASIGNACIONES!$B$4:$B948,B524)=1,"DOTACION ASIGNADA",IF(C524="VISITAS","DOTACION VISITA",IF(C524="MTTO","DOTACION MTTO",IF(C524="PLANTA EMERGENCIA","DOTACION RES DE EMERGENCIA",IF(C524="EXTERNOS","DOTACION DE EXTERNO","DOTACION DISPONIBLE")))))))</f>
        <v/>
      </c>
    </row>
    <row r="525" spans="1:5" ht="18">
      <c r="A525" s="85"/>
      <c r="B525" s="104"/>
      <c r="C525" s="3"/>
      <c r="D525" s="78"/>
      <c r="E525" s="22" t="str">
        <f>IF(B525="","",IF(A525=0,"DOT PERDIDA",IF(COUNTIF(ASIGNACIONES!$B$4:$B948,B525)=1,"DOTACION ASIGNADA",IF(C525="VISITAS","DOTACION VISITA",IF(C525="MTTO","DOTACION MTTO",IF(C525="PLANTA EMERGENCIA","DOTACION RES DE EMERGENCIA",IF(C525="EXTERNOS","DOTACION DE EXTERNO","DOTACION DISPONIBLE")))))))</f>
        <v/>
      </c>
    </row>
    <row r="526" spans="1:5" ht="18">
      <c r="A526" s="85"/>
      <c r="B526" s="104"/>
      <c r="C526" s="3"/>
      <c r="D526" s="78"/>
      <c r="E526" s="22" t="str">
        <f>IF(B526="","",IF(A526=0,"DOT PERDIDA",IF(COUNTIF(ASIGNACIONES!$B$4:$B948,B526)=1,"DOTACION ASIGNADA",IF(C526="VISITAS","DOTACION VISITA",IF(C526="MTTO","DOTACION MTTO",IF(C526="PLANTA EMERGENCIA","DOTACION RES DE EMERGENCIA",IF(C526="EXTERNOS","DOTACION DE EXTERNO","DOTACION DISPONIBLE")))))))</f>
        <v/>
      </c>
    </row>
    <row r="527" spans="1:5" ht="18">
      <c r="A527" s="85"/>
      <c r="B527" s="104"/>
      <c r="C527" s="3"/>
      <c r="D527" s="78"/>
      <c r="E527" s="22" t="str">
        <f>IF(B527="","",IF(A527=0,"DOT PERDIDA",IF(COUNTIF(ASIGNACIONES!$B$4:$B948,B527)=1,"DOTACION ASIGNADA",IF(C527="VISITAS","DOTACION VISITA",IF(C527="MTTO","DOTACION MTTO",IF(C527="PLANTA EMERGENCIA","DOTACION RES DE EMERGENCIA",IF(C527="EXTERNOS","DOTACION DE EXTERNO","DOTACION DISPONIBLE")))))))</f>
        <v/>
      </c>
    </row>
    <row r="528" spans="1:5" ht="18">
      <c r="A528" s="85"/>
      <c r="B528" s="104"/>
      <c r="C528" s="3"/>
      <c r="D528" s="78"/>
      <c r="E528" s="22" t="str">
        <f>IF(B528="","",IF(A528=0,"DOT PERDIDA",IF(COUNTIF(ASIGNACIONES!$B$4:$B948,B528)=1,"DOTACION ASIGNADA",IF(C528="VISITAS","DOTACION VISITA",IF(C528="MTTO","DOTACION MTTO",IF(C528="PLANTA EMERGENCIA","DOTACION RES DE EMERGENCIA",IF(C528="EXTERNOS","DOTACION DE EXTERNO","DOTACION DISPONIBLE")))))))</f>
        <v/>
      </c>
    </row>
    <row r="529" spans="1:5" ht="18">
      <c r="A529" s="85"/>
      <c r="B529" s="104"/>
      <c r="C529" s="3"/>
      <c r="D529" s="78"/>
      <c r="E529" s="22" t="str">
        <f>IF(B529="","",IF(A529=0,"DOT PERDIDA",IF(COUNTIF(ASIGNACIONES!$B$4:$B948,B529)=1,"DOTACION ASIGNADA",IF(C529="VISITAS","DOTACION VISITA",IF(C529="MTTO","DOTACION MTTO",IF(C529="PLANTA EMERGENCIA","DOTACION RES DE EMERGENCIA",IF(C529="EXTERNOS","DOTACION DE EXTERNO","DOTACION DISPONIBLE")))))))</f>
        <v/>
      </c>
    </row>
    <row r="530" spans="1:5" ht="18">
      <c r="A530" s="85"/>
      <c r="B530" s="104"/>
      <c r="C530" s="3"/>
      <c r="D530" s="78"/>
      <c r="E530" s="22" t="str">
        <f>IF(B530="","",IF(A530=0,"DOT PERDIDA",IF(COUNTIF(ASIGNACIONES!$B$4:$B948,B530)=1,"DOTACION ASIGNADA",IF(C530="VISITAS","DOTACION VISITA",IF(C530="MTTO","DOTACION MTTO",IF(C530="PLANTA EMERGENCIA","DOTACION RES DE EMERGENCIA",IF(C530="EXTERNOS","DOTACION DE EXTERNO","DOTACION DISPONIBLE")))))))</f>
        <v/>
      </c>
    </row>
    <row r="531" spans="1:5" ht="18">
      <c r="A531" s="85"/>
      <c r="B531" s="104"/>
      <c r="C531" s="3"/>
      <c r="D531" s="78"/>
      <c r="E531" s="22" t="str">
        <f>IF(B531="","",IF(A531=0,"DOT PERDIDA",IF(COUNTIF(ASIGNACIONES!$B$4:$B948,B531)=1,"DOTACION ASIGNADA",IF(C531="VISITAS","DOTACION VISITA",IF(C531="MTTO","DOTACION MTTO",IF(C531="PLANTA EMERGENCIA","DOTACION RES DE EMERGENCIA",IF(C531="EXTERNOS","DOTACION DE EXTERNO","DOTACION DISPONIBLE")))))))</f>
        <v/>
      </c>
    </row>
    <row r="532" spans="1:5" ht="18">
      <c r="A532" s="85"/>
      <c r="B532" s="104"/>
      <c r="C532" s="3"/>
      <c r="D532" s="78"/>
      <c r="E532" s="22" t="str">
        <f>IF(B532="","",IF(A532=0,"DOT PERDIDA",IF(COUNTIF(ASIGNACIONES!$B$4:$B948,B532)=1,"DOTACION ASIGNADA",IF(C532="VISITAS","DOTACION VISITA",IF(C532="MTTO","DOTACION MTTO",IF(C532="PLANTA EMERGENCIA","DOTACION RES DE EMERGENCIA",IF(C532="EXTERNOS","DOTACION DE EXTERNO","DOTACION DISPONIBLE")))))))</f>
        <v/>
      </c>
    </row>
    <row r="533" spans="1:5" ht="18">
      <c r="A533" s="85"/>
      <c r="B533" s="104"/>
      <c r="C533" s="3"/>
      <c r="D533" s="78"/>
      <c r="E533" s="22" t="str">
        <f>IF(B533="","",IF(A533=0,"DOT PERDIDA",IF(COUNTIF(ASIGNACIONES!$B$4:$B948,B533)=1,"DOTACION ASIGNADA",IF(C533="VISITAS","DOTACION VISITA",IF(C533="MTTO","DOTACION MTTO",IF(C533="PLANTA EMERGENCIA","DOTACION RES DE EMERGENCIA",IF(C533="EXTERNOS","DOTACION DE EXTERNO","DOTACION DISPONIBLE")))))))</f>
        <v/>
      </c>
    </row>
    <row r="534" spans="1:5" ht="18">
      <c r="A534" s="85"/>
      <c r="B534" s="104"/>
      <c r="C534" s="3"/>
      <c r="D534" s="78"/>
      <c r="E534" s="22" t="str">
        <f>IF(B534="","",IF(A534=0,"DOT PERDIDA",IF(COUNTIF(ASIGNACIONES!$B$4:$B948,B534)=1,"DOTACION ASIGNADA",IF(C534="VISITAS","DOTACION VISITA",IF(C534="MTTO","DOTACION MTTO",IF(C534="PLANTA EMERGENCIA","DOTACION RES DE EMERGENCIA",IF(C534="EXTERNOS","DOTACION DE EXTERNO","DOTACION DISPONIBLE")))))))</f>
        <v/>
      </c>
    </row>
    <row r="535" spans="1:5" ht="18">
      <c r="A535" s="85"/>
      <c r="B535" s="104"/>
      <c r="C535" s="3"/>
      <c r="D535" s="78"/>
      <c r="E535" s="22" t="str">
        <f>IF(B535="","",IF(A535=0,"DOT PERDIDA",IF(COUNTIF(ASIGNACIONES!$B$4:$B948,B535)=1,"DOTACION ASIGNADA",IF(C535="VISITAS","DOTACION VISITA",IF(C535="MTTO","DOTACION MTTO",IF(C535="PLANTA EMERGENCIA","DOTACION RES DE EMERGENCIA",IF(C535="EXTERNOS","DOTACION DE EXTERNO","DOTACION DISPONIBLE")))))))</f>
        <v/>
      </c>
    </row>
    <row r="536" spans="1:5" ht="18">
      <c r="A536" s="85"/>
      <c r="B536" s="104"/>
      <c r="C536" s="3"/>
      <c r="D536" s="78"/>
      <c r="E536" s="22" t="str">
        <f>IF(B536="","",IF(A536=0,"DOT PERDIDA",IF(COUNTIF(ASIGNACIONES!$B$4:$B948,B536)=1,"DOTACION ASIGNADA",IF(C536="VISITAS","DOTACION VISITA",IF(C536="MTTO","DOTACION MTTO",IF(C536="PLANTA EMERGENCIA","DOTACION RES DE EMERGENCIA",IF(C536="EXTERNOS","DOTACION DE EXTERNO","DOTACION DISPONIBLE")))))))</f>
        <v/>
      </c>
    </row>
    <row r="537" spans="1:5" ht="18">
      <c r="A537" s="85"/>
      <c r="B537" s="104"/>
      <c r="C537" s="3"/>
      <c r="D537" s="78"/>
      <c r="E537" s="22" t="str">
        <f>IF(B537="","",IF(A537=0,"DOT PERDIDA",IF(COUNTIF(ASIGNACIONES!$B$4:$B948,B537)=1,"DOTACION ASIGNADA",IF(C537="VISITAS","DOTACION VISITA",IF(C537="MTTO","DOTACION MTTO",IF(C537="PLANTA EMERGENCIA","DOTACION RES DE EMERGENCIA",IF(C537="EXTERNOS","DOTACION DE EXTERNO","DOTACION DISPONIBLE")))))))</f>
        <v/>
      </c>
    </row>
    <row r="538" spans="1:5" ht="18">
      <c r="A538" s="85"/>
      <c r="B538" s="104"/>
      <c r="C538" s="3"/>
      <c r="D538" s="78"/>
      <c r="E538" s="22" t="str">
        <f>IF(B538="","",IF(A538=0,"DOT PERDIDA",IF(COUNTIF(ASIGNACIONES!$B$4:$B948,B538)=1,"DOTACION ASIGNADA",IF(C538="VISITAS","DOTACION VISITA",IF(C538="MTTO","DOTACION MTTO",IF(C538="PLANTA EMERGENCIA","DOTACION RES DE EMERGENCIA",IF(C538="EXTERNOS","DOTACION DE EXTERNO","DOTACION DISPONIBLE")))))))</f>
        <v/>
      </c>
    </row>
    <row r="539" spans="1:5" ht="18">
      <c r="A539" s="85"/>
      <c r="B539" s="104"/>
      <c r="C539" s="3"/>
      <c r="D539" s="78"/>
      <c r="E539" s="22" t="str">
        <f>IF(B539="","",IF(A539=0,"DOT PERDIDA",IF(COUNTIF(ASIGNACIONES!$B$4:$B948,B539)=1,"DOTACION ASIGNADA",IF(C539="VISITAS","DOTACION VISITA",IF(C539="MTTO","DOTACION MTTO",IF(C539="PLANTA EMERGENCIA","DOTACION RES DE EMERGENCIA",IF(C539="EXTERNOS","DOTACION DE EXTERNO","DOTACION DISPONIBLE")))))))</f>
        <v/>
      </c>
    </row>
    <row r="540" spans="1:5" ht="18">
      <c r="A540" s="85"/>
      <c r="B540" s="104"/>
      <c r="C540" s="3"/>
      <c r="D540" s="78"/>
      <c r="E540" s="22" t="str">
        <f>IF(B540="","",IF(A540=0,"DOT PERDIDA",IF(COUNTIF(ASIGNACIONES!$B$4:$B948,B540)=1,"DOTACION ASIGNADA",IF(C540="VISITAS","DOTACION VISITA",IF(C540="MTTO","DOTACION MTTO",IF(C540="PLANTA EMERGENCIA","DOTACION RES DE EMERGENCIA",IF(C540="EXTERNOS","DOTACION DE EXTERNO","DOTACION DISPONIBLE")))))))</f>
        <v/>
      </c>
    </row>
    <row r="541" spans="1:5" ht="18">
      <c r="A541" s="85"/>
      <c r="B541" s="104"/>
      <c r="C541" s="3"/>
      <c r="D541" s="78"/>
      <c r="E541" s="22" t="str">
        <f>IF(B541="","",IF(A541=0,"DOT PERDIDA",IF(COUNTIF(ASIGNACIONES!$B$4:$B948,B541)=1,"DOTACION ASIGNADA",IF(C541="VISITAS","DOTACION VISITA",IF(C541="MTTO","DOTACION MTTO",IF(C541="PLANTA EMERGENCIA","DOTACION RES DE EMERGENCIA",IF(C541="EXTERNOS","DOTACION DE EXTERNO","DOTACION DISPONIBLE")))))))</f>
        <v/>
      </c>
    </row>
    <row r="542" spans="1:5" ht="18">
      <c r="A542" s="85"/>
      <c r="B542" s="104"/>
      <c r="C542" s="3"/>
      <c r="D542" s="78"/>
      <c r="E542" s="22" t="str">
        <f>IF(B542="","",IF(A542=0,"DOT PERDIDA",IF(COUNTIF(ASIGNACIONES!$B$4:$B948,B542)=1,"DOTACION ASIGNADA",IF(C542="VISITAS","DOTACION VISITA",IF(C542="MTTO","DOTACION MTTO",IF(C542="PLANTA EMERGENCIA","DOTACION RES DE EMERGENCIA",IF(C542="EXTERNOS","DOTACION DE EXTERNO","DOTACION DISPONIBLE")))))))</f>
        <v/>
      </c>
    </row>
    <row r="543" spans="1:5" ht="18">
      <c r="A543" s="85"/>
      <c r="B543" s="104"/>
      <c r="C543" s="3"/>
      <c r="D543" s="78"/>
      <c r="E543" s="22" t="str">
        <f>IF(B543="","",IF(A543=0,"DOT PERDIDA",IF(COUNTIF(ASIGNACIONES!$B$4:$B948,B543)=1,"DOTACION ASIGNADA",IF(C543="VISITAS","DOTACION VISITA",IF(C543="MTTO","DOTACION MTTO",IF(C543="PLANTA EMERGENCIA","DOTACION RES DE EMERGENCIA",IF(C543="EXTERNOS","DOTACION DE EXTERNO","DOTACION DISPONIBLE")))))))</f>
        <v/>
      </c>
    </row>
    <row r="544" spans="1:5" ht="18">
      <c r="A544" s="85"/>
      <c r="B544" s="104"/>
      <c r="C544" s="3"/>
      <c r="D544" s="78"/>
      <c r="E544" s="22" t="str">
        <f>IF(B544="","",IF(A544=0,"DOT PERDIDA",IF(COUNTIF(ASIGNACIONES!$B$4:$B948,B544)=1,"DOTACION ASIGNADA",IF(C544="VISITAS","DOTACION VISITA",IF(C544="MTTO","DOTACION MTTO",IF(C544="PLANTA EMERGENCIA","DOTACION RES DE EMERGENCIA",IF(C544="EXTERNOS","DOTACION DE EXTERNO","DOTACION DISPONIBLE")))))))</f>
        <v/>
      </c>
    </row>
    <row r="545" spans="1:5" ht="18">
      <c r="A545" s="85"/>
      <c r="B545" s="104"/>
      <c r="C545" s="3"/>
      <c r="D545" s="78"/>
      <c r="E545" s="22" t="str">
        <f>IF(B545="","",IF(A545=0,"DOT PERDIDA",IF(COUNTIF(ASIGNACIONES!$B$4:$B948,B545)=1,"DOTACION ASIGNADA",IF(C545="VISITAS","DOTACION VISITA",IF(C545="MTTO","DOTACION MTTO",IF(C545="PLANTA EMERGENCIA","DOTACION RES DE EMERGENCIA",IF(C545="EXTERNOS","DOTACION DE EXTERNO","DOTACION DISPONIBLE")))))))</f>
        <v/>
      </c>
    </row>
    <row r="546" spans="1:5" ht="18">
      <c r="A546" s="85"/>
      <c r="B546" s="104"/>
      <c r="C546" s="3"/>
      <c r="D546" s="78"/>
      <c r="E546" s="22" t="str">
        <f>IF(B546="","",IF(A546=0,"DOT PERDIDA",IF(COUNTIF(ASIGNACIONES!$B$4:$B948,B546)=1,"DOTACION ASIGNADA",IF(C546="VISITAS","DOTACION VISITA",IF(C546="MTTO","DOTACION MTTO",IF(C546="PLANTA EMERGENCIA","DOTACION RES DE EMERGENCIA",IF(C546="EXTERNOS","DOTACION DE EXTERNO","DOTACION DISPONIBLE")))))))</f>
        <v/>
      </c>
    </row>
    <row r="547" spans="1:5" ht="18">
      <c r="A547" s="85"/>
      <c r="B547" s="104"/>
      <c r="C547" s="3"/>
      <c r="D547" s="78"/>
      <c r="E547" s="22" t="str">
        <f>IF(B547="","",IF(A547=0,"DOT PERDIDA",IF(COUNTIF(ASIGNACIONES!$B$4:$B948,B547)=1,"DOTACION ASIGNADA",IF(C547="VISITAS","DOTACION VISITA",IF(C547="MTTO","DOTACION MTTO",IF(C547="PLANTA EMERGENCIA","DOTACION RES DE EMERGENCIA",IF(C547="EXTERNOS","DOTACION DE EXTERNO","DOTACION DISPONIBLE")))))))</f>
        <v/>
      </c>
    </row>
    <row r="548" spans="1:5" ht="18">
      <c r="A548" s="85"/>
      <c r="B548" s="104"/>
      <c r="C548" s="3"/>
      <c r="D548" s="78"/>
      <c r="E548" s="22" t="str">
        <f>IF(B548="","",IF(A548=0,"DOT PERDIDA",IF(COUNTIF(ASIGNACIONES!$B$4:$B948,B548)=1,"DOTACION ASIGNADA",IF(C548="VISITAS","DOTACION VISITA",IF(C548="MTTO","DOTACION MTTO",IF(C548="PLANTA EMERGENCIA","DOTACION RES DE EMERGENCIA",IF(C548="EXTERNOS","DOTACION DE EXTERNO","DOTACION DISPONIBLE")))))))</f>
        <v/>
      </c>
    </row>
    <row r="549" spans="1:5" ht="18">
      <c r="A549" s="85"/>
      <c r="B549" s="104"/>
      <c r="C549" s="3"/>
      <c r="D549" s="78"/>
      <c r="E549" s="22" t="str">
        <f>IF(B549="","",IF(A549=0,"DOT PERDIDA",IF(COUNTIF(ASIGNACIONES!$B$4:$B948,B549)=1,"DOTACION ASIGNADA",IF(C549="VISITAS","DOTACION VISITA",IF(C549="MTTO","DOTACION MTTO",IF(C549="PLANTA EMERGENCIA","DOTACION RES DE EMERGENCIA",IF(C549="EXTERNOS","DOTACION DE EXTERNO","DOTACION DISPONIBLE")))))))</f>
        <v/>
      </c>
    </row>
    <row r="550" spans="1:5" ht="18">
      <c r="A550" s="85"/>
      <c r="B550" s="104"/>
      <c r="C550" s="3"/>
      <c r="D550" s="78"/>
      <c r="E550" s="22" t="str">
        <f>IF(B550="","",IF(A550=0,"DOT PERDIDA",IF(COUNTIF(ASIGNACIONES!$B$4:$B948,B550)=1,"DOTACION ASIGNADA",IF(C550="VISITAS","DOTACION VISITA",IF(C550="MTTO","DOTACION MTTO",IF(C550="PLANTA EMERGENCIA","DOTACION RES DE EMERGENCIA",IF(C550="EXTERNOS","DOTACION DE EXTERNO","DOTACION DISPONIBLE")))))))</f>
        <v/>
      </c>
    </row>
    <row r="551" spans="1:5" ht="18">
      <c r="A551" s="85"/>
      <c r="B551" s="104"/>
      <c r="C551" s="3"/>
      <c r="D551" s="78"/>
      <c r="E551" s="22" t="str">
        <f>IF(B551="","",IF(A551=0,"DOT PERDIDA",IF(COUNTIF(ASIGNACIONES!$B$4:$B948,B551)=1,"DOTACION ASIGNADA",IF(C551="VISITAS","DOTACION VISITA",IF(C551="MTTO","DOTACION MTTO",IF(C551="PLANTA EMERGENCIA","DOTACION RES DE EMERGENCIA",IF(C551="EXTERNOS","DOTACION DE EXTERNO","DOTACION DISPONIBLE")))))))</f>
        <v/>
      </c>
    </row>
    <row r="552" spans="1:5" ht="18">
      <c r="A552" s="85"/>
      <c r="B552" s="104"/>
      <c r="C552" s="3"/>
      <c r="D552" s="78"/>
      <c r="E552" s="22" t="str">
        <f>IF(B552="","",IF(A552=0,"DOT PERDIDA",IF(COUNTIF(ASIGNACIONES!$B$4:$B948,B552)=1,"DOTACION ASIGNADA",IF(C552="VISITAS","DOTACION VISITA",IF(C552="MTTO","DOTACION MTTO",IF(C552="PLANTA EMERGENCIA","DOTACION RES DE EMERGENCIA",IF(C552="EXTERNOS","DOTACION DE EXTERNO","DOTACION DISPONIBLE")))))))</f>
        <v/>
      </c>
    </row>
    <row r="553" spans="1:5" ht="18">
      <c r="A553" s="85"/>
      <c r="B553" s="104"/>
      <c r="C553" s="3"/>
      <c r="D553" s="78"/>
      <c r="E553" s="22" t="str">
        <f>IF(B553="","",IF(A553=0,"DOT PERDIDA",IF(COUNTIF(ASIGNACIONES!$B$4:$B948,B553)=1,"DOTACION ASIGNADA",IF(C553="VISITAS","DOTACION VISITA",IF(C553="MTTO","DOTACION MTTO",IF(C553="PLANTA EMERGENCIA","DOTACION RES DE EMERGENCIA",IF(C553="EXTERNOS","DOTACION DE EXTERNO","DOTACION DISPONIBLE")))))))</f>
        <v/>
      </c>
    </row>
    <row r="554" spans="1:5" ht="18">
      <c r="A554" s="85"/>
      <c r="B554" s="104"/>
      <c r="C554" s="3"/>
      <c r="D554" s="78"/>
      <c r="E554" s="22" t="str">
        <f>IF(B554="","",IF(A554=0,"DOT PERDIDA",IF(COUNTIF(ASIGNACIONES!$B$4:$B948,B554)=1,"DOTACION ASIGNADA",IF(C554="VISITAS","DOTACION VISITA",IF(C554="MTTO","DOTACION MTTO",IF(C554="PLANTA EMERGENCIA","DOTACION RES DE EMERGENCIA",IF(C554="EXTERNOS","DOTACION DE EXTERNO","DOTACION DISPONIBLE")))))))</f>
        <v/>
      </c>
    </row>
    <row r="555" spans="1:5" ht="18">
      <c r="A555" s="85"/>
      <c r="B555" s="104"/>
      <c r="C555" s="3"/>
      <c r="D555" s="78"/>
      <c r="E555" s="22" t="str">
        <f>IF(B555="","",IF(A555=0,"DOT PERDIDA",IF(COUNTIF(ASIGNACIONES!$B$4:$B948,B555)=1,"DOTACION ASIGNADA",IF(C555="VISITAS","DOTACION VISITA",IF(C555="MTTO","DOTACION MTTO",IF(C555="PLANTA EMERGENCIA","DOTACION RES DE EMERGENCIA",IF(C555="EXTERNOS","DOTACION DE EXTERNO","DOTACION DISPONIBLE")))))))</f>
        <v/>
      </c>
    </row>
    <row r="556" spans="1:5" ht="18">
      <c r="A556" s="85"/>
      <c r="B556" s="104"/>
      <c r="C556" s="3"/>
      <c r="D556" s="78"/>
      <c r="E556" s="22" t="str">
        <f>IF(B556="","",IF(A556=0,"DOT PERDIDA",IF(COUNTIF(ASIGNACIONES!$B$4:$B948,B556)=1,"DOTACION ASIGNADA",IF(C556="VISITAS","DOTACION VISITA",IF(C556="MTTO","DOTACION MTTO",IF(C556="PLANTA EMERGENCIA","DOTACION RES DE EMERGENCIA",IF(C556="EXTERNOS","DOTACION DE EXTERNO","DOTACION DISPONIBLE")))))))</f>
        <v/>
      </c>
    </row>
    <row r="557" spans="1:5" ht="18">
      <c r="A557" s="85"/>
      <c r="B557" s="104"/>
      <c r="C557" s="3"/>
      <c r="D557" s="78"/>
      <c r="E557" s="22" t="str">
        <f>IF(B557="","",IF(A557=0,"DOT PERDIDA",IF(COUNTIF(ASIGNACIONES!$B$4:$B948,B557)=1,"DOTACION ASIGNADA",IF(C557="VISITAS","DOTACION VISITA",IF(C557="MTTO","DOTACION MTTO",IF(C557="PLANTA EMERGENCIA","DOTACION RES DE EMERGENCIA",IF(C557="EXTERNOS","DOTACION DE EXTERNO","DOTACION DISPONIBLE")))))))</f>
        <v/>
      </c>
    </row>
    <row r="558" spans="1:5" ht="18">
      <c r="A558" s="85"/>
      <c r="B558" s="104"/>
      <c r="C558" s="3"/>
      <c r="D558" s="78"/>
      <c r="E558" s="22" t="str">
        <f>IF(B558="","",IF(A558=0,"DOT PERDIDA",IF(COUNTIF(ASIGNACIONES!$B$4:$B948,B558)=1,"DOTACION ASIGNADA",IF(C558="VISITAS","DOTACION VISITA",IF(C558="MTTO","DOTACION MTTO",IF(C558="PLANTA EMERGENCIA","DOTACION RES DE EMERGENCIA",IF(C558="EXTERNOS","DOTACION DE EXTERNO","DOTACION DISPONIBLE")))))))</f>
        <v/>
      </c>
    </row>
    <row r="559" spans="1:5" ht="18">
      <c r="A559" s="85"/>
      <c r="B559" s="104"/>
      <c r="C559" s="3"/>
      <c r="D559" s="78"/>
      <c r="E559" s="22" t="str">
        <f>IF(B559="","",IF(A559=0,"DOT PERDIDA",IF(COUNTIF(ASIGNACIONES!$B$4:$B948,B559)=1,"DOTACION ASIGNADA",IF(C559="VISITAS","DOTACION VISITA",IF(C559="MTTO","DOTACION MTTO",IF(C559="PLANTA EMERGENCIA","DOTACION RES DE EMERGENCIA",IF(C559="EXTERNOS","DOTACION DE EXTERNO","DOTACION DISPONIBLE")))))))</f>
        <v/>
      </c>
    </row>
    <row r="560" spans="1:5" ht="18">
      <c r="A560" s="85"/>
      <c r="B560" s="104"/>
      <c r="C560" s="3"/>
      <c r="D560" s="78"/>
      <c r="E560" s="22" t="str">
        <f>IF(B560="","",IF(A560=0,"DOT PERDIDA",IF(COUNTIF(ASIGNACIONES!$B$4:$B948,B560)=1,"DOTACION ASIGNADA",IF(C560="VISITAS","DOTACION VISITA",IF(C560="MTTO","DOTACION MTTO",IF(C560="PLANTA EMERGENCIA","DOTACION RES DE EMERGENCIA",IF(C560="EXTERNOS","DOTACION DE EXTERNO","DOTACION DISPONIBLE")))))))</f>
        <v/>
      </c>
    </row>
    <row r="561" spans="1:5" ht="18">
      <c r="A561" s="85"/>
      <c r="B561" s="104"/>
      <c r="C561" s="3"/>
      <c r="D561" s="78"/>
      <c r="E561" s="22" t="str">
        <f>IF(B561="","",IF(A561=0,"DOT PERDIDA",IF(COUNTIF(ASIGNACIONES!$B$4:$B948,B561)=1,"DOTACION ASIGNADA",IF(C561="VISITAS","DOTACION VISITA",IF(C561="MTTO","DOTACION MTTO",IF(C561="PLANTA EMERGENCIA","DOTACION RES DE EMERGENCIA",IF(C561="EXTERNOS","DOTACION DE EXTERNO","DOTACION DISPONIBLE")))))))</f>
        <v/>
      </c>
    </row>
    <row r="562" spans="1:5" ht="18">
      <c r="A562" s="85"/>
      <c r="B562" s="104"/>
      <c r="C562" s="3"/>
      <c r="D562" s="78"/>
      <c r="E562" s="22" t="str">
        <f>IF(B562="","",IF(A562=0,"DOT PERDIDA",IF(COUNTIF(ASIGNACIONES!$B$4:$B948,B562)=1,"DOTACION ASIGNADA",IF(C562="VISITAS","DOTACION VISITA",IF(C562="MTTO","DOTACION MTTO",IF(C562="PLANTA EMERGENCIA","DOTACION RES DE EMERGENCIA",IF(C562="EXTERNOS","DOTACION DE EXTERNO","DOTACION DISPONIBLE")))))))</f>
        <v/>
      </c>
    </row>
    <row r="563" spans="1:5" ht="18">
      <c r="A563" s="85"/>
      <c r="B563" s="104"/>
      <c r="C563" s="3"/>
      <c r="D563" s="78"/>
      <c r="E563" s="22" t="str">
        <f>IF(B563="","",IF(A563=0,"DOT PERDIDA",IF(COUNTIF(ASIGNACIONES!$B$4:$B948,B563)=1,"DOTACION ASIGNADA",IF(C563="VISITAS","DOTACION VISITA",IF(C563="MTTO","DOTACION MTTO",IF(C563="PLANTA EMERGENCIA","DOTACION RES DE EMERGENCIA",IF(C563="EXTERNOS","DOTACION DE EXTERNO","DOTACION DISPONIBLE")))))))</f>
        <v/>
      </c>
    </row>
    <row r="564" spans="1:5" ht="18">
      <c r="A564" s="85"/>
      <c r="B564" s="104"/>
      <c r="C564" s="3"/>
      <c r="D564" s="78"/>
      <c r="E564" s="22" t="str">
        <f>IF(B564="","",IF(A564=0,"DOT PERDIDA",IF(COUNTIF(ASIGNACIONES!$B$4:$B948,B564)=1,"DOTACION ASIGNADA",IF(C564="VISITAS","DOTACION VISITA",IF(C564="MTTO","DOTACION MTTO",IF(C564="PLANTA EMERGENCIA","DOTACION RES DE EMERGENCIA",IF(C564="EXTERNOS","DOTACION DE EXTERNO","DOTACION DISPONIBLE")))))))</f>
        <v/>
      </c>
    </row>
    <row r="565" spans="1:5" ht="18">
      <c r="A565" s="85"/>
      <c r="B565" s="104"/>
      <c r="C565" s="3"/>
      <c r="D565" s="78"/>
      <c r="E565" s="22" t="str">
        <f>IF(B565="","",IF(A565=0,"DOT PERDIDA",IF(COUNTIF(ASIGNACIONES!$B$4:$B948,B565)=1,"DOTACION ASIGNADA",IF(C565="VISITAS","DOTACION VISITA",IF(C565="MTTO","DOTACION MTTO",IF(C565="PLANTA EMERGENCIA","DOTACION RES DE EMERGENCIA",IF(C565="EXTERNOS","DOTACION DE EXTERNO","DOTACION DISPONIBLE")))))))</f>
        <v/>
      </c>
    </row>
    <row r="566" spans="1:5" ht="18">
      <c r="A566" s="85"/>
      <c r="B566" s="104"/>
      <c r="C566" s="3"/>
      <c r="D566" s="78"/>
      <c r="E566" s="22" t="str">
        <f>IF(B566="","",IF(A566=0,"DOT PERDIDA",IF(COUNTIF(ASIGNACIONES!$B$4:$B948,B566)=1,"DOTACION ASIGNADA",IF(C566="VISITAS","DOTACION VISITA",IF(C566="MTTO","DOTACION MTTO",IF(C566="PLANTA EMERGENCIA","DOTACION RES DE EMERGENCIA",IF(C566="EXTERNOS","DOTACION DE EXTERNO","DOTACION DISPONIBLE")))))))</f>
        <v/>
      </c>
    </row>
    <row r="567" spans="1:5" ht="18">
      <c r="A567" s="85"/>
      <c r="B567" s="104"/>
      <c r="C567" s="3"/>
      <c r="D567" s="78"/>
      <c r="E567" s="22" t="str">
        <f>IF(B567="","",IF(A567=0,"DOT PERDIDA",IF(COUNTIF(ASIGNACIONES!$B$4:$B948,B567)=1,"DOTACION ASIGNADA",IF(C567="VISITAS","DOTACION VISITA",IF(C567="MTTO","DOTACION MTTO",IF(C567="PLANTA EMERGENCIA","DOTACION RES DE EMERGENCIA",IF(C567="EXTERNOS","DOTACION DE EXTERNO","DOTACION DISPONIBLE")))))))</f>
        <v/>
      </c>
    </row>
    <row r="568" spans="1:5" ht="18">
      <c r="A568" s="85"/>
      <c r="B568" s="104"/>
      <c r="C568" s="3"/>
      <c r="D568" s="78"/>
      <c r="E568" s="22" t="str">
        <f>IF(B568="","",IF(A568=0,"DOT PERDIDA",IF(COUNTIF(ASIGNACIONES!$B$4:$B948,B568)=1,"DOTACION ASIGNADA",IF(C568="VISITAS","DOTACION VISITA",IF(C568="MTTO","DOTACION MTTO",IF(C568="PLANTA EMERGENCIA","DOTACION RES DE EMERGENCIA",IF(C568="EXTERNOS","DOTACION DE EXTERNO","DOTACION DISPONIBLE")))))))</f>
        <v/>
      </c>
    </row>
    <row r="569" spans="1:5" ht="18">
      <c r="A569" s="85"/>
      <c r="B569" s="104"/>
      <c r="C569" s="3"/>
      <c r="D569" s="78"/>
      <c r="E569" s="22" t="str">
        <f>IF(B569="","",IF(A569=0,"DOT PERDIDA",IF(COUNTIF(ASIGNACIONES!$B$4:$B948,B569)=1,"DOTACION ASIGNADA",IF(C569="VISITAS","DOTACION VISITA",IF(C569="MTTO","DOTACION MTTO",IF(C569="PLANTA EMERGENCIA","DOTACION RES DE EMERGENCIA",IF(C569="EXTERNOS","DOTACION DE EXTERNO","DOTACION DISPONIBLE")))))))</f>
        <v/>
      </c>
    </row>
    <row r="570" spans="1:5" ht="18">
      <c r="A570" s="85"/>
      <c r="B570" s="104"/>
      <c r="C570" s="3"/>
      <c r="D570" s="78"/>
      <c r="E570" s="22" t="str">
        <f>IF(B570="","",IF(A570=0,"DOT PERDIDA",IF(COUNTIF(ASIGNACIONES!$B$4:$B948,B570)=1,"DOTACION ASIGNADA",IF(C570="VISITAS","DOTACION VISITA",IF(C570="MTTO","DOTACION MTTO",IF(C570="PLANTA EMERGENCIA","DOTACION RES DE EMERGENCIA",IF(C570="EXTERNOS","DOTACION DE EXTERNO","DOTACION DISPONIBLE")))))))</f>
        <v/>
      </c>
    </row>
    <row r="571" spans="1:5" ht="18">
      <c r="A571" s="85"/>
      <c r="B571" s="104"/>
      <c r="C571" s="3"/>
      <c r="D571" s="78"/>
      <c r="E571" s="22" t="str">
        <f>IF(B571="","",IF(A571=0,"DOT PERDIDA",IF(COUNTIF(ASIGNACIONES!$B$4:$B948,B571)=1,"DOTACION ASIGNADA",IF(C571="VISITAS","DOTACION VISITA",IF(C571="MTTO","DOTACION MTTO",IF(C571="PLANTA EMERGENCIA","DOTACION RES DE EMERGENCIA",IF(C571="EXTERNOS","DOTACION DE EXTERNO","DOTACION DISPONIBLE")))))))</f>
        <v/>
      </c>
    </row>
    <row r="572" spans="1:5" ht="18">
      <c r="A572" s="85"/>
      <c r="B572" s="104"/>
      <c r="C572" s="3"/>
      <c r="D572" s="78"/>
      <c r="E572" s="22" t="str">
        <f>IF(B572="","",IF(A572=0,"DOT PERDIDA",IF(COUNTIF(ASIGNACIONES!$B$4:$B948,B572)=1,"DOTACION ASIGNADA",IF(C572="VISITAS","DOTACION VISITA",IF(C572="MTTO","DOTACION MTTO",IF(C572="PLANTA EMERGENCIA","DOTACION RES DE EMERGENCIA",IF(C572="EXTERNOS","DOTACION DE EXTERNO","DOTACION DISPONIBLE")))))))</f>
        <v/>
      </c>
    </row>
    <row r="573" spans="1:5" ht="18">
      <c r="A573" s="85"/>
      <c r="B573" s="104"/>
      <c r="C573" s="3"/>
      <c r="D573" s="78"/>
      <c r="E573" s="22" t="str">
        <f>IF(B573="","",IF(A573=0,"DOT PERDIDA",IF(COUNTIF(ASIGNACIONES!$B$4:$B948,B573)=1,"DOTACION ASIGNADA",IF(C573="VISITAS","DOTACION VISITA",IF(C573="MTTO","DOTACION MTTO",IF(C573="PLANTA EMERGENCIA","DOTACION RES DE EMERGENCIA",IF(C573="EXTERNOS","DOTACION DE EXTERNO","DOTACION DISPONIBLE")))))))</f>
        <v/>
      </c>
    </row>
    <row r="574" spans="1:5" ht="18">
      <c r="A574" s="85"/>
      <c r="B574" s="104"/>
      <c r="C574" s="3"/>
      <c r="D574" s="78"/>
      <c r="E574" s="22" t="str">
        <f>IF(B574="","",IF(A574=0,"DOT PERDIDA",IF(COUNTIF(ASIGNACIONES!$B$4:$B948,B574)=1,"DOTACION ASIGNADA",IF(C574="VISITAS","DOTACION VISITA",IF(C574="MTTO","DOTACION MTTO",IF(C574="PLANTA EMERGENCIA","DOTACION RES DE EMERGENCIA",IF(C574="EXTERNOS","DOTACION DE EXTERNO","DOTACION DISPONIBLE")))))))</f>
        <v/>
      </c>
    </row>
    <row r="575" spans="1:5" ht="18">
      <c r="A575" s="85"/>
      <c r="B575" s="104"/>
      <c r="C575" s="3"/>
      <c r="D575" s="78"/>
      <c r="E575" s="22" t="str">
        <f>IF(B575="","",IF(A575=0,"DOT PERDIDA",IF(COUNTIF(ASIGNACIONES!$B$4:$B948,B575)=1,"DOTACION ASIGNADA",IF(C575="VISITAS","DOTACION VISITA",IF(C575="MTTO","DOTACION MTTO",IF(C575="PLANTA EMERGENCIA","DOTACION RES DE EMERGENCIA",IF(C575="EXTERNOS","DOTACION DE EXTERNO","DOTACION DISPONIBLE")))))))</f>
        <v/>
      </c>
    </row>
    <row r="576" spans="1:5" ht="18">
      <c r="A576" s="85"/>
      <c r="B576" s="104"/>
      <c r="C576" s="3"/>
      <c r="D576" s="78"/>
      <c r="E576" s="22" t="str">
        <f>IF(B576="","",IF(A576=0,"DOT PERDIDA",IF(COUNTIF(ASIGNACIONES!$B$4:$B948,B576)=1,"DOTACION ASIGNADA",IF(C576="VISITAS","DOTACION VISITA",IF(C576="MTTO","DOTACION MTTO",IF(C576="PLANTA EMERGENCIA","DOTACION RES DE EMERGENCIA",IF(C576="EXTERNOS","DOTACION DE EXTERNO","DOTACION DISPONIBLE")))))))</f>
        <v/>
      </c>
    </row>
    <row r="577" spans="1:5" ht="18">
      <c r="A577" s="85"/>
      <c r="B577" s="104"/>
      <c r="C577" s="3"/>
      <c r="D577" s="78"/>
      <c r="E577" s="22" t="str">
        <f>IF(B577="","",IF(A577=0,"DOT PERDIDA",IF(COUNTIF(ASIGNACIONES!$B$4:$B948,B577)=1,"DOTACION ASIGNADA",IF(C577="VISITAS","DOTACION VISITA",IF(C577="MTTO","DOTACION MTTO",IF(C577="PLANTA EMERGENCIA","DOTACION RES DE EMERGENCIA",IF(C577="EXTERNOS","DOTACION DE EXTERNO","DOTACION DISPONIBLE")))))))</f>
        <v/>
      </c>
    </row>
    <row r="578" spans="1:5" ht="18">
      <c r="A578" s="85"/>
      <c r="B578" s="104"/>
      <c r="C578" s="3"/>
      <c r="D578" s="78"/>
      <c r="E578" s="22" t="str">
        <f>IF(B578="","",IF(A578=0,"DOT PERDIDA",IF(COUNTIF(ASIGNACIONES!$B$4:$B948,B578)=1,"DOTACION ASIGNADA",IF(C578="VISITAS","DOTACION VISITA",IF(C578="MTTO","DOTACION MTTO",IF(C578="PLANTA EMERGENCIA","DOTACION RES DE EMERGENCIA",IF(C578="EXTERNOS","DOTACION DE EXTERNO","DOTACION DISPONIBLE")))))))</f>
        <v/>
      </c>
    </row>
    <row r="579" spans="1:5" ht="18">
      <c r="A579" s="85"/>
      <c r="B579" s="104"/>
      <c r="C579" s="3"/>
      <c r="D579" s="78"/>
      <c r="E579" s="22" t="str">
        <f>IF(B579="","",IF(A579=0,"DOT PERDIDA",IF(COUNTIF(ASIGNACIONES!$B$4:$B948,B579)=1,"DOTACION ASIGNADA",IF(C579="VISITAS","DOTACION VISITA",IF(C579="MTTO","DOTACION MTTO",IF(C579="PLANTA EMERGENCIA","DOTACION RES DE EMERGENCIA",IF(C579="EXTERNOS","DOTACION DE EXTERNO","DOTACION DISPONIBLE")))))))</f>
        <v/>
      </c>
    </row>
    <row r="580" spans="1:5" ht="18">
      <c r="A580" s="85"/>
      <c r="B580" s="104"/>
      <c r="C580" s="3"/>
      <c r="D580" s="78"/>
      <c r="E580" s="22" t="str">
        <f>IF(B580="","",IF(A580=0,"DOT PERDIDA",IF(COUNTIF(ASIGNACIONES!$B$4:$B948,B580)=1,"DOTACION ASIGNADA",IF(C580="VISITAS","DOTACION VISITA",IF(C580="MTTO","DOTACION MTTO",IF(C580="PLANTA EMERGENCIA","DOTACION RES DE EMERGENCIA",IF(C580="EXTERNOS","DOTACION DE EXTERNO","DOTACION DISPONIBLE")))))))</f>
        <v/>
      </c>
    </row>
    <row r="581" spans="1:5" ht="18">
      <c r="A581" s="85"/>
      <c r="B581" s="104"/>
      <c r="C581" s="3"/>
      <c r="D581" s="78"/>
      <c r="E581" s="22" t="str">
        <f>IF(B581="","",IF(A581=0,"DOT PERDIDA",IF(COUNTIF(ASIGNACIONES!$B$4:$B948,B581)=1,"DOTACION ASIGNADA",IF(C581="VISITAS","DOTACION VISITA",IF(C581="MTTO","DOTACION MTTO",IF(C581="PLANTA EMERGENCIA","DOTACION RES DE EMERGENCIA",IF(C581="EXTERNOS","DOTACION DE EXTERNO","DOTACION DISPONIBLE")))))))</f>
        <v/>
      </c>
    </row>
    <row r="582" spans="1:5" ht="18">
      <c r="A582" s="85"/>
      <c r="B582" s="104"/>
      <c r="C582" s="3"/>
      <c r="D582" s="78"/>
      <c r="E582" s="22" t="str">
        <f>IF(B582="","",IF(A582=0,"DOT PERDIDA",IF(COUNTIF(ASIGNACIONES!$B$4:$B948,B582)=1,"DOTACION ASIGNADA",IF(C582="VISITAS","DOTACION VISITA",IF(C582="MTTO","DOTACION MTTO",IF(C582="PLANTA EMERGENCIA","DOTACION RES DE EMERGENCIA",IF(C582="EXTERNOS","DOTACION DE EXTERNO","DOTACION DISPONIBLE")))))))</f>
        <v/>
      </c>
    </row>
    <row r="583" spans="1:5" ht="18">
      <c r="A583" s="85"/>
      <c r="B583" s="104"/>
      <c r="C583" s="3"/>
      <c r="D583" s="78"/>
      <c r="E583" s="22" t="str">
        <f>IF(B583="","",IF(A583=0,"DOT PERDIDA",IF(COUNTIF(ASIGNACIONES!$B$4:$B948,B583)=1,"DOTACION ASIGNADA",IF(C583="VISITAS","DOTACION VISITA",IF(C583="MTTO","DOTACION MTTO",IF(C583="PLANTA EMERGENCIA","DOTACION RES DE EMERGENCIA",IF(C583="EXTERNOS","DOTACION DE EXTERNO","DOTACION DISPONIBLE")))))))</f>
        <v/>
      </c>
    </row>
    <row r="584" spans="1:5" ht="18">
      <c r="A584" s="85"/>
      <c r="B584" s="104"/>
      <c r="C584" s="3"/>
      <c r="D584" s="78"/>
      <c r="E584" s="22" t="str">
        <f>IF(B584="","",IF(A584=0,"DOT PERDIDA",IF(COUNTIF(ASIGNACIONES!$B$4:$B948,B584)=1,"DOTACION ASIGNADA",IF(C584="VISITAS","DOTACION VISITA",IF(C584="MTTO","DOTACION MTTO",IF(C584="PLANTA EMERGENCIA","DOTACION RES DE EMERGENCIA",IF(C584="EXTERNOS","DOTACION DE EXTERNO","DOTACION DISPONIBLE")))))))</f>
        <v/>
      </c>
    </row>
    <row r="585" spans="1:5" ht="18">
      <c r="A585" s="85"/>
      <c r="B585" s="104"/>
      <c r="C585" s="3"/>
      <c r="D585" s="78"/>
      <c r="E585" s="22" t="str">
        <f>IF(B585="","",IF(A585=0,"DOT PERDIDA",IF(COUNTIF(ASIGNACIONES!$B$4:$B948,B585)=1,"DOTACION ASIGNADA",IF(C585="VISITAS","DOTACION VISITA",IF(C585="MTTO","DOTACION MTTO",IF(C585="PLANTA EMERGENCIA","DOTACION RES DE EMERGENCIA",IF(C585="EXTERNOS","DOTACION DE EXTERNO","DOTACION DISPONIBLE")))))))</f>
        <v/>
      </c>
    </row>
    <row r="586" spans="1:5" ht="18">
      <c r="A586" s="85"/>
      <c r="B586" s="104"/>
      <c r="C586" s="3"/>
      <c r="D586" s="78"/>
      <c r="E586" s="22" t="str">
        <f>IF(B586="","",IF(A586=0,"DOT PERDIDA",IF(COUNTIF(ASIGNACIONES!$B$4:$B948,B586)=1,"DOTACION ASIGNADA",IF(C586="VISITAS","DOTACION VISITA",IF(C586="MTTO","DOTACION MTTO",IF(C586="PLANTA EMERGENCIA","DOTACION RES DE EMERGENCIA",IF(C586="EXTERNOS","DOTACION DE EXTERNO","DOTACION DISPONIBLE")))))))</f>
        <v/>
      </c>
    </row>
    <row r="587" spans="1:5" ht="18">
      <c r="A587" s="85"/>
      <c r="B587" s="104"/>
      <c r="C587" s="3"/>
      <c r="D587" s="78"/>
      <c r="E587" s="22" t="str">
        <f>IF(B587="","",IF(A587=0,"DOT PERDIDA",IF(COUNTIF(ASIGNACIONES!$B$4:$B948,B587)=1,"DOTACION ASIGNADA",IF(C587="VISITAS","DOTACION VISITA",IF(C587="MTTO","DOTACION MTTO",IF(C587="PLANTA EMERGENCIA","DOTACION RES DE EMERGENCIA",IF(C587="EXTERNOS","DOTACION DE EXTERNO","DOTACION DISPONIBLE")))))))</f>
        <v/>
      </c>
    </row>
    <row r="588" spans="1:5" ht="18">
      <c r="A588" s="85"/>
      <c r="B588" s="104"/>
      <c r="C588" s="3"/>
      <c r="D588" s="78"/>
      <c r="E588" s="22" t="str">
        <f>IF(B588="","",IF(A588=0,"DOT PERDIDA",IF(COUNTIF(ASIGNACIONES!$B$4:$B948,B588)=1,"DOTACION ASIGNADA",IF(C588="VISITAS","DOTACION VISITA",IF(C588="MTTO","DOTACION MTTO",IF(C588="PLANTA EMERGENCIA","DOTACION RES DE EMERGENCIA",IF(C588="EXTERNOS","DOTACION DE EXTERNO","DOTACION DISPONIBLE")))))))</f>
        <v/>
      </c>
    </row>
    <row r="589" spans="1:5" ht="18">
      <c r="A589" s="85"/>
      <c r="B589" s="104"/>
      <c r="C589" s="3"/>
      <c r="D589" s="78"/>
      <c r="E589" s="22" t="str">
        <f>IF(B589="","",IF(A589=0,"DOT PERDIDA",IF(COUNTIF(ASIGNACIONES!$B$4:$B948,B589)=1,"DOTACION ASIGNADA",IF(C589="VISITAS","DOTACION VISITA",IF(C589="MTTO","DOTACION MTTO",IF(C589="PLANTA EMERGENCIA","DOTACION RES DE EMERGENCIA",IF(C589="EXTERNOS","DOTACION DE EXTERNO","DOTACION DISPONIBLE")))))))</f>
        <v/>
      </c>
    </row>
    <row r="590" spans="1:5" ht="18">
      <c r="A590" s="85"/>
      <c r="B590" s="104"/>
      <c r="C590" s="3"/>
      <c r="D590" s="78"/>
      <c r="E590" s="22" t="str">
        <f>IF(B590="","",IF(A590=0,"DOT PERDIDA",IF(COUNTIF(ASIGNACIONES!$B$4:$B948,B590)=1,"DOTACION ASIGNADA",IF(C590="VISITAS","DOTACION VISITA",IF(C590="MTTO","DOTACION MTTO",IF(C590="PLANTA EMERGENCIA","DOTACION RES DE EMERGENCIA",IF(C590="EXTERNOS","DOTACION DE EXTERNO","DOTACION DISPONIBLE")))))))</f>
        <v/>
      </c>
    </row>
    <row r="591" spans="1:5" ht="18">
      <c r="A591" s="85"/>
      <c r="B591" s="104"/>
      <c r="C591" s="3"/>
      <c r="D591" s="78"/>
      <c r="E591" s="22" t="str">
        <f>IF(B591="","",IF(A591=0,"DOT PERDIDA",IF(COUNTIF(ASIGNACIONES!$B$4:$B948,B591)=1,"DOTACION ASIGNADA",IF(C591="VISITAS","DOTACION VISITA",IF(C591="MTTO","DOTACION MTTO",IF(C591="PLANTA EMERGENCIA","DOTACION RES DE EMERGENCIA",IF(C591="EXTERNOS","DOTACION DE EXTERNO","DOTACION DISPONIBLE")))))))</f>
        <v/>
      </c>
    </row>
    <row r="592" spans="1:5" ht="18">
      <c r="A592" s="85"/>
      <c r="B592" s="104"/>
      <c r="C592" s="3"/>
      <c r="D592" s="78"/>
      <c r="E592" s="22" t="str">
        <f>IF(B592="","",IF(A592=0,"DOT PERDIDA",IF(COUNTIF(ASIGNACIONES!$B$4:$B948,B592)=1,"DOTACION ASIGNADA",IF(C592="VISITAS","DOTACION VISITA",IF(C592="MTTO","DOTACION MTTO",IF(C592="PLANTA EMERGENCIA","DOTACION RES DE EMERGENCIA",IF(C592="EXTERNOS","DOTACION DE EXTERNO","DOTACION DISPONIBLE")))))))</f>
        <v/>
      </c>
    </row>
    <row r="593" spans="1:5" ht="18">
      <c r="A593" s="85"/>
      <c r="B593" s="104"/>
      <c r="C593" s="3"/>
      <c r="D593" s="78"/>
      <c r="E593" s="22" t="str">
        <f>IF(B593="","",IF(A593=0,"DOT PERDIDA",IF(COUNTIF(ASIGNACIONES!$B$4:$B948,B593)=1,"DOTACION ASIGNADA",IF(C593="VISITAS","DOTACION VISITA",IF(C593="MTTO","DOTACION MTTO",IF(C593="PLANTA EMERGENCIA","DOTACION RES DE EMERGENCIA",IF(C593="EXTERNOS","DOTACION DE EXTERNO","DOTACION DISPONIBLE")))))))</f>
        <v/>
      </c>
    </row>
    <row r="594" spans="1:5" ht="18">
      <c r="A594" s="85"/>
      <c r="B594" s="104"/>
      <c r="C594" s="3"/>
      <c r="D594" s="78"/>
      <c r="E594" s="22" t="str">
        <f>IF(B594="","",IF(A594=0,"DOT PERDIDA",IF(COUNTIF(ASIGNACIONES!$B$4:$B948,B594)=1,"DOTACION ASIGNADA",IF(C594="VISITAS","DOTACION VISITA",IF(C594="MTTO","DOTACION MTTO",IF(C594="PLANTA EMERGENCIA","DOTACION RES DE EMERGENCIA",IF(C594="EXTERNOS","DOTACION DE EXTERNO","DOTACION DISPONIBLE")))))))</f>
        <v/>
      </c>
    </row>
    <row r="595" spans="1:5" ht="18">
      <c r="A595" s="85"/>
      <c r="B595" s="104"/>
      <c r="C595" s="3"/>
      <c r="D595" s="78"/>
      <c r="E595" s="22" t="str">
        <f>IF(B595="","",IF(A595=0,"DOT PERDIDA",IF(COUNTIF(ASIGNACIONES!$B$4:$B948,B595)=1,"DOTACION ASIGNADA",IF(C595="VISITAS","DOTACION VISITA",IF(C595="MTTO","DOTACION MTTO",IF(C595="PLANTA EMERGENCIA","DOTACION RES DE EMERGENCIA",IF(C595="EXTERNOS","DOTACION DE EXTERNO","DOTACION DISPONIBLE")))))))</f>
        <v/>
      </c>
    </row>
    <row r="596" spans="1:5" ht="18">
      <c r="A596" s="85"/>
      <c r="B596" s="104"/>
      <c r="C596" s="3"/>
      <c r="D596" s="78"/>
      <c r="E596" s="22" t="str">
        <f>IF(B596="","",IF(A596=0,"DOT PERDIDA",IF(COUNTIF(ASIGNACIONES!$B$4:$B948,B596)=1,"DOTACION ASIGNADA",IF(C596="VISITAS","DOTACION VISITA",IF(C596="MTTO","DOTACION MTTO",IF(C596="PLANTA EMERGENCIA","DOTACION RES DE EMERGENCIA",IF(C596="EXTERNOS","DOTACION DE EXTERNO","DOTACION DISPONIBLE")))))))</f>
        <v/>
      </c>
    </row>
    <row r="597" spans="1:5" ht="18">
      <c r="A597" s="85"/>
      <c r="B597" s="104"/>
      <c r="C597" s="3"/>
      <c r="D597" s="78"/>
      <c r="E597" s="22" t="str">
        <f>IF(B597="","",IF(A597=0,"DOT PERDIDA",IF(COUNTIF(ASIGNACIONES!$B$4:$B948,B597)=1,"DOTACION ASIGNADA",IF(C597="VISITAS","DOTACION VISITA",IF(C597="MTTO","DOTACION MTTO",IF(C597="PLANTA EMERGENCIA","DOTACION RES DE EMERGENCIA",IF(C597="EXTERNOS","DOTACION DE EXTERNO","DOTACION DISPONIBLE")))))))</f>
        <v/>
      </c>
    </row>
    <row r="598" spans="1:5" ht="18">
      <c r="A598" s="85"/>
      <c r="B598" s="104"/>
      <c r="C598" s="3"/>
      <c r="D598" s="78"/>
      <c r="E598" s="22" t="str">
        <f>IF(B598="","",IF(A598=0,"DOT PERDIDA",IF(COUNTIF(ASIGNACIONES!$B$4:$B948,B598)=1,"DOTACION ASIGNADA",IF(C598="VISITAS","DOTACION VISITA",IF(C598="MTTO","DOTACION MTTO",IF(C598="PLANTA EMERGENCIA","DOTACION RES DE EMERGENCIA",IF(C598="EXTERNOS","DOTACION DE EXTERNO","DOTACION DISPONIBLE")))))))</f>
        <v/>
      </c>
    </row>
    <row r="599" spans="1:5" ht="18">
      <c r="A599" s="85"/>
      <c r="B599" s="104"/>
      <c r="C599" s="3"/>
      <c r="D599" s="78"/>
      <c r="E599" s="22" t="str">
        <f>IF(B599="","",IF(A599=0,"DOT PERDIDA",IF(COUNTIF(ASIGNACIONES!$B$4:$B948,B599)=1,"DOTACION ASIGNADA",IF(C599="VISITAS","DOTACION VISITA",IF(C599="MTTO","DOTACION MTTO",IF(C599="PLANTA EMERGENCIA","DOTACION RES DE EMERGENCIA",IF(C599="EXTERNOS","DOTACION DE EXTERNO","DOTACION DISPONIBLE")))))))</f>
        <v/>
      </c>
    </row>
    <row r="600" spans="1:5" ht="18">
      <c r="A600" s="85"/>
      <c r="B600" s="104"/>
      <c r="C600" s="3"/>
      <c r="D600" s="78"/>
      <c r="E600" s="22" t="str">
        <f>IF(B600="","",IF(A600=0,"DOT PERDIDA",IF(COUNTIF(ASIGNACIONES!$B$4:$B948,B600)=1,"DOTACION ASIGNADA",IF(C600="VISITAS","DOTACION VISITA",IF(C600="MTTO","DOTACION MTTO",IF(C600="PLANTA EMERGENCIA","DOTACION RES DE EMERGENCIA",IF(C600="EXTERNOS","DOTACION DE EXTERNO","DOTACION DISPONIBLE")))))))</f>
        <v/>
      </c>
    </row>
    <row r="601" spans="1:5" ht="18">
      <c r="A601" s="85"/>
      <c r="B601" s="104"/>
      <c r="C601" s="3"/>
      <c r="D601" s="78"/>
      <c r="E601" s="22" t="str">
        <f>IF(B601="","",IF(A601=0,"DOT PERDIDA",IF(COUNTIF(ASIGNACIONES!$B$4:$B948,B601)=1,"DOTACION ASIGNADA",IF(C601="VISITAS","DOTACION VISITA",IF(C601="MTTO","DOTACION MTTO",IF(C601="PLANTA EMERGENCIA","DOTACION RES DE EMERGENCIA",IF(C601="EXTERNOS","DOTACION DE EXTERNO","DOTACION DISPONIBLE")))))))</f>
        <v/>
      </c>
    </row>
    <row r="602" spans="1:5" ht="18">
      <c r="A602" s="85"/>
      <c r="B602" s="104"/>
      <c r="C602" s="3"/>
      <c r="D602" s="78"/>
      <c r="E602" s="22" t="str">
        <f>IF(B602="","",IF(A602=0,"DOT PERDIDA",IF(COUNTIF(ASIGNACIONES!$B$4:$B948,B602)=1,"DOTACION ASIGNADA",IF(C602="VISITAS","DOTACION VISITA",IF(C602="MTTO","DOTACION MTTO",IF(C602="PLANTA EMERGENCIA","DOTACION RES DE EMERGENCIA",IF(C602="EXTERNOS","DOTACION DE EXTERNO","DOTACION DISPONIBLE")))))))</f>
        <v/>
      </c>
    </row>
    <row r="603" spans="1:5" ht="18">
      <c r="A603" s="85"/>
      <c r="B603" s="104"/>
      <c r="C603" s="3"/>
      <c r="D603" s="78"/>
      <c r="E603" s="22" t="str">
        <f>IF(B603="","",IF(A603=0,"DOT PERDIDA",IF(COUNTIF(ASIGNACIONES!$B$4:$B948,B603)=1,"DOTACION ASIGNADA",IF(C603="VISITAS","DOTACION VISITA",IF(C603="MTTO","DOTACION MTTO",IF(C603="PLANTA EMERGENCIA","DOTACION RES DE EMERGENCIA",IF(C603="EXTERNOS","DOTACION DE EXTERNO","DOTACION DISPONIBLE")))))))</f>
        <v/>
      </c>
    </row>
    <row r="604" spans="1:5" ht="18">
      <c r="A604" s="85"/>
      <c r="B604" s="104"/>
      <c r="C604" s="3"/>
      <c r="D604" s="78"/>
      <c r="E604" s="22" t="str">
        <f>IF(B604="","",IF(A604=0,"DOT PERDIDA",IF(COUNTIF(ASIGNACIONES!$B$4:$B948,B604)=1,"DOTACION ASIGNADA",IF(C604="VISITAS","DOTACION VISITA",IF(C604="MTTO","DOTACION MTTO",IF(C604="PLANTA EMERGENCIA","DOTACION RES DE EMERGENCIA",IF(C604="EXTERNOS","DOTACION DE EXTERNO","DOTACION DISPONIBLE")))))))</f>
        <v/>
      </c>
    </row>
    <row r="605" spans="1:5" ht="18">
      <c r="A605" s="85"/>
      <c r="B605" s="104"/>
      <c r="C605" s="3"/>
      <c r="D605" s="78"/>
      <c r="E605" s="22" t="str">
        <f>IF(B605="","",IF(A605=0,"DOT PERDIDA",IF(COUNTIF(ASIGNACIONES!$B$4:$B948,B605)=1,"DOTACION ASIGNADA",IF(C605="VISITAS","DOTACION VISITA",IF(C605="MTTO","DOTACION MTTO",IF(C605="PLANTA EMERGENCIA","DOTACION RES DE EMERGENCIA",IF(C605="EXTERNOS","DOTACION DE EXTERNO","DOTACION DISPONIBLE")))))))</f>
        <v/>
      </c>
    </row>
    <row r="606" spans="1:5" ht="18">
      <c r="A606" s="85"/>
      <c r="B606" s="104"/>
      <c r="C606" s="3"/>
      <c r="D606" s="78"/>
      <c r="E606" s="22" t="str">
        <f>IF(B606="","",IF(A606=0,"DOT PERDIDA",IF(COUNTIF(ASIGNACIONES!$B$4:$B948,B606)=1,"DOTACION ASIGNADA",IF(C606="VISITAS","DOTACION VISITA",IF(C606="MTTO","DOTACION MTTO",IF(C606="PLANTA EMERGENCIA","DOTACION RES DE EMERGENCIA",IF(C606="EXTERNOS","DOTACION DE EXTERNO","DOTACION DISPONIBLE")))))))</f>
        <v/>
      </c>
    </row>
    <row r="607" spans="1:5" ht="18">
      <c r="A607" s="85"/>
      <c r="B607" s="104"/>
      <c r="C607" s="3"/>
      <c r="D607" s="78"/>
      <c r="E607" s="22" t="str">
        <f>IF(B607="","",IF(A607=0,"DOT PERDIDA",IF(COUNTIF(ASIGNACIONES!$B$4:$B948,B607)=1,"DOTACION ASIGNADA",IF(C607="VISITAS","DOTACION VISITA",IF(C607="MTTO","DOTACION MTTO",IF(C607="PLANTA EMERGENCIA","DOTACION RES DE EMERGENCIA",IF(C607="EXTERNOS","DOTACION DE EXTERNO","DOTACION DISPONIBLE")))))))</f>
        <v/>
      </c>
    </row>
    <row r="608" spans="1:5" ht="18">
      <c r="A608" s="85"/>
      <c r="B608" s="104"/>
      <c r="C608" s="3"/>
      <c r="D608" s="78"/>
      <c r="E608" s="22" t="str">
        <f>IF(B608="","",IF(A608=0,"DOT PERDIDA",IF(COUNTIF(ASIGNACIONES!$B$4:$B948,B608)=1,"DOTACION ASIGNADA",IF(C608="VISITAS","DOTACION VISITA",IF(C608="MTTO","DOTACION MTTO",IF(C608="PLANTA EMERGENCIA","DOTACION RES DE EMERGENCIA",IF(C608="EXTERNOS","DOTACION DE EXTERNO","DOTACION DISPONIBLE")))))))</f>
        <v/>
      </c>
    </row>
    <row r="609" spans="1:5" ht="18">
      <c r="A609" s="85"/>
      <c r="B609" s="104"/>
      <c r="C609" s="3"/>
      <c r="D609" s="78"/>
      <c r="E609" s="22" t="str">
        <f>IF(B609="","",IF(A609=0,"DOT PERDIDA",IF(COUNTIF(ASIGNACIONES!$B$4:$B948,B609)=1,"DOTACION ASIGNADA",IF(C609="VISITAS","DOTACION VISITA",IF(C609="MTTO","DOTACION MTTO",IF(C609="PLANTA EMERGENCIA","DOTACION RES DE EMERGENCIA",IF(C609="EXTERNOS","DOTACION DE EXTERNO","DOTACION DISPONIBLE")))))))</f>
        <v/>
      </c>
    </row>
    <row r="610" spans="1:5" ht="18">
      <c r="A610" s="85"/>
      <c r="B610" s="104"/>
      <c r="C610" s="3"/>
      <c r="D610" s="78"/>
      <c r="E610" s="22" t="str">
        <f>IF(B610="","",IF(A610=0,"DOT PERDIDA",IF(COUNTIF(ASIGNACIONES!$B$4:$B948,B610)=1,"DOTACION ASIGNADA",IF(C610="VISITAS","DOTACION VISITA",IF(C610="MTTO","DOTACION MTTO",IF(C610="PLANTA EMERGENCIA","DOTACION RES DE EMERGENCIA",IF(C610="EXTERNOS","DOTACION DE EXTERNO","DOTACION DISPONIBLE")))))))</f>
        <v/>
      </c>
    </row>
    <row r="611" spans="1:5" ht="18">
      <c r="A611" s="85"/>
      <c r="B611" s="104"/>
      <c r="C611" s="3"/>
      <c r="D611" s="78"/>
      <c r="E611" s="22" t="str">
        <f>IF(B611="","",IF(A611=0,"DOT PERDIDA",IF(COUNTIF(ASIGNACIONES!$B$4:$B948,B611)=1,"DOTACION ASIGNADA",IF(C611="VISITAS","DOTACION VISITA",IF(C611="MTTO","DOTACION MTTO",IF(C611="PLANTA EMERGENCIA","DOTACION RES DE EMERGENCIA",IF(C611="EXTERNOS","DOTACION DE EXTERNO","DOTACION DISPONIBLE")))))))</f>
        <v/>
      </c>
    </row>
    <row r="612" spans="1:5" ht="18">
      <c r="A612" s="85"/>
      <c r="B612" s="104"/>
      <c r="C612" s="3"/>
      <c r="D612" s="78"/>
      <c r="E612" s="22" t="str">
        <f>IF(B612="","",IF(A612=0,"DOT PERDIDA",IF(COUNTIF(ASIGNACIONES!$B$4:$B948,B612)=1,"DOTACION ASIGNADA",IF(C612="VISITAS","DOTACION VISITA",IF(C612="MTTO","DOTACION MTTO",IF(C612="PLANTA EMERGENCIA","DOTACION RES DE EMERGENCIA",IF(C612="EXTERNOS","DOTACION DE EXTERNO","DOTACION DISPONIBLE")))))))</f>
        <v/>
      </c>
    </row>
    <row r="613" spans="1:5" ht="18">
      <c r="A613" s="85"/>
      <c r="B613" s="104"/>
      <c r="C613" s="3"/>
      <c r="D613" s="78"/>
      <c r="E613" s="22" t="str">
        <f>IF(B613="","",IF(A613=0,"DOT PERDIDA",IF(COUNTIF(ASIGNACIONES!$B$4:$B948,B613)=1,"DOTACION ASIGNADA",IF(C613="VISITAS","DOTACION VISITA",IF(C613="MTTO","DOTACION MTTO",IF(C613="PLANTA EMERGENCIA","DOTACION RES DE EMERGENCIA",IF(C613="EXTERNOS","DOTACION DE EXTERNO","DOTACION DISPONIBLE")))))))</f>
        <v/>
      </c>
    </row>
    <row r="614" spans="1:5" ht="18">
      <c r="A614" s="85"/>
      <c r="B614" s="104"/>
      <c r="C614" s="3"/>
      <c r="D614" s="78"/>
      <c r="E614" s="22" t="str">
        <f>IF(B614="","",IF(A614=0,"DOT PERDIDA",IF(COUNTIF(ASIGNACIONES!$B$4:$B948,B614)=1,"DOTACION ASIGNADA",IF(C614="VISITAS","DOTACION VISITA",IF(C614="MTTO","DOTACION MTTO",IF(C614="PLANTA EMERGENCIA","DOTACION RES DE EMERGENCIA",IF(C614="EXTERNOS","DOTACION DE EXTERNO","DOTACION DISPONIBLE")))))))</f>
        <v/>
      </c>
    </row>
    <row r="615" spans="1:5" ht="18">
      <c r="A615" s="85"/>
      <c r="B615" s="104"/>
      <c r="C615" s="3"/>
      <c r="D615" s="78"/>
      <c r="E615" s="22" t="str">
        <f>IF(B615="","",IF(A615=0,"DOT PERDIDA",IF(COUNTIF(ASIGNACIONES!$B$4:$B948,B615)=1,"DOTACION ASIGNADA",IF(C615="VISITAS","DOTACION VISITA",IF(C615="MTTO","DOTACION MTTO",IF(C615="PLANTA EMERGENCIA","DOTACION RES DE EMERGENCIA",IF(C615="EXTERNOS","DOTACION DE EXTERNO","DOTACION DISPONIBLE")))))))</f>
        <v/>
      </c>
    </row>
    <row r="616" spans="1:5" ht="18">
      <c r="A616" s="85"/>
      <c r="B616" s="104"/>
      <c r="C616" s="3"/>
      <c r="D616" s="78"/>
      <c r="E616" s="22" t="str">
        <f>IF(B616="","",IF(A616=0,"DOT PERDIDA",IF(COUNTIF(ASIGNACIONES!$B$4:$B948,B616)=1,"DOTACION ASIGNADA",IF(C616="VISITAS","DOTACION VISITA",IF(C616="MTTO","DOTACION MTTO",IF(C616="PLANTA EMERGENCIA","DOTACION RES DE EMERGENCIA",IF(C616="EXTERNOS","DOTACION DE EXTERNO","DOTACION DISPONIBLE")))))))</f>
        <v/>
      </c>
    </row>
    <row r="617" spans="1:5" ht="18">
      <c r="A617" s="85"/>
      <c r="B617" s="104"/>
      <c r="C617" s="3"/>
      <c r="D617" s="78"/>
      <c r="E617" s="22" t="str">
        <f>IF(B617="","",IF(A617=0,"DOT PERDIDA",IF(COUNTIF(ASIGNACIONES!$B$4:$B948,B617)=1,"DOTACION ASIGNADA",IF(C617="VISITAS","DOTACION VISITA",IF(C617="MTTO","DOTACION MTTO",IF(C617="PLANTA EMERGENCIA","DOTACION RES DE EMERGENCIA",IF(C617="EXTERNOS","DOTACION DE EXTERNO","DOTACION DISPONIBLE")))))))</f>
        <v/>
      </c>
    </row>
    <row r="618" spans="1:5" ht="18">
      <c r="A618" s="85"/>
      <c r="B618" s="104"/>
      <c r="C618" s="3"/>
      <c r="D618" s="78"/>
      <c r="E618" s="22" t="str">
        <f>IF(B618="","",IF(A618=0,"DOT PERDIDA",IF(COUNTIF(ASIGNACIONES!$B$4:$B948,B618)=1,"DOTACION ASIGNADA",IF(C618="VISITAS","DOTACION VISITA",IF(C618="MTTO","DOTACION MTTO",IF(C618="PLANTA EMERGENCIA","DOTACION RES DE EMERGENCIA",IF(C618="EXTERNOS","DOTACION DE EXTERNO","DOTACION DISPONIBLE")))))))</f>
        <v/>
      </c>
    </row>
    <row r="619" spans="1:5" ht="18">
      <c r="A619" s="85"/>
      <c r="B619" s="104"/>
      <c r="C619" s="3"/>
      <c r="D619" s="78"/>
      <c r="E619" s="22" t="str">
        <f>IF(B619="","",IF(A619=0,"DOT PERDIDA",IF(COUNTIF(ASIGNACIONES!$B$4:$B948,B619)=1,"DOTACION ASIGNADA",IF(C619="VISITAS","DOTACION VISITA",IF(C619="MTTO","DOTACION MTTO",IF(C619="PLANTA EMERGENCIA","DOTACION RES DE EMERGENCIA",IF(C619="EXTERNOS","DOTACION DE EXTERNO","DOTACION DISPONIBLE")))))))</f>
        <v/>
      </c>
    </row>
    <row r="620" spans="1:5" ht="18">
      <c r="A620" s="85"/>
      <c r="B620" s="104"/>
      <c r="C620" s="3"/>
      <c r="D620" s="78"/>
      <c r="E620" s="22" t="str">
        <f>IF(B620="","",IF(A620=0,"DOT PERDIDA",IF(COUNTIF(ASIGNACIONES!$B$4:$B948,B620)=1,"DOTACION ASIGNADA",IF(C620="VISITAS","DOTACION VISITA",IF(C620="MTTO","DOTACION MTTO",IF(C620="PLANTA EMERGENCIA","DOTACION RES DE EMERGENCIA",IF(C620="EXTERNOS","DOTACION DE EXTERNO","DOTACION DISPONIBLE")))))))</f>
        <v/>
      </c>
    </row>
    <row r="621" spans="1:5" ht="18">
      <c r="A621" s="85"/>
      <c r="B621" s="104"/>
      <c r="C621" s="3"/>
      <c r="D621" s="78"/>
      <c r="E621" s="22" t="str">
        <f>IF(B621="","",IF(A621=0,"DOT PERDIDA",IF(COUNTIF(ASIGNACIONES!$B$4:$B948,B621)=1,"DOTACION ASIGNADA",IF(C621="VISITAS","DOTACION VISITA",IF(C621="MTTO","DOTACION MTTO",IF(C621="PLANTA EMERGENCIA","DOTACION RES DE EMERGENCIA",IF(C621="EXTERNOS","DOTACION DE EXTERNO","DOTACION DISPONIBLE")))))))</f>
        <v/>
      </c>
    </row>
    <row r="622" spans="1:5" ht="18">
      <c r="A622" s="85"/>
      <c r="B622" s="104"/>
      <c r="C622" s="3"/>
      <c r="D622" s="78"/>
      <c r="E622" s="22" t="str">
        <f>IF(B622="","",IF(A622=0,"DOT PERDIDA",IF(COUNTIF(ASIGNACIONES!$B$4:$B948,B622)=1,"DOTACION ASIGNADA",IF(C622="VISITAS","DOTACION VISITA",IF(C622="MTTO","DOTACION MTTO",IF(C622="PLANTA EMERGENCIA","DOTACION RES DE EMERGENCIA",IF(C622="EXTERNOS","DOTACION DE EXTERNO","DOTACION DISPONIBLE")))))))</f>
        <v/>
      </c>
    </row>
    <row r="623" spans="1:5" ht="18">
      <c r="A623" s="85"/>
      <c r="B623" s="104"/>
      <c r="C623" s="3"/>
      <c r="D623" s="78"/>
      <c r="E623" s="22" t="str">
        <f>IF(B623="","",IF(A623=0,"DOT PERDIDA",IF(COUNTIF(ASIGNACIONES!$B$4:$B948,B623)=1,"DOTACION ASIGNADA",IF(C623="VISITAS","DOTACION VISITA",IF(C623="MTTO","DOTACION MTTO",IF(C623="PLANTA EMERGENCIA","DOTACION RES DE EMERGENCIA",IF(C623="EXTERNOS","DOTACION DE EXTERNO","DOTACION DISPONIBLE")))))))</f>
        <v/>
      </c>
    </row>
    <row r="624" spans="1:5" ht="18">
      <c r="A624" s="85"/>
      <c r="B624" s="104"/>
      <c r="C624" s="3"/>
      <c r="D624" s="78"/>
      <c r="E624" s="22" t="str">
        <f>IF(B624="","",IF(A624=0,"DOT PERDIDA",IF(COUNTIF(ASIGNACIONES!$B$4:$B948,B624)=1,"DOTACION ASIGNADA",IF(C624="VISITAS","DOTACION VISITA",IF(C624="MTTO","DOTACION MTTO",IF(C624="PLANTA EMERGENCIA","DOTACION RES DE EMERGENCIA",IF(C624="EXTERNOS","DOTACION DE EXTERNO","DOTACION DISPONIBLE")))))))</f>
        <v/>
      </c>
    </row>
    <row r="625" spans="1:5" ht="18">
      <c r="A625" s="85"/>
      <c r="B625" s="104"/>
      <c r="C625" s="3"/>
      <c r="D625" s="78"/>
      <c r="E625" s="22" t="str">
        <f>IF(B625="","",IF(A625=0,"DOT PERDIDA",IF(COUNTIF(ASIGNACIONES!$B$4:$B948,B625)=1,"DOTACION ASIGNADA",IF(C625="VISITAS","DOTACION VISITA",IF(C625="MTTO","DOTACION MTTO",IF(C625="PLANTA EMERGENCIA","DOTACION RES DE EMERGENCIA",IF(C625="EXTERNOS","DOTACION DE EXTERNO","DOTACION DISPONIBLE")))))))</f>
        <v/>
      </c>
    </row>
    <row r="626" spans="1:5" ht="18">
      <c r="A626" s="85"/>
      <c r="B626" s="104"/>
      <c r="C626" s="3"/>
      <c r="D626" s="78"/>
      <c r="E626" s="22" t="str">
        <f>IF(B626="","",IF(A626=0,"DOT PERDIDA",IF(COUNTIF(ASIGNACIONES!$B$4:$B948,B626)=1,"DOTACION ASIGNADA",IF(C626="VISITAS","DOTACION VISITA",IF(C626="MTTO","DOTACION MTTO",IF(C626="PLANTA EMERGENCIA","DOTACION RES DE EMERGENCIA",IF(C626="EXTERNOS","DOTACION DE EXTERNO","DOTACION DISPONIBLE")))))))</f>
        <v/>
      </c>
    </row>
    <row r="627" spans="1:5" ht="18">
      <c r="A627" s="85"/>
      <c r="B627" s="104"/>
      <c r="C627" s="3"/>
      <c r="D627" s="78"/>
      <c r="E627" s="22" t="str">
        <f>IF(B627="","",IF(A627=0,"DOT PERDIDA",IF(COUNTIF(ASIGNACIONES!$B$4:$B948,B627)=1,"DOTACION ASIGNADA",IF(C627="VISITAS","DOTACION VISITA",IF(C627="MTTO","DOTACION MTTO",IF(C627="PLANTA EMERGENCIA","DOTACION RES DE EMERGENCIA",IF(C627="EXTERNOS","DOTACION DE EXTERNO","DOTACION DISPONIBLE")))))))</f>
        <v/>
      </c>
    </row>
    <row r="628" spans="1:5" ht="18">
      <c r="A628" s="85"/>
      <c r="B628" s="104"/>
      <c r="C628" s="3"/>
      <c r="D628" s="78"/>
      <c r="E628" s="22" t="str">
        <f>IF(B628="","",IF(A628=0,"DOT PERDIDA",IF(COUNTIF(ASIGNACIONES!$B$4:$B948,B628)=1,"DOTACION ASIGNADA",IF(C628="VISITAS","DOTACION VISITA",IF(C628="MTTO","DOTACION MTTO",IF(C628="PLANTA EMERGENCIA","DOTACION RES DE EMERGENCIA",IF(C628="EXTERNOS","DOTACION DE EXTERNO","DOTACION DISPONIBLE")))))))</f>
        <v/>
      </c>
    </row>
    <row r="629" spans="1:5" ht="18">
      <c r="A629" s="85"/>
      <c r="B629" s="104"/>
      <c r="C629" s="3"/>
      <c r="D629" s="78"/>
      <c r="E629" s="22" t="str">
        <f>IF(B629="","",IF(A629=0,"DOT PERDIDA",IF(COUNTIF(ASIGNACIONES!$B$4:$B948,B629)=1,"DOTACION ASIGNADA",IF(C629="VISITAS","DOTACION VISITA",IF(C629="MTTO","DOTACION MTTO",IF(C629="PLANTA EMERGENCIA","DOTACION RES DE EMERGENCIA",IF(C629="EXTERNOS","DOTACION DE EXTERNO","DOTACION DISPONIBLE")))))))</f>
        <v/>
      </c>
    </row>
    <row r="630" spans="1:5" ht="18">
      <c r="A630" s="85"/>
      <c r="B630" s="104"/>
      <c r="C630" s="3"/>
      <c r="D630" s="78"/>
      <c r="E630" s="22" t="str">
        <f>IF(B630="","",IF(A630=0,"DOT PERDIDA",IF(COUNTIF(ASIGNACIONES!$B$4:$B948,B630)=1,"DOTACION ASIGNADA",IF(C630="VISITAS","DOTACION VISITA",IF(C630="MTTO","DOTACION MTTO",IF(C630="PLANTA EMERGENCIA","DOTACION RES DE EMERGENCIA",IF(C630="EXTERNOS","DOTACION DE EXTERNO","DOTACION DISPONIBLE")))))))</f>
        <v/>
      </c>
    </row>
    <row r="631" spans="1:5" ht="18">
      <c r="A631" s="85"/>
      <c r="B631" s="104"/>
      <c r="C631" s="3"/>
      <c r="D631" s="78"/>
      <c r="E631" s="22" t="str">
        <f>IF(B631="","",IF(A631=0,"DOT PERDIDA",IF(COUNTIF(ASIGNACIONES!$B$4:$B948,B631)=1,"DOTACION ASIGNADA",IF(C631="VISITAS","DOTACION VISITA",IF(C631="MTTO","DOTACION MTTO",IF(C631="PLANTA EMERGENCIA","DOTACION RES DE EMERGENCIA",IF(C631="EXTERNOS","DOTACION DE EXTERNO","DOTACION DISPONIBLE")))))))</f>
        <v/>
      </c>
    </row>
    <row r="632" spans="1:5" ht="18">
      <c r="A632" s="85"/>
      <c r="B632" s="104"/>
      <c r="C632" s="3"/>
      <c r="D632" s="78"/>
      <c r="E632" s="22" t="str">
        <f>IF(B632="","",IF(A632=0,"DOT PERDIDA",IF(COUNTIF(ASIGNACIONES!$B$4:$B948,B632)=1,"DOTACION ASIGNADA",IF(C632="VISITAS","DOTACION VISITA",IF(C632="MTTO","DOTACION MTTO",IF(C632="PLANTA EMERGENCIA","DOTACION RES DE EMERGENCIA",IF(C632="EXTERNOS","DOTACION DE EXTERNO","DOTACION DISPONIBLE")))))))</f>
        <v/>
      </c>
    </row>
    <row r="633" spans="1:5" ht="18">
      <c r="A633" s="85"/>
      <c r="B633" s="104"/>
      <c r="C633" s="3"/>
      <c r="D633" s="78"/>
      <c r="E633" s="22" t="str">
        <f>IF(B633="","",IF(A633=0,"DOT PERDIDA",IF(COUNTIF(ASIGNACIONES!$B$4:$B948,B633)=1,"DOTACION ASIGNADA",IF(C633="VISITAS","DOTACION VISITA",IF(C633="MTTO","DOTACION MTTO",IF(C633="PLANTA EMERGENCIA","DOTACION RES DE EMERGENCIA",IF(C633="EXTERNOS","DOTACION DE EXTERNO","DOTACION DISPONIBLE")))))))</f>
        <v/>
      </c>
    </row>
    <row r="634" spans="1:5" ht="18">
      <c r="A634" s="85"/>
      <c r="B634" s="104"/>
      <c r="C634" s="3"/>
      <c r="D634" s="78"/>
      <c r="E634" s="22" t="str">
        <f>IF(B634="","",IF(A634=0,"DOT PERDIDA",IF(COUNTIF(ASIGNACIONES!$B$4:$B948,B634)=1,"DOTACION ASIGNADA",IF(C634="VISITAS","DOTACION VISITA",IF(C634="MTTO","DOTACION MTTO",IF(C634="PLANTA EMERGENCIA","DOTACION RES DE EMERGENCIA",IF(C634="EXTERNOS","DOTACION DE EXTERNO","DOTACION DISPONIBLE")))))))</f>
        <v/>
      </c>
    </row>
    <row r="635" spans="1:5" ht="18">
      <c r="A635" s="85"/>
      <c r="B635" s="104"/>
      <c r="C635" s="3"/>
      <c r="D635" s="78"/>
      <c r="E635" s="22" t="str">
        <f>IF(B635="","",IF(A635=0,"DOT PERDIDA",IF(COUNTIF(ASIGNACIONES!$B$4:$B948,B635)=1,"DOTACION ASIGNADA",IF(C635="VISITAS","DOTACION VISITA",IF(C635="MTTO","DOTACION MTTO",IF(C635="PLANTA EMERGENCIA","DOTACION RES DE EMERGENCIA",IF(C635="EXTERNOS","DOTACION DE EXTERNO","DOTACION DISPONIBLE")))))))</f>
        <v/>
      </c>
    </row>
    <row r="636" spans="1:5" ht="18">
      <c r="A636" s="85"/>
      <c r="B636" s="104"/>
      <c r="C636" s="3"/>
      <c r="D636" s="78"/>
      <c r="E636" s="22" t="str">
        <f>IF(B636="","",IF(A636=0,"DOT PERDIDA",IF(COUNTIF(ASIGNACIONES!$B$4:$B948,B636)=1,"DOTACION ASIGNADA",IF(C636="VISITAS","DOTACION VISITA",IF(C636="MTTO","DOTACION MTTO",IF(C636="PLANTA EMERGENCIA","DOTACION RES DE EMERGENCIA",IF(C636="EXTERNOS","DOTACION DE EXTERNO","DOTACION DISPONIBLE")))))))</f>
        <v/>
      </c>
    </row>
    <row r="637" spans="1:5" ht="18">
      <c r="A637" s="85"/>
      <c r="B637" s="104"/>
      <c r="C637" s="3"/>
      <c r="D637" s="78"/>
      <c r="E637" s="22" t="str">
        <f>IF(B637="","",IF(A637=0,"DOT PERDIDA",IF(COUNTIF(ASIGNACIONES!$B$4:$B948,B637)=1,"DOTACION ASIGNADA",IF(C637="VISITAS","DOTACION VISITA",IF(C637="MTTO","DOTACION MTTO",IF(C637="PLANTA EMERGENCIA","DOTACION RES DE EMERGENCIA",IF(C637="EXTERNOS","DOTACION DE EXTERNO","DOTACION DISPONIBLE")))))))</f>
        <v/>
      </c>
    </row>
    <row r="638" spans="1:5" ht="18">
      <c r="A638" s="85"/>
      <c r="B638" s="104"/>
      <c r="C638" s="3"/>
      <c r="D638" s="78"/>
      <c r="E638" s="22" t="str">
        <f>IF(B638="","",IF(A638=0,"DOT PERDIDA",IF(COUNTIF(ASIGNACIONES!$B$4:$B948,B638)=1,"DOTACION ASIGNADA",IF(C638="VISITAS","DOTACION VISITA",IF(C638="MTTO","DOTACION MTTO",IF(C638="PLANTA EMERGENCIA","DOTACION RES DE EMERGENCIA",IF(C638="EXTERNOS","DOTACION DE EXTERNO","DOTACION DISPONIBLE")))))))</f>
        <v/>
      </c>
    </row>
    <row r="639" spans="1:5" ht="18">
      <c r="A639" s="85"/>
      <c r="B639" s="104"/>
      <c r="C639" s="3"/>
      <c r="D639" s="78"/>
      <c r="E639" s="22" t="str">
        <f>IF(B639="","",IF(A639=0,"DOT PERDIDA",IF(COUNTIF(ASIGNACIONES!$B$4:$B948,B639)=1,"DOTACION ASIGNADA",IF(C639="VISITAS","DOTACION VISITA",IF(C639="MTTO","DOTACION MTTO",IF(C639="PLANTA EMERGENCIA","DOTACION RES DE EMERGENCIA",IF(C639="EXTERNOS","DOTACION DE EXTERNO","DOTACION DISPONIBLE")))))))</f>
        <v/>
      </c>
    </row>
    <row r="640" spans="1:5" ht="18">
      <c r="A640" s="85"/>
      <c r="B640" s="104"/>
      <c r="C640" s="3"/>
      <c r="D640" s="78"/>
      <c r="E640" s="22" t="str">
        <f>IF(B640="","",IF(A640=0,"DOT PERDIDA",IF(COUNTIF(ASIGNACIONES!$B$4:$B948,B640)=1,"DOTACION ASIGNADA",IF(C640="VISITAS","DOTACION VISITA",IF(C640="MTTO","DOTACION MTTO",IF(C640="PLANTA EMERGENCIA","DOTACION RES DE EMERGENCIA",IF(C640="EXTERNOS","DOTACION DE EXTERNO","DOTACION DISPONIBLE")))))))</f>
        <v/>
      </c>
    </row>
    <row r="641" spans="1:5" ht="18">
      <c r="A641" s="85"/>
      <c r="B641" s="104"/>
      <c r="C641" s="3"/>
      <c r="D641" s="78"/>
      <c r="E641" s="22" t="str">
        <f>IF(B641="","",IF(A641=0,"DOT PERDIDA",IF(COUNTIF(ASIGNACIONES!$B$4:$B948,B641)=1,"DOTACION ASIGNADA",IF(C641="VISITAS","DOTACION VISITA",IF(C641="MTTO","DOTACION MTTO",IF(C641="PLANTA EMERGENCIA","DOTACION RES DE EMERGENCIA",IF(C641="EXTERNOS","DOTACION DE EXTERNO","DOTACION DISPONIBLE")))))))</f>
        <v/>
      </c>
    </row>
    <row r="642" spans="1:5" ht="18">
      <c r="A642" s="85"/>
      <c r="B642" s="104"/>
      <c r="C642" s="3"/>
      <c r="D642" s="78"/>
      <c r="E642" s="22" t="str">
        <f>IF(B642="","",IF(A642=0,"DOT PERDIDA",IF(COUNTIF(ASIGNACIONES!$B$4:$B948,B642)=1,"DOTACION ASIGNADA",IF(C642="VISITAS","DOTACION VISITA",IF(C642="MTTO","DOTACION MTTO",IF(C642="PLANTA EMERGENCIA","DOTACION RES DE EMERGENCIA",IF(C642="EXTERNOS","DOTACION DE EXTERNO","DOTACION DISPONIBLE")))))))</f>
        <v/>
      </c>
    </row>
    <row r="643" spans="1:5" ht="18">
      <c r="A643" s="85"/>
      <c r="B643" s="104"/>
      <c r="C643" s="3"/>
      <c r="D643" s="78"/>
      <c r="E643" s="22" t="str">
        <f>IF(B643="","",IF(A643=0,"DOT PERDIDA",IF(COUNTIF(ASIGNACIONES!$B$4:$B948,B643)=1,"DOTACION ASIGNADA",IF(C643="VISITAS","DOTACION VISITA",IF(C643="MTTO","DOTACION MTTO",IF(C643="PLANTA EMERGENCIA","DOTACION RES DE EMERGENCIA",IF(C643="EXTERNOS","DOTACION DE EXTERNO","DOTACION DISPONIBLE")))))))</f>
        <v/>
      </c>
    </row>
    <row r="644" spans="1:5" ht="18">
      <c r="A644" s="85"/>
      <c r="B644" s="104"/>
      <c r="C644" s="3"/>
      <c r="D644" s="78"/>
      <c r="E644" s="22" t="str">
        <f>IF(B644="","",IF(A644=0,"DOT PERDIDA",IF(COUNTIF(ASIGNACIONES!$B$4:$B948,B644)=1,"DOTACION ASIGNADA",IF(C644="VISITAS","DOTACION VISITA",IF(C644="MTTO","DOTACION MTTO",IF(C644="PLANTA EMERGENCIA","DOTACION RES DE EMERGENCIA",IF(C644="EXTERNOS","DOTACION DE EXTERNO","DOTACION DISPONIBLE")))))))</f>
        <v/>
      </c>
    </row>
    <row r="645" spans="1:5" ht="18">
      <c r="A645" s="85"/>
      <c r="B645" s="104"/>
      <c r="C645" s="3"/>
      <c r="D645" s="78"/>
      <c r="E645" s="22" t="str">
        <f>IF(B645="","",IF(A645=0,"DOT PERDIDA",IF(COUNTIF(ASIGNACIONES!$B$4:$B948,B645)=1,"DOTACION ASIGNADA",IF(C645="VISITAS","DOTACION VISITA",IF(C645="MTTO","DOTACION MTTO",IF(C645="PLANTA EMERGENCIA","DOTACION RES DE EMERGENCIA",IF(C645="EXTERNOS","DOTACION DE EXTERNO","DOTACION DISPONIBLE")))))))</f>
        <v/>
      </c>
    </row>
    <row r="646" spans="1:5" ht="18">
      <c r="A646" s="85"/>
      <c r="B646" s="104"/>
      <c r="C646" s="3"/>
      <c r="D646" s="78"/>
      <c r="E646" s="22" t="str">
        <f>IF(B646="","",IF(A646=0,"DOT PERDIDA",IF(COUNTIF(ASIGNACIONES!$B$4:$B948,B646)=1,"DOTACION ASIGNADA",IF(C646="VISITAS","DOTACION VISITA",IF(C646="MTTO","DOTACION MTTO",IF(C646="PLANTA EMERGENCIA","DOTACION RES DE EMERGENCIA",IF(C646="EXTERNOS","DOTACION DE EXTERNO","DOTACION DISPONIBLE")))))))</f>
        <v/>
      </c>
    </row>
    <row r="647" spans="1:5" ht="18">
      <c r="A647" s="85"/>
      <c r="B647" s="104"/>
      <c r="C647" s="3"/>
      <c r="D647" s="78"/>
      <c r="E647" s="22" t="str">
        <f>IF(B647="","",IF(A647=0,"DOT PERDIDA",IF(COUNTIF(ASIGNACIONES!$B$4:$B948,B647)=1,"DOTACION ASIGNADA",IF(C647="VISITAS","DOTACION VISITA",IF(C647="MTTO","DOTACION MTTO",IF(C647="PLANTA EMERGENCIA","DOTACION RES DE EMERGENCIA",IF(C647="EXTERNOS","DOTACION DE EXTERNO","DOTACION DISPONIBLE")))))))</f>
        <v/>
      </c>
    </row>
    <row r="648" spans="1:5" ht="18">
      <c r="A648" s="85"/>
      <c r="B648" s="104"/>
      <c r="C648" s="3"/>
      <c r="D648" s="78"/>
      <c r="E648" s="22" t="str">
        <f>IF(B648="","",IF(A648=0,"DOT PERDIDA",IF(COUNTIF(ASIGNACIONES!$B$4:$B948,B648)=1,"DOTACION ASIGNADA",IF(C648="VISITAS","DOTACION VISITA",IF(C648="MTTO","DOTACION MTTO",IF(C648="PLANTA EMERGENCIA","DOTACION RES DE EMERGENCIA",IF(C648="EXTERNOS","DOTACION DE EXTERNO","DOTACION DISPONIBLE")))))))</f>
        <v/>
      </c>
    </row>
    <row r="649" spans="1:5" ht="18">
      <c r="A649" s="85"/>
      <c r="B649" s="104"/>
      <c r="C649" s="3"/>
      <c r="D649" s="78"/>
      <c r="E649" s="22" t="str">
        <f>IF(B649="","",IF(A649=0,"DOT PERDIDA",IF(COUNTIF(ASIGNACIONES!$B$4:$B948,B649)=1,"DOTACION ASIGNADA",IF(C649="VISITAS","DOTACION VISITA",IF(C649="MTTO","DOTACION MTTO",IF(C649="PLANTA EMERGENCIA","DOTACION RES DE EMERGENCIA",IF(C649="EXTERNOS","DOTACION DE EXTERNO","DOTACION DISPONIBLE")))))))</f>
        <v/>
      </c>
    </row>
    <row r="650" spans="1:5" ht="18">
      <c r="A650" s="85"/>
      <c r="B650" s="104"/>
      <c r="C650" s="3"/>
      <c r="D650" s="78"/>
      <c r="E650" s="22" t="str">
        <f>IF(B650="","",IF(A650=0,"DOT PERDIDA",IF(COUNTIF(ASIGNACIONES!$B$4:$B948,B650)=1,"DOTACION ASIGNADA",IF(C650="VISITAS","DOTACION VISITA",IF(C650="MTTO","DOTACION MTTO",IF(C650="PLANTA EMERGENCIA","DOTACION RES DE EMERGENCIA",IF(C650="EXTERNOS","DOTACION DE EXTERNO","DOTACION DISPONIBLE")))))))</f>
        <v/>
      </c>
    </row>
    <row r="651" spans="1:5" ht="18">
      <c r="A651" s="85"/>
      <c r="B651" s="104"/>
      <c r="C651" s="3"/>
      <c r="D651" s="78"/>
      <c r="E651" s="22" t="str">
        <f>IF(B651="","",IF(A651=0,"DOT PERDIDA",IF(COUNTIF(ASIGNACIONES!$B$4:$B948,B651)=1,"DOTACION ASIGNADA",IF(C651="VISITAS","DOTACION VISITA",IF(C651="MTTO","DOTACION MTTO",IF(C651="PLANTA EMERGENCIA","DOTACION RES DE EMERGENCIA",IF(C651="EXTERNOS","DOTACION DE EXTERNO","DOTACION DISPONIBLE")))))))</f>
        <v/>
      </c>
    </row>
    <row r="652" spans="1:5" ht="18">
      <c r="A652" s="85"/>
      <c r="B652" s="104"/>
      <c r="C652" s="3"/>
      <c r="D652" s="78"/>
      <c r="E652" s="22" t="str">
        <f>IF(B652="","",IF(A652=0,"DOT PERDIDA",IF(COUNTIF(ASIGNACIONES!$B$4:$B948,B652)=1,"DOTACION ASIGNADA",IF(C652="VISITAS","DOTACION VISITA",IF(C652="MTTO","DOTACION MTTO",IF(C652="PLANTA EMERGENCIA","DOTACION RES DE EMERGENCIA",IF(C652="EXTERNOS","DOTACION DE EXTERNO","DOTACION DISPONIBLE")))))))</f>
        <v/>
      </c>
    </row>
    <row r="653" spans="1:5" ht="18">
      <c r="A653" s="85"/>
      <c r="B653" s="104"/>
      <c r="C653" s="3"/>
      <c r="D653" s="78"/>
      <c r="E653" s="22" t="str">
        <f>IF(B653="","",IF(A653=0,"DOT PERDIDA",IF(COUNTIF(ASIGNACIONES!$B$4:$B948,B653)=1,"DOTACION ASIGNADA",IF(C653="VISITAS","DOTACION VISITA",IF(C653="MTTO","DOTACION MTTO",IF(C653="PLANTA EMERGENCIA","DOTACION RES DE EMERGENCIA",IF(C653="EXTERNOS","DOTACION DE EXTERNO","DOTACION DISPONIBLE")))))))</f>
        <v/>
      </c>
    </row>
    <row r="654" spans="1:5" ht="18">
      <c r="A654" s="85"/>
      <c r="B654" s="104"/>
      <c r="C654" s="3"/>
      <c r="D654" s="78"/>
      <c r="E654" s="22" t="str">
        <f>IF(B654="","",IF(A654=0,"DOT PERDIDA",IF(COUNTIF(ASIGNACIONES!$B$4:$B948,B654)=1,"DOTACION ASIGNADA",IF(C654="VISITAS","DOTACION VISITA",IF(C654="MTTO","DOTACION MTTO",IF(C654="PLANTA EMERGENCIA","DOTACION RES DE EMERGENCIA",IF(C654="EXTERNOS","DOTACION DE EXTERNO","DOTACION DISPONIBLE")))))))</f>
        <v/>
      </c>
    </row>
    <row r="655" spans="1:5" ht="18">
      <c r="A655" s="85"/>
      <c r="B655" s="104"/>
      <c r="C655" s="3"/>
      <c r="D655" s="78"/>
      <c r="E655" s="22" t="str">
        <f>IF(B655="","",IF(A655=0,"DOT PERDIDA",IF(COUNTIF(ASIGNACIONES!$B$4:$B948,B655)=1,"DOTACION ASIGNADA",IF(C655="VISITAS","DOTACION VISITA",IF(C655="MTTO","DOTACION MTTO",IF(C655="PLANTA EMERGENCIA","DOTACION RES DE EMERGENCIA",IF(C655="EXTERNOS","DOTACION DE EXTERNO","DOTACION DISPONIBLE")))))))</f>
        <v/>
      </c>
    </row>
    <row r="656" spans="1:5" ht="18">
      <c r="A656" s="85"/>
      <c r="B656" s="104"/>
      <c r="C656" s="3"/>
      <c r="D656" s="78"/>
      <c r="E656" s="22" t="str">
        <f>IF(B656="","",IF(A656=0,"DOT PERDIDA",IF(COUNTIF(ASIGNACIONES!$B$4:$B948,B656)=1,"DOTACION ASIGNADA",IF(C656="VISITAS","DOTACION VISITA",IF(C656="MTTO","DOTACION MTTO",IF(C656="PLANTA EMERGENCIA","DOTACION RES DE EMERGENCIA",IF(C656="EXTERNOS","DOTACION DE EXTERNO","DOTACION DISPONIBLE")))))))</f>
        <v/>
      </c>
    </row>
    <row r="657" spans="1:5" ht="18">
      <c r="A657" s="85"/>
      <c r="B657" s="104"/>
      <c r="C657" s="3"/>
      <c r="D657" s="78"/>
      <c r="E657" s="22" t="str">
        <f>IF(B657="","",IF(A657=0,"DOT PERDIDA",IF(COUNTIF(ASIGNACIONES!$B$4:$B948,B657)=1,"DOTACION ASIGNADA",IF(C657="VISITAS","DOTACION VISITA",IF(C657="MTTO","DOTACION MTTO",IF(C657="PLANTA EMERGENCIA","DOTACION RES DE EMERGENCIA",IF(C657="EXTERNOS","DOTACION DE EXTERNO","DOTACION DISPONIBLE")))))))</f>
        <v/>
      </c>
    </row>
    <row r="658" spans="1:5" ht="18">
      <c r="A658" s="85"/>
      <c r="B658" s="104"/>
      <c r="C658" s="3"/>
      <c r="D658" s="78"/>
      <c r="E658" s="22" t="str">
        <f>IF(B658="","",IF(A658=0,"DOT PERDIDA",IF(COUNTIF(ASIGNACIONES!$B$4:$B948,B658)=1,"DOTACION ASIGNADA",IF(C658="VISITAS","DOTACION VISITA",IF(C658="MTTO","DOTACION MTTO",IF(C658="PLANTA EMERGENCIA","DOTACION RES DE EMERGENCIA",IF(C658="EXTERNOS","DOTACION DE EXTERNO","DOTACION DISPONIBLE")))))))</f>
        <v/>
      </c>
    </row>
    <row r="659" spans="1:5" ht="18">
      <c r="A659" s="85"/>
      <c r="B659" s="104"/>
      <c r="C659" s="3"/>
      <c r="D659" s="78"/>
      <c r="E659" s="22" t="str">
        <f>IF(B659="","",IF(A659=0,"DOT PERDIDA",IF(COUNTIF(ASIGNACIONES!$B$4:$B948,B659)=1,"DOTACION ASIGNADA",IF(C659="VISITAS","DOTACION VISITA",IF(C659="MTTO","DOTACION MTTO",IF(C659="PLANTA EMERGENCIA","DOTACION RES DE EMERGENCIA",IF(C659="EXTERNOS","DOTACION DE EXTERNO","DOTACION DISPONIBLE")))))))</f>
        <v/>
      </c>
    </row>
    <row r="660" spans="1:5" ht="18">
      <c r="A660" s="85"/>
      <c r="B660" s="104"/>
      <c r="C660" s="3"/>
      <c r="D660" s="78"/>
      <c r="E660" s="22" t="str">
        <f>IF(B660="","",IF(A660=0,"DOT PERDIDA",IF(COUNTIF(ASIGNACIONES!$B$4:$B948,B660)=1,"DOTACION ASIGNADA",IF(C660="VISITAS","DOTACION VISITA",IF(C660="MTTO","DOTACION MTTO",IF(C660="PLANTA EMERGENCIA","DOTACION RES DE EMERGENCIA",IF(C660="EXTERNOS","DOTACION DE EXTERNO","DOTACION DISPONIBLE")))))))</f>
        <v/>
      </c>
    </row>
    <row r="661" spans="1:5" ht="18">
      <c r="A661" s="85"/>
      <c r="B661" s="104"/>
      <c r="C661" s="3"/>
      <c r="D661" s="78"/>
      <c r="E661" s="22" t="str">
        <f>IF(B661="","",IF(A661=0,"DOT PERDIDA",IF(COUNTIF(ASIGNACIONES!$B$4:$B948,B661)=1,"DOTACION ASIGNADA",IF(C661="VISITAS","DOTACION VISITA",IF(C661="MTTO","DOTACION MTTO",IF(C661="PLANTA EMERGENCIA","DOTACION RES DE EMERGENCIA",IF(C661="EXTERNOS","DOTACION DE EXTERNO","DOTACION DISPONIBLE")))))))</f>
        <v/>
      </c>
    </row>
    <row r="662" spans="1:5" ht="18">
      <c r="A662" s="85"/>
      <c r="B662" s="104"/>
      <c r="C662" s="3"/>
      <c r="D662" s="78"/>
      <c r="E662" s="22" t="str">
        <f>IF(B662="","",IF(A662=0,"DOT PERDIDA",IF(COUNTIF(ASIGNACIONES!$B$4:$B948,B662)=1,"DOTACION ASIGNADA",IF(C662="VISITAS","DOTACION VISITA",IF(C662="MTTO","DOTACION MTTO",IF(C662="PLANTA EMERGENCIA","DOTACION RES DE EMERGENCIA",IF(C662="EXTERNOS","DOTACION DE EXTERNO","DOTACION DISPONIBLE")))))))</f>
        <v/>
      </c>
    </row>
    <row r="663" spans="1:5" ht="18">
      <c r="A663" s="85"/>
      <c r="B663" s="104"/>
      <c r="C663" s="3"/>
      <c r="D663" s="78"/>
      <c r="E663" s="22" t="str">
        <f>IF(B663="","",IF(A663=0,"DOT PERDIDA",IF(COUNTIF(ASIGNACIONES!$B$4:$B948,B663)=1,"DOTACION ASIGNADA",IF(C663="VISITAS","DOTACION VISITA",IF(C663="MTTO","DOTACION MTTO",IF(C663="PLANTA EMERGENCIA","DOTACION RES DE EMERGENCIA",IF(C663="EXTERNOS","DOTACION DE EXTERNO","DOTACION DISPONIBLE")))))))</f>
        <v/>
      </c>
    </row>
    <row r="664" spans="1:5" ht="18">
      <c r="A664" s="85"/>
      <c r="B664" s="104"/>
      <c r="C664" s="3"/>
      <c r="D664" s="78"/>
      <c r="E664" s="22" t="str">
        <f>IF(B664="","",IF(A664=0,"DOT PERDIDA",IF(COUNTIF(ASIGNACIONES!$B$4:$B948,B664)=1,"DOTACION ASIGNADA",IF(C664="VISITAS","DOTACION VISITA",IF(C664="MTTO","DOTACION MTTO",IF(C664="PLANTA EMERGENCIA","DOTACION RES DE EMERGENCIA",IF(C664="EXTERNOS","DOTACION DE EXTERNO","DOTACION DISPONIBLE")))))))</f>
        <v/>
      </c>
    </row>
    <row r="665" spans="1:5" ht="18">
      <c r="A665" s="85"/>
      <c r="B665" s="104"/>
      <c r="C665" s="3"/>
      <c r="D665" s="78"/>
      <c r="E665" s="22" t="str">
        <f>IF(B665="","",IF(A665=0,"DOT PERDIDA",IF(COUNTIF(ASIGNACIONES!$B$4:$B948,B665)=1,"DOTACION ASIGNADA",IF(C665="VISITAS","DOTACION VISITA",IF(C665="MTTO","DOTACION MTTO",IF(C665="PLANTA EMERGENCIA","DOTACION RES DE EMERGENCIA",IF(C665="EXTERNOS","DOTACION DE EXTERNO","DOTACION DISPONIBLE")))))))</f>
        <v/>
      </c>
    </row>
    <row r="666" spans="1:5" ht="18">
      <c r="A666" s="85"/>
      <c r="B666" s="104"/>
      <c r="C666" s="3"/>
      <c r="D666" s="78"/>
      <c r="E666" s="22" t="str">
        <f>IF(B666="","",IF(A666=0,"DOT PERDIDA",IF(COUNTIF(ASIGNACIONES!$B$4:$B948,B666)=1,"DOTACION ASIGNADA",IF(C666="VISITAS","DOTACION VISITA",IF(C666="MTTO","DOTACION MTTO",IF(C666="PLANTA EMERGENCIA","DOTACION RES DE EMERGENCIA",IF(C666="EXTERNOS","DOTACION DE EXTERNO","DOTACION DISPONIBLE")))))))</f>
        <v/>
      </c>
    </row>
    <row r="667" spans="1:5" ht="18">
      <c r="A667" s="85"/>
      <c r="B667" s="104"/>
      <c r="C667" s="3"/>
      <c r="D667" s="78"/>
      <c r="E667" s="22" t="str">
        <f>IF(B667="","",IF(A667=0,"DOT PERDIDA",IF(COUNTIF(ASIGNACIONES!$B$4:$B948,B667)=1,"DOTACION ASIGNADA",IF(C667="VISITAS","DOTACION VISITA",IF(C667="MTTO","DOTACION MTTO",IF(C667="PLANTA EMERGENCIA","DOTACION RES DE EMERGENCIA",IF(C667="EXTERNOS","DOTACION DE EXTERNO","DOTACION DISPONIBLE")))))))</f>
        <v/>
      </c>
    </row>
    <row r="668" spans="1:5" ht="18">
      <c r="A668" s="85"/>
      <c r="B668" s="104"/>
      <c r="C668" s="3"/>
      <c r="D668" s="78"/>
      <c r="E668" s="22" t="str">
        <f>IF(B668="","",IF(A668=0,"DOT PERDIDA",IF(COUNTIF(ASIGNACIONES!$B$4:$B948,B668)=1,"DOTACION ASIGNADA",IF(C668="VISITAS","DOTACION VISITA",IF(C668="MTTO","DOTACION MTTO",IF(C668="PLANTA EMERGENCIA","DOTACION RES DE EMERGENCIA",IF(C668="EXTERNOS","DOTACION DE EXTERNO","DOTACION DISPONIBLE")))))))</f>
        <v/>
      </c>
    </row>
    <row r="669" spans="1:5" ht="18">
      <c r="A669" s="85"/>
      <c r="B669" s="104"/>
      <c r="C669" s="3"/>
      <c r="D669" s="78"/>
      <c r="E669" s="22" t="str">
        <f>IF(B669="","",IF(A669=0,"DOT PERDIDA",IF(COUNTIF(ASIGNACIONES!$B$4:$B948,B669)=1,"DOTACION ASIGNADA",IF(C669="VISITAS","DOTACION VISITA",IF(C669="MTTO","DOTACION MTTO",IF(C669="PLANTA EMERGENCIA","DOTACION RES DE EMERGENCIA",IF(C669="EXTERNOS","DOTACION DE EXTERNO","DOTACION DISPONIBLE")))))))</f>
        <v/>
      </c>
    </row>
    <row r="670" spans="1:5" ht="18">
      <c r="A670" s="85"/>
      <c r="B670" s="104"/>
      <c r="C670" s="3"/>
      <c r="D670" s="78"/>
      <c r="E670" s="22" t="str">
        <f>IF(B670="","",IF(A670=0,"DOT PERDIDA",IF(COUNTIF(ASIGNACIONES!$B$4:$B948,B670)=1,"DOTACION ASIGNADA",IF(C670="VISITAS","DOTACION VISITA",IF(C670="MTTO","DOTACION MTTO",IF(C670="PLANTA EMERGENCIA","DOTACION RES DE EMERGENCIA",IF(C670="EXTERNOS","DOTACION DE EXTERNO","DOTACION DISPONIBLE")))))))</f>
        <v/>
      </c>
    </row>
    <row r="671" spans="1:5" ht="18">
      <c r="A671" s="85"/>
      <c r="B671" s="104"/>
      <c r="C671" s="3"/>
      <c r="D671" s="78"/>
      <c r="E671" s="22" t="str">
        <f>IF(B671="","",IF(A671=0,"DOT PERDIDA",IF(COUNTIF(ASIGNACIONES!$B$4:$B948,B671)=1,"DOTACION ASIGNADA",IF(C671="VISITAS","DOTACION VISITA",IF(C671="MTTO","DOTACION MTTO",IF(C671="PLANTA EMERGENCIA","DOTACION RES DE EMERGENCIA",IF(C671="EXTERNOS","DOTACION DE EXTERNO","DOTACION DISPONIBLE")))))))</f>
        <v/>
      </c>
    </row>
    <row r="672" spans="1:5" ht="18">
      <c r="A672" s="85"/>
      <c r="B672" s="104"/>
      <c r="C672" s="3"/>
      <c r="D672" s="78"/>
      <c r="E672" s="22" t="str">
        <f>IF(B672="","",IF(A672=0,"DOT PERDIDA",IF(COUNTIF(ASIGNACIONES!$B$4:$B948,B672)=1,"DOTACION ASIGNADA",IF(C672="VISITAS","DOTACION VISITA",IF(C672="MTTO","DOTACION MTTO",IF(C672="PLANTA EMERGENCIA","DOTACION RES DE EMERGENCIA",IF(C672="EXTERNOS","DOTACION DE EXTERNO","DOTACION DISPONIBLE")))))))</f>
        <v/>
      </c>
    </row>
    <row r="673" spans="1:5" ht="18">
      <c r="A673" s="85"/>
      <c r="B673" s="104"/>
      <c r="C673" s="3"/>
      <c r="D673" s="78"/>
      <c r="E673" s="22" t="str">
        <f>IF(B673="","",IF(A673=0,"DOT PERDIDA",IF(COUNTIF(ASIGNACIONES!$B$4:$B948,B673)=1,"DOTACION ASIGNADA",IF(C673="VISITAS","DOTACION VISITA",IF(C673="MTTO","DOTACION MTTO",IF(C673="PLANTA EMERGENCIA","DOTACION RES DE EMERGENCIA",IF(C673="EXTERNOS","DOTACION DE EXTERNO","DOTACION DISPONIBLE")))))))</f>
        <v/>
      </c>
    </row>
    <row r="674" spans="1:5" ht="18">
      <c r="A674" s="85"/>
      <c r="B674" s="104"/>
      <c r="C674" s="3"/>
      <c r="D674" s="78"/>
      <c r="E674" s="22" t="str">
        <f>IF(B674="","",IF(A674=0,"DOT PERDIDA",IF(COUNTIF(ASIGNACIONES!$B$4:$B948,B674)=1,"DOTACION ASIGNADA",IF(C674="VISITAS","DOTACION VISITA",IF(C674="MTTO","DOTACION MTTO",IF(C674="PLANTA EMERGENCIA","DOTACION RES DE EMERGENCIA",IF(C674="EXTERNOS","DOTACION DE EXTERNO","DOTACION DISPONIBLE")))))))</f>
        <v/>
      </c>
    </row>
    <row r="675" spans="1:5" ht="18">
      <c r="A675" s="85"/>
      <c r="B675" s="104"/>
      <c r="C675" s="3"/>
      <c r="D675" s="78"/>
      <c r="E675" s="22" t="str">
        <f>IF(B675="","",IF(A675=0,"DOT PERDIDA",IF(COUNTIF(ASIGNACIONES!$B$4:$B948,B675)=1,"DOTACION ASIGNADA",IF(C675="VISITAS","DOTACION VISITA",IF(C675="MTTO","DOTACION MTTO",IF(C675="PLANTA EMERGENCIA","DOTACION RES DE EMERGENCIA",IF(C675="EXTERNOS","DOTACION DE EXTERNO","DOTACION DISPONIBLE")))))))</f>
        <v/>
      </c>
    </row>
    <row r="676" spans="1:5" ht="18">
      <c r="A676" s="85"/>
      <c r="B676" s="104"/>
      <c r="C676" s="3"/>
      <c r="D676" s="78"/>
      <c r="E676" s="22" t="str">
        <f>IF(B676="","",IF(A676=0,"DOT PERDIDA",IF(COUNTIF(ASIGNACIONES!$B$4:$B948,B676)=1,"DOTACION ASIGNADA",IF(C676="VISITAS","DOTACION VISITA",IF(C676="MTTO","DOTACION MTTO",IF(C676="PLANTA EMERGENCIA","DOTACION RES DE EMERGENCIA",IF(C676="EXTERNOS","DOTACION DE EXTERNO","DOTACION DISPONIBLE")))))))</f>
        <v/>
      </c>
    </row>
    <row r="677" spans="1:5" ht="18">
      <c r="A677" s="85"/>
      <c r="B677" s="104"/>
      <c r="C677" s="3"/>
      <c r="D677" s="78"/>
      <c r="E677" s="22" t="str">
        <f>IF(B677="","",IF(A677=0,"DOT PERDIDA",IF(COUNTIF(ASIGNACIONES!$B$4:$B948,B677)=1,"DOTACION ASIGNADA",IF(C677="VISITAS","DOTACION VISITA",IF(C677="MTTO","DOTACION MTTO",IF(C677="PLANTA EMERGENCIA","DOTACION RES DE EMERGENCIA",IF(C677="EXTERNOS","DOTACION DE EXTERNO","DOTACION DISPONIBLE")))))))</f>
        <v/>
      </c>
    </row>
    <row r="678" spans="1:5" ht="18">
      <c r="A678" s="85"/>
      <c r="B678" s="104"/>
      <c r="C678" s="3"/>
      <c r="D678" s="78"/>
      <c r="E678" s="22" t="str">
        <f>IF(B678="","",IF(A678=0,"DOT PERDIDA",IF(COUNTIF(ASIGNACIONES!$B$4:$B948,B678)=1,"DOTACION ASIGNADA",IF(C678="VISITAS","DOTACION VISITA",IF(C678="MTTO","DOTACION MTTO",IF(C678="PLANTA EMERGENCIA","DOTACION RES DE EMERGENCIA",IF(C678="EXTERNOS","DOTACION DE EXTERNO","DOTACION DISPONIBLE")))))))</f>
        <v/>
      </c>
    </row>
    <row r="679" spans="1:5" ht="18">
      <c r="A679" s="85"/>
      <c r="B679" s="104"/>
      <c r="C679" s="3"/>
      <c r="D679" s="78"/>
      <c r="E679" s="22" t="str">
        <f>IF(B679="","",IF(A679=0,"DOT PERDIDA",IF(COUNTIF(ASIGNACIONES!$B$4:$B948,B679)=1,"DOTACION ASIGNADA",IF(C679="VISITAS","DOTACION VISITA",IF(C679="MTTO","DOTACION MTTO",IF(C679="PLANTA EMERGENCIA","DOTACION RES DE EMERGENCIA",IF(C679="EXTERNOS","DOTACION DE EXTERNO","DOTACION DISPONIBLE")))))))</f>
        <v/>
      </c>
    </row>
    <row r="680" spans="1:5" ht="18">
      <c r="A680" s="85"/>
      <c r="B680" s="104"/>
      <c r="C680" s="3"/>
      <c r="D680" s="78"/>
      <c r="E680" s="22" t="str">
        <f>IF(B680="","",IF(A680=0,"DOT PERDIDA",IF(COUNTIF(ASIGNACIONES!$B$4:$B948,B680)=1,"DOTACION ASIGNADA",IF(C680="VISITAS","DOTACION VISITA",IF(C680="MTTO","DOTACION MTTO",IF(C680="PLANTA EMERGENCIA","DOTACION RES DE EMERGENCIA",IF(C680="EXTERNOS","DOTACION DE EXTERNO","DOTACION DISPONIBLE")))))))</f>
        <v/>
      </c>
    </row>
    <row r="681" spans="1:5" ht="18">
      <c r="A681" s="85"/>
      <c r="B681" s="104"/>
      <c r="C681" s="3"/>
      <c r="D681" s="78"/>
      <c r="E681" s="22" t="str">
        <f>IF(B681="","",IF(A681=0,"DOT PERDIDA",IF(COUNTIF(ASIGNACIONES!$B$4:$B948,B681)=1,"DOTACION ASIGNADA",IF(C681="VISITAS","DOTACION VISITA",IF(C681="MTTO","DOTACION MTTO",IF(C681="PLANTA EMERGENCIA","DOTACION RES DE EMERGENCIA",IF(C681="EXTERNOS","DOTACION DE EXTERNO","DOTACION DISPONIBLE")))))))</f>
        <v/>
      </c>
    </row>
    <row r="682" spans="1:5" ht="18">
      <c r="A682" s="85"/>
      <c r="B682" s="104"/>
      <c r="C682" s="3"/>
      <c r="D682" s="78"/>
      <c r="E682" s="22" t="str">
        <f>IF(B682="","",IF(A682=0,"DOT PERDIDA",IF(COUNTIF(ASIGNACIONES!$B$4:$B948,B682)=1,"DOTACION ASIGNADA",IF(C682="VISITAS","DOTACION VISITA",IF(C682="MTTO","DOTACION MTTO",IF(C682="PLANTA EMERGENCIA","DOTACION RES DE EMERGENCIA",IF(C682="EXTERNOS","DOTACION DE EXTERNO","DOTACION DISPONIBLE")))))))</f>
        <v/>
      </c>
    </row>
    <row r="683" spans="1:5" ht="18">
      <c r="A683" s="85"/>
      <c r="B683" s="104"/>
      <c r="C683" s="3"/>
      <c r="D683" s="78"/>
      <c r="E683" s="22" t="str">
        <f>IF(B683="","",IF(A683=0,"DOT PERDIDA",IF(COUNTIF(ASIGNACIONES!$B$4:$B948,B683)=1,"DOTACION ASIGNADA",IF(C683="VISITAS","DOTACION VISITA",IF(C683="MTTO","DOTACION MTTO",IF(C683="PLANTA EMERGENCIA","DOTACION RES DE EMERGENCIA",IF(C683="EXTERNOS","DOTACION DE EXTERNO","DOTACION DISPONIBLE")))))))</f>
        <v/>
      </c>
    </row>
    <row r="684" spans="1:5" ht="18">
      <c r="A684" s="85"/>
      <c r="B684" s="104"/>
      <c r="C684" s="3"/>
      <c r="D684" s="78"/>
      <c r="E684" s="22" t="str">
        <f>IF(B684="","",IF(A684=0,"DOT PERDIDA",IF(COUNTIF(ASIGNACIONES!$B$4:$B948,B684)=1,"DOTACION ASIGNADA",IF(C684="VISITAS","DOTACION VISITA",IF(C684="MTTO","DOTACION MTTO",IF(C684="PLANTA EMERGENCIA","DOTACION RES DE EMERGENCIA",IF(C684="EXTERNOS","DOTACION DE EXTERNO","DOTACION DISPONIBLE")))))))</f>
        <v/>
      </c>
    </row>
    <row r="685" spans="1:5" ht="18">
      <c r="A685" s="85"/>
      <c r="B685" s="104"/>
      <c r="C685" s="3"/>
      <c r="D685" s="78"/>
      <c r="E685" s="22" t="str">
        <f>IF(B685="","",IF(A685=0,"DOT PERDIDA",IF(COUNTIF(ASIGNACIONES!$B$4:$B948,B685)=1,"DOTACION ASIGNADA",IF(C685="VISITAS","DOTACION VISITA",IF(C685="MTTO","DOTACION MTTO",IF(C685="PLANTA EMERGENCIA","DOTACION RES DE EMERGENCIA",IF(C685="EXTERNOS","DOTACION DE EXTERNO","DOTACION DISPONIBLE")))))))</f>
        <v/>
      </c>
    </row>
    <row r="686" spans="1:5" ht="18">
      <c r="A686" s="85"/>
      <c r="B686" s="104"/>
      <c r="C686" s="3"/>
      <c r="D686" s="78"/>
      <c r="E686" s="22" t="str">
        <f>IF(B686="","",IF(A686=0,"DOT PERDIDA",IF(COUNTIF(ASIGNACIONES!$B$4:$B948,B686)=1,"DOTACION ASIGNADA",IF(C686="VISITAS","DOTACION VISITA",IF(C686="MTTO","DOTACION MTTO",IF(C686="PLANTA EMERGENCIA","DOTACION RES DE EMERGENCIA",IF(C686="EXTERNOS","DOTACION DE EXTERNO","DOTACION DISPONIBLE")))))))</f>
        <v/>
      </c>
    </row>
    <row r="687" spans="1:5" ht="18">
      <c r="A687" s="85"/>
      <c r="B687" s="104"/>
      <c r="C687" s="3"/>
      <c r="D687" s="78"/>
      <c r="E687" s="22" t="str">
        <f>IF(B687="","",IF(A687=0,"DOT PERDIDA",IF(COUNTIF(ASIGNACIONES!$B$4:$B948,B687)=1,"DOTACION ASIGNADA",IF(C687="VISITAS","DOTACION VISITA",IF(C687="MTTO","DOTACION MTTO",IF(C687="PLANTA EMERGENCIA","DOTACION RES DE EMERGENCIA",IF(C687="EXTERNOS","DOTACION DE EXTERNO","DOTACION DISPONIBLE")))))))</f>
        <v/>
      </c>
    </row>
    <row r="688" spans="1:5" ht="18">
      <c r="A688" s="85"/>
      <c r="B688" s="104"/>
      <c r="C688" s="3"/>
      <c r="D688" s="78"/>
      <c r="E688" s="22" t="str">
        <f>IF(B688="","",IF(A688=0,"DOT PERDIDA",IF(COUNTIF(ASIGNACIONES!$B$4:$B948,B688)=1,"DOTACION ASIGNADA",IF(C688="VISITAS","DOTACION VISITA",IF(C688="MTTO","DOTACION MTTO",IF(C688="PLANTA EMERGENCIA","DOTACION RES DE EMERGENCIA",IF(C688="EXTERNOS","DOTACION DE EXTERNO","DOTACION DISPONIBLE")))))))</f>
        <v/>
      </c>
    </row>
    <row r="689" spans="1:5" ht="18">
      <c r="A689" s="85"/>
      <c r="B689" s="104"/>
      <c r="C689" s="3"/>
      <c r="D689" s="78"/>
      <c r="E689" s="22" t="str">
        <f>IF(B689="","",IF(A689=0,"DOT PERDIDA",IF(COUNTIF(ASIGNACIONES!$B$4:$B948,B689)=1,"DOTACION ASIGNADA",IF(C689="VISITAS","DOTACION VISITA",IF(C689="MTTO","DOTACION MTTO",IF(C689="PLANTA EMERGENCIA","DOTACION RES DE EMERGENCIA",IF(C689="EXTERNOS","DOTACION DE EXTERNO","DOTACION DISPONIBLE")))))))</f>
        <v/>
      </c>
    </row>
    <row r="690" spans="1:5" ht="18">
      <c r="A690" s="85"/>
      <c r="B690" s="104"/>
      <c r="C690" s="3"/>
      <c r="D690" s="78"/>
      <c r="E690" s="22" t="str">
        <f>IF(B690="","",IF(A690=0,"DOT PERDIDA",IF(COUNTIF(ASIGNACIONES!$B$4:$B948,B690)=1,"DOTACION ASIGNADA",IF(C690="VISITAS","DOTACION VISITA",IF(C690="MTTO","DOTACION MTTO",IF(C690="PLANTA EMERGENCIA","DOTACION RES DE EMERGENCIA",IF(C690="EXTERNOS","DOTACION DE EXTERNO","DOTACION DISPONIBLE")))))))</f>
        <v/>
      </c>
    </row>
    <row r="691" spans="1:5" ht="18">
      <c r="A691" s="85"/>
      <c r="B691" s="104"/>
      <c r="C691" s="3"/>
      <c r="D691" s="78"/>
      <c r="E691" s="22" t="str">
        <f>IF(B691="","",IF(A691=0,"DOT PERDIDA",IF(COUNTIF(ASIGNACIONES!$B$4:$B948,B691)=1,"DOTACION ASIGNADA",IF(C691="VISITAS","DOTACION VISITA",IF(C691="MTTO","DOTACION MTTO",IF(C691="PLANTA EMERGENCIA","DOTACION RES DE EMERGENCIA",IF(C691="EXTERNOS","DOTACION DE EXTERNO","DOTACION DISPONIBLE")))))))</f>
        <v/>
      </c>
    </row>
    <row r="692" spans="1:5" ht="18">
      <c r="A692" s="85"/>
      <c r="B692" s="104"/>
      <c r="C692" s="3"/>
      <c r="D692" s="78"/>
      <c r="E692" s="22" t="str">
        <f>IF(B692="","",IF(A692=0,"DOT PERDIDA",IF(COUNTIF(ASIGNACIONES!$B$4:$B948,B692)=1,"DOTACION ASIGNADA",IF(C692="VISITAS","DOTACION VISITA",IF(C692="MTTO","DOTACION MTTO",IF(C692="PLANTA EMERGENCIA","DOTACION RES DE EMERGENCIA",IF(C692="EXTERNOS","DOTACION DE EXTERNO","DOTACION DISPONIBLE")))))))</f>
        <v/>
      </c>
    </row>
    <row r="693" spans="1:5" ht="18">
      <c r="A693" s="85"/>
      <c r="B693" s="104"/>
      <c r="C693" s="3"/>
      <c r="D693" s="78"/>
      <c r="E693" s="22" t="str">
        <f>IF(B693="","",IF(A693=0,"DOT PERDIDA",IF(COUNTIF(ASIGNACIONES!$B$4:$B948,B693)=1,"DOTACION ASIGNADA",IF(C693="VISITAS","DOTACION VISITA",IF(C693="MTTO","DOTACION MTTO",IF(C693="PLANTA EMERGENCIA","DOTACION RES DE EMERGENCIA",IF(C693="EXTERNOS","DOTACION DE EXTERNO","DOTACION DISPONIBLE")))))))</f>
        <v/>
      </c>
    </row>
    <row r="694" spans="1:5" ht="18">
      <c r="A694" s="85"/>
      <c r="B694" s="104"/>
      <c r="C694" s="3"/>
      <c r="D694" s="78"/>
      <c r="E694" s="22" t="str">
        <f>IF(B694="","",IF(A694=0,"DOT PERDIDA",IF(COUNTIF(ASIGNACIONES!$B$4:$B948,B694)=1,"DOTACION ASIGNADA",IF(C694="VISITAS","DOTACION VISITA",IF(C694="MTTO","DOTACION MTTO",IF(C694="PLANTA EMERGENCIA","DOTACION RES DE EMERGENCIA",IF(C694="EXTERNOS","DOTACION DE EXTERNO","DOTACION DISPONIBLE")))))))</f>
        <v/>
      </c>
    </row>
    <row r="695" spans="1:5" ht="18">
      <c r="A695" s="85"/>
      <c r="B695" s="104"/>
      <c r="C695" s="3"/>
      <c r="D695" s="78"/>
      <c r="E695" s="22" t="str">
        <f>IF(B695="","",IF(A695=0,"DOT PERDIDA",IF(COUNTIF(ASIGNACIONES!$B$4:$B948,B695)=1,"DOTACION ASIGNADA",IF(C695="VISITAS","DOTACION VISITA",IF(C695="MTTO","DOTACION MTTO",IF(C695="PLANTA EMERGENCIA","DOTACION RES DE EMERGENCIA",IF(C695="EXTERNOS","DOTACION DE EXTERNO","DOTACION DISPONIBLE")))))))</f>
        <v/>
      </c>
    </row>
    <row r="696" spans="1:5" ht="18">
      <c r="A696" s="85"/>
      <c r="B696" s="104"/>
      <c r="C696" s="3"/>
      <c r="D696" s="78"/>
      <c r="E696" s="22" t="str">
        <f>IF(B696="","",IF(A696=0,"DOT PERDIDA",IF(COUNTIF(ASIGNACIONES!$B$4:$B948,B696)=1,"DOTACION ASIGNADA",IF(C696="VISITAS","DOTACION VISITA",IF(C696="MTTO","DOTACION MTTO",IF(C696="PLANTA EMERGENCIA","DOTACION RES DE EMERGENCIA",IF(C696="EXTERNOS","DOTACION DE EXTERNO","DOTACION DISPONIBLE")))))))</f>
        <v/>
      </c>
    </row>
    <row r="697" spans="1:5" ht="18">
      <c r="A697" s="85"/>
      <c r="B697" s="104"/>
      <c r="C697" s="3"/>
      <c r="D697" s="78"/>
      <c r="E697" s="22" t="str">
        <f>IF(B697="","",IF(A697=0,"DOT PERDIDA",IF(COUNTIF(ASIGNACIONES!$B$4:$B948,B697)=1,"DOTACION ASIGNADA",IF(C697="VISITAS","DOTACION VISITA",IF(C697="MTTO","DOTACION MTTO",IF(C697="PLANTA EMERGENCIA","DOTACION RES DE EMERGENCIA",IF(C697="EXTERNOS","DOTACION DE EXTERNO","DOTACION DISPONIBLE")))))))</f>
        <v/>
      </c>
    </row>
    <row r="698" spans="1:5" ht="18">
      <c r="A698" s="85"/>
      <c r="B698" s="104"/>
      <c r="C698" s="3"/>
      <c r="D698" s="78"/>
      <c r="E698" s="22" t="str">
        <f>IF(B698="","",IF(A698=0,"DOT PERDIDA",IF(COUNTIF(ASIGNACIONES!$B$4:$B948,B698)=1,"DOTACION ASIGNADA",IF(C698="VISITAS","DOTACION VISITA",IF(C698="MTTO","DOTACION MTTO",IF(C698="PLANTA EMERGENCIA","DOTACION RES DE EMERGENCIA",IF(C698="EXTERNOS","DOTACION DE EXTERNO","DOTACION DISPONIBLE")))))))</f>
        <v/>
      </c>
    </row>
    <row r="699" spans="1:5" ht="18">
      <c r="A699" s="85"/>
      <c r="B699" s="104"/>
      <c r="C699" s="3"/>
      <c r="D699" s="78"/>
      <c r="E699" s="22" t="str">
        <f>IF(B699="","",IF(A699=0,"DOT PERDIDA",IF(COUNTIF(ASIGNACIONES!$B$4:$B948,B699)=1,"DOTACION ASIGNADA",IF(C699="VISITAS","DOTACION VISITA",IF(C699="MTTO","DOTACION MTTO",IF(C699="PLANTA EMERGENCIA","DOTACION RES DE EMERGENCIA",IF(C699="EXTERNOS","DOTACION DE EXTERNO","DOTACION DISPONIBLE")))))))</f>
        <v/>
      </c>
    </row>
    <row r="700" spans="1:5" ht="18">
      <c r="A700" s="85"/>
      <c r="B700" s="104"/>
      <c r="C700" s="3"/>
      <c r="D700" s="78"/>
      <c r="E700" s="22" t="str">
        <f>IF(B700="","",IF(A700=0,"DOT PERDIDA",IF(COUNTIF(ASIGNACIONES!$B$4:$B948,B700)=1,"DOTACION ASIGNADA",IF(C700="VISITAS","DOTACION VISITA",IF(C700="MTTO","DOTACION MTTO",IF(C700="PLANTA EMERGENCIA","DOTACION RES DE EMERGENCIA",IF(C700="EXTERNOS","DOTACION DE EXTERNO","DOTACION DISPONIBLE")))))))</f>
        <v/>
      </c>
    </row>
    <row r="701" spans="1:5" ht="18">
      <c r="A701" s="85"/>
      <c r="B701" s="104"/>
      <c r="C701" s="3"/>
      <c r="D701" s="78"/>
      <c r="E701" s="22" t="str">
        <f>IF(B701="","",IF(A701=0,"DOT PERDIDA",IF(COUNTIF(ASIGNACIONES!$B$4:$B948,B701)=1,"DOTACION ASIGNADA",IF(C701="VISITAS","DOTACION VISITA",IF(C701="MTTO","DOTACION MTTO",IF(C701="PLANTA EMERGENCIA","DOTACION RES DE EMERGENCIA",IF(C701="EXTERNOS","DOTACION DE EXTERNO","DOTACION DISPONIBLE")))))))</f>
        <v/>
      </c>
    </row>
    <row r="702" spans="1:5" ht="18">
      <c r="A702" s="85"/>
      <c r="B702" s="104"/>
      <c r="C702" s="3"/>
      <c r="D702" s="78"/>
      <c r="E702" s="22" t="str">
        <f>IF(B702="","",IF(A702=0,"DOT PERDIDA",IF(COUNTIF(ASIGNACIONES!$B$4:$B948,B702)=1,"DOTACION ASIGNADA",IF(C702="VISITAS","DOTACION VISITA",IF(C702="MTTO","DOTACION MTTO",IF(C702="PLANTA EMERGENCIA","DOTACION RES DE EMERGENCIA",IF(C702="EXTERNOS","DOTACION DE EXTERNO","DOTACION DISPONIBLE")))))))</f>
        <v/>
      </c>
    </row>
    <row r="703" spans="1:5" ht="18">
      <c r="A703" s="85"/>
      <c r="B703" s="104"/>
      <c r="C703" s="3"/>
      <c r="D703" s="78"/>
      <c r="E703" s="22" t="str">
        <f>IF(B703="","",IF(A703=0,"DOT PERDIDA",IF(COUNTIF(ASIGNACIONES!$B$4:$B948,B703)=1,"DOTACION ASIGNADA",IF(C703="VISITAS","DOTACION VISITA",IF(C703="MTTO","DOTACION MTTO",IF(C703="PLANTA EMERGENCIA","DOTACION RES DE EMERGENCIA",IF(C703="EXTERNOS","DOTACION DE EXTERNO","DOTACION DISPONIBLE")))))))</f>
        <v/>
      </c>
    </row>
    <row r="704" spans="1:5" ht="18">
      <c r="A704" s="85"/>
      <c r="B704" s="104"/>
      <c r="C704" s="3"/>
      <c r="D704" s="78"/>
      <c r="E704" s="22" t="str">
        <f>IF(B704="","",IF(A704=0,"DOT PERDIDA",IF(COUNTIF(ASIGNACIONES!$B$4:$B948,B704)=1,"DOTACION ASIGNADA",IF(C704="VISITAS","DOTACION VISITA",IF(C704="MTTO","DOTACION MTTO",IF(C704="PLANTA EMERGENCIA","DOTACION RES DE EMERGENCIA",IF(C704="EXTERNOS","DOTACION DE EXTERNO","DOTACION DISPONIBLE")))))))</f>
        <v/>
      </c>
    </row>
    <row r="705" spans="1:5" ht="18">
      <c r="A705" s="85"/>
      <c r="B705" s="104"/>
      <c r="C705" s="3"/>
      <c r="D705" s="78"/>
      <c r="E705" s="22" t="str">
        <f>IF(B705="","",IF(A705=0,"DOT PERDIDA",IF(COUNTIF(ASIGNACIONES!$B$4:$B948,B705)=1,"DOTACION ASIGNADA",IF(C705="VISITAS","DOTACION VISITA",IF(C705="MTTO","DOTACION MTTO",IF(C705="PLANTA EMERGENCIA","DOTACION RES DE EMERGENCIA",IF(C705="EXTERNOS","DOTACION DE EXTERNO","DOTACION DISPONIBLE")))))))</f>
        <v/>
      </c>
    </row>
    <row r="706" spans="1:5" ht="18">
      <c r="A706" s="85"/>
      <c r="B706" s="104"/>
      <c r="C706" s="3"/>
      <c r="D706" s="78"/>
      <c r="E706" s="22" t="str">
        <f>IF(B706="","",IF(A706=0,"DOT PERDIDA",IF(COUNTIF(ASIGNACIONES!$B$4:$B948,B706)=1,"DOTACION ASIGNADA",IF(C706="VISITAS","DOTACION VISITA",IF(C706="MTTO","DOTACION MTTO",IF(C706="PLANTA EMERGENCIA","DOTACION RES DE EMERGENCIA",IF(C706="EXTERNOS","DOTACION DE EXTERNO","DOTACION DISPONIBLE")))))))</f>
        <v/>
      </c>
    </row>
    <row r="707" spans="1:5" ht="18">
      <c r="A707" s="85"/>
      <c r="B707" s="104"/>
      <c r="C707" s="3"/>
      <c r="D707" s="78"/>
      <c r="E707" s="22" t="str">
        <f>IF(B707="","",IF(A707=0,"DOT PERDIDA",IF(COUNTIF(ASIGNACIONES!$B$4:$B948,B707)=1,"DOTACION ASIGNADA",IF(C707="VISITAS","DOTACION VISITA",IF(C707="MTTO","DOTACION MTTO",IF(C707="PLANTA EMERGENCIA","DOTACION RES DE EMERGENCIA",IF(C707="EXTERNOS","DOTACION DE EXTERNO","DOTACION DISPONIBLE")))))))</f>
        <v/>
      </c>
    </row>
    <row r="708" spans="1:5" ht="18">
      <c r="A708" s="85"/>
      <c r="B708" s="104"/>
      <c r="C708" s="3"/>
      <c r="D708" s="78"/>
      <c r="E708" s="22" t="str">
        <f>IF(B708="","",IF(A708=0,"DOT PERDIDA",IF(COUNTIF(ASIGNACIONES!$B$4:$B948,B708)=1,"DOTACION ASIGNADA",IF(C708="VISITAS","DOTACION VISITA",IF(C708="MTTO","DOTACION MTTO",IF(C708="PLANTA EMERGENCIA","DOTACION RES DE EMERGENCIA",IF(C708="EXTERNOS","DOTACION DE EXTERNO","DOTACION DISPONIBLE")))))))</f>
        <v/>
      </c>
    </row>
    <row r="709" spans="1:5" ht="18">
      <c r="A709" s="85"/>
      <c r="B709" s="104"/>
      <c r="C709" s="3"/>
      <c r="D709" s="78"/>
      <c r="E709" s="22" t="str">
        <f>IF(B709="","",IF(A709=0,"DOT PERDIDA",IF(COUNTIF(ASIGNACIONES!$B$4:$B948,B709)=1,"DOTACION ASIGNADA",IF(C709="VISITAS","DOTACION VISITA",IF(C709="MTTO","DOTACION MTTO",IF(C709="PLANTA EMERGENCIA","DOTACION RES DE EMERGENCIA",IF(C709="EXTERNOS","DOTACION DE EXTERNO","DOTACION DISPONIBLE")))))))</f>
        <v/>
      </c>
    </row>
    <row r="710" spans="1:5" ht="18">
      <c r="A710" s="85"/>
      <c r="B710" s="104"/>
      <c r="C710" s="3"/>
      <c r="D710" s="78"/>
      <c r="E710" s="22" t="str">
        <f>IF(B710="","",IF(A710=0,"DOT PERDIDA",IF(COUNTIF(ASIGNACIONES!$B$4:$B948,B710)=1,"DOTACION ASIGNADA",IF(C710="VISITAS","DOTACION VISITA",IF(C710="MTTO","DOTACION MTTO",IF(C710="PLANTA EMERGENCIA","DOTACION RES DE EMERGENCIA",IF(C710="EXTERNOS","DOTACION DE EXTERNO","DOTACION DISPONIBLE")))))))</f>
        <v/>
      </c>
    </row>
    <row r="711" spans="1:5" ht="18">
      <c r="A711" s="85"/>
      <c r="B711" s="104"/>
      <c r="C711" s="3"/>
      <c r="D711" s="78"/>
      <c r="E711" s="22" t="str">
        <f>IF(B711="","",IF(A711=0,"DOT PERDIDA",IF(COUNTIF(ASIGNACIONES!$B$4:$B948,B711)=1,"DOTACION ASIGNADA",IF(C711="VISITAS","DOTACION VISITA",IF(C711="MTTO","DOTACION MTTO",IF(C711="PLANTA EMERGENCIA","DOTACION RES DE EMERGENCIA",IF(C711="EXTERNOS","DOTACION DE EXTERNO","DOTACION DISPONIBLE")))))))</f>
        <v/>
      </c>
    </row>
    <row r="712" spans="1:5" ht="18">
      <c r="A712" s="85"/>
      <c r="B712" s="104"/>
      <c r="C712" s="3"/>
      <c r="D712" s="78"/>
      <c r="E712" s="22" t="str">
        <f>IF(B712="","",IF(A712=0,"DOT PERDIDA",IF(COUNTIF(ASIGNACIONES!$B$4:$B948,B712)=1,"DOTACION ASIGNADA",IF(C712="VISITAS","DOTACION VISITA",IF(C712="MTTO","DOTACION MTTO",IF(C712="PLANTA EMERGENCIA","DOTACION RES DE EMERGENCIA",IF(C712="EXTERNOS","DOTACION DE EXTERNO","DOTACION DISPONIBLE")))))))</f>
        <v/>
      </c>
    </row>
    <row r="713" spans="1:5" ht="18">
      <c r="A713" s="85"/>
      <c r="B713" s="104"/>
      <c r="C713" s="3"/>
      <c r="D713" s="78"/>
      <c r="E713" s="22" t="str">
        <f>IF(B713="","",IF(A713=0,"DOT PERDIDA",IF(COUNTIF(ASIGNACIONES!$B$4:$B948,B713)=1,"DOTACION ASIGNADA",IF(C713="VISITAS","DOTACION VISITA",IF(C713="MTTO","DOTACION MTTO",IF(C713="PLANTA EMERGENCIA","DOTACION RES DE EMERGENCIA",IF(C713="EXTERNOS","DOTACION DE EXTERNO","DOTACION DISPONIBLE")))))))</f>
        <v/>
      </c>
    </row>
    <row r="714" spans="1:5" ht="18">
      <c r="A714" s="85"/>
      <c r="B714" s="104"/>
      <c r="C714" s="3"/>
      <c r="D714" s="78"/>
      <c r="E714" s="22" t="str">
        <f>IF(B714="","",IF(A714=0,"DOT PERDIDA",IF(COUNTIF(ASIGNACIONES!$B$4:$B948,B714)=1,"DOTACION ASIGNADA",IF(C714="VISITAS","DOTACION VISITA",IF(C714="MTTO","DOTACION MTTO",IF(C714="PLANTA EMERGENCIA","DOTACION RES DE EMERGENCIA",IF(C714="EXTERNOS","DOTACION DE EXTERNO","DOTACION DISPONIBLE")))))))</f>
        <v/>
      </c>
    </row>
    <row r="715" spans="1:5" ht="18">
      <c r="A715" s="85"/>
      <c r="B715" s="104"/>
      <c r="C715" s="3"/>
      <c r="D715" s="78"/>
      <c r="E715" s="22" t="str">
        <f>IF(B715="","",IF(A715=0,"DOT PERDIDA",IF(COUNTIF(ASIGNACIONES!$B$4:$B948,B715)=1,"DOTACION ASIGNADA",IF(C715="VISITAS","DOTACION VISITA",IF(C715="MTTO","DOTACION MTTO",IF(C715="PLANTA EMERGENCIA","DOTACION RES DE EMERGENCIA",IF(C715="EXTERNOS","DOTACION DE EXTERNO","DOTACION DISPONIBLE")))))))</f>
        <v/>
      </c>
    </row>
    <row r="716" spans="1:5" ht="18">
      <c r="A716" s="85"/>
      <c r="B716" s="104"/>
      <c r="C716" s="3"/>
      <c r="D716" s="78"/>
      <c r="E716" s="22" t="str">
        <f>IF(B716="","",IF(A716=0,"DOT PERDIDA",IF(COUNTIF(ASIGNACIONES!$B$4:$B948,B716)=1,"DOTACION ASIGNADA",IF(C716="VISITAS","DOTACION VISITA",IF(C716="MTTO","DOTACION MTTO",IF(C716="PLANTA EMERGENCIA","DOTACION RES DE EMERGENCIA",IF(C716="EXTERNOS","DOTACION DE EXTERNO","DOTACION DISPONIBLE")))))))</f>
        <v/>
      </c>
    </row>
    <row r="717" spans="1:5" ht="18">
      <c r="A717" s="85"/>
      <c r="B717" s="104"/>
      <c r="C717" s="3"/>
      <c r="D717" s="78"/>
      <c r="E717" s="22" t="str">
        <f>IF(B717="","",IF(A717=0,"DOT PERDIDA",IF(COUNTIF(ASIGNACIONES!$B$4:$B948,B717)=1,"DOTACION ASIGNADA",IF(C717="VISITAS","DOTACION VISITA",IF(C717="MTTO","DOTACION MTTO",IF(C717="PLANTA EMERGENCIA","DOTACION RES DE EMERGENCIA",IF(C717="EXTERNOS","DOTACION DE EXTERNO","DOTACION DISPONIBLE")))))))</f>
        <v/>
      </c>
    </row>
    <row r="718" spans="1:5" ht="18">
      <c r="A718" s="85"/>
      <c r="B718" s="104"/>
      <c r="C718" s="3"/>
      <c r="D718" s="78"/>
      <c r="E718" s="22" t="str">
        <f>IF(B718="","",IF(A718=0,"DOT PERDIDA",IF(COUNTIF(ASIGNACIONES!$B$4:$B948,B718)=1,"DOTACION ASIGNADA",IF(C718="VISITAS","DOTACION VISITA",IF(C718="MTTO","DOTACION MTTO",IF(C718="PLANTA EMERGENCIA","DOTACION RES DE EMERGENCIA",IF(C718="EXTERNOS","DOTACION DE EXTERNO","DOTACION DISPONIBLE")))))))</f>
        <v/>
      </c>
    </row>
    <row r="719" spans="1:5" ht="18">
      <c r="A719" s="85"/>
      <c r="B719" s="104"/>
      <c r="C719" s="3"/>
      <c r="D719" s="78"/>
      <c r="E719" s="22" t="str">
        <f>IF(B719="","",IF(A719=0,"DOT PERDIDA",IF(COUNTIF(ASIGNACIONES!$B$4:$B948,B719)=1,"DOTACION ASIGNADA",IF(C719="VISITAS","DOTACION VISITA",IF(C719="MTTO","DOTACION MTTO",IF(C719="PLANTA EMERGENCIA","DOTACION RES DE EMERGENCIA",IF(C719="EXTERNOS","DOTACION DE EXTERNO","DOTACION DISPONIBLE")))))))</f>
        <v/>
      </c>
    </row>
    <row r="720" spans="1:5" ht="18">
      <c r="A720" s="85"/>
      <c r="B720" s="104"/>
      <c r="C720" s="3"/>
      <c r="D720" s="78"/>
      <c r="E720" s="22" t="str">
        <f>IF(B720="","",IF(A720=0,"DOT PERDIDA",IF(COUNTIF(ASIGNACIONES!$B$4:$B948,B720)=1,"DOTACION ASIGNADA",IF(C720="VISITAS","DOTACION VISITA",IF(C720="MTTO","DOTACION MTTO",IF(C720="PLANTA EMERGENCIA","DOTACION RES DE EMERGENCIA",IF(C720="EXTERNOS","DOTACION DE EXTERNO","DOTACION DISPONIBLE")))))))</f>
        <v/>
      </c>
    </row>
    <row r="721" spans="1:5" ht="18">
      <c r="A721" s="85"/>
      <c r="B721" s="104"/>
      <c r="C721" s="3"/>
      <c r="D721" s="78"/>
      <c r="E721" s="22" t="str">
        <f>IF(B721="","",IF(A721=0,"DOT PERDIDA",IF(COUNTIF(ASIGNACIONES!$B$4:$B948,B721)=1,"DOTACION ASIGNADA",IF(C721="VISITAS","DOTACION VISITA",IF(C721="MTTO","DOTACION MTTO",IF(C721="PLANTA EMERGENCIA","DOTACION RES DE EMERGENCIA",IF(C721="EXTERNOS","DOTACION DE EXTERNO","DOTACION DISPONIBLE")))))))</f>
        <v/>
      </c>
    </row>
    <row r="722" spans="1:5" ht="18">
      <c r="A722" s="85"/>
      <c r="B722" s="104"/>
      <c r="C722" s="3"/>
      <c r="D722" s="78"/>
      <c r="E722" s="22" t="str">
        <f>IF(B722="","",IF(A722=0,"DOT PERDIDA",IF(COUNTIF(ASIGNACIONES!$B$4:$B948,B722)=1,"DOTACION ASIGNADA",IF(C722="VISITAS","DOTACION VISITA",IF(C722="MTTO","DOTACION MTTO",IF(C722="PLANTA EMERGENCIA","DOTACION RES DE EMERGENCIA",IF(C722="EXTERNOS","DOTACION DE EXTERNO","DOTACION DISPONIBLE")))))))</f>
        <v/>
      </c>
    </row>
    <row r="723" spans="1:5" ht="18">
      <c r="A723" s="85"/>
      <c r="B723" s="104"/>
      <c r="C723" s="3"/>
      <c r="D723" s="78"/>
      <c r="E723" s="22" t="str">
        <f>IF(B723="","",IF(A723=0,"DOT PERDIDA",IF(COUNTIF(ASIGNACIONES!$B$4:$B948,B723)=1,"DOTACION ASIGNADA",IF(C723="VISITAS","DOTACION VISITA",IF(C723="MTTO","DOTACION MTTO",IF(C723="PLANTA EMERGENCIA","DOTACION RES DE EMERGENCIA",IF(C723="EXTERNOS","DOTACION DE EXTERNO","DOTACION DISPONIBLE")))))))</f>
        <v/>
      </c>
    </row>
    <row r="724" spans="1:5" ht="18">
      <c r="A724" s="85"/>
      <c r="B724" s="104"/>
      <c r="C724" s="3"/>
      <c r="D724" s="78"/>
      <c r="E724" s="22" t="str">
        <f>IF(B724="","",IF(A724=0,"DOT PERDIDA",IF(COUNTIF(ASIGNACIONES!$B$4:$B948,B724)=1,"DOTACION ASIGNADA",IF(C724="VISITAS","DOTACION VISITA",IF(C724="MTTO","DOTACION MTTO",IF(C724="PLANTA EMERGENCIA","DOTACION RES DE EMERGENCIA",IF(C724="EXTERNOS","DOTACION DE EXTERNO","DOTACION DISPONIBLE")))))))</f>
        <v/>
      </c>
    </row>
    <row r="725" spans="1:5" ht="18">
      <c r="A725" s="85"/>
      <c r="B725" s="104"/>
      <c r="C725" s="3"/>
      <c r="D725" s="78"/>
      <c r="E725" s="22" t="str">
        <f>IF(B725="","",IF(A725=0,"DOT PERDIDA",IF(COUNTIF(ASIGNACIONES!$B$4:$B948,B725)=1,"DOTACION ASIGNADA",IF(C725="VISITAS","DOTACION VISITA",IF(C725="MTTO","DOTACION MTTO",IF(C725="PLANTA EMERGENCIA","DOTACION RES DE EMERGENCIA",IF(C725="EXTERNOS","DOTACION DE EXTERNO","DOTACION DISPONIBLE")))))))</f>
        <v/>
      </c>
    </row>
    <row r="726" spans="1:5" ht="18">
      <c r="A726" s="85"/>
      <c r="B726" s="104"/>
      <c r="C726" s="3"/>
      <c r="D726" s="78"/>
      <c r="E726" s="22" t="str">
        <f>IF(B726="","",IF(A726=0,"DOT PERDIDA",IF(COUNTIF(ASIGNACIONES!$B$4:$B948,B726)=1,"DOTACION ASIGNADA",IF(C726="VISITAS","DOTACION VISITA",IF(C726="MTTO","DOTACION MTTO",IF(C726="PLANTA EMERGENCIA","DOTACION RES DE EMERGENCIA",IF(C726="EXTERNOS","DOTACION DE EXTERNO","DOTACION DISPONIBLE")))))))</f>
        <v/>
      </c>
    </row>
    <row r="727" spans="1:5" ht="18">
      <c r="A727" s="85"/>
      <c r="B727" s="104"/>
      <c r="C727" s="3"/>
      <c r="D727" s="78"/>
      <c r="E727" s="22" t="str">
        <f>IF(B727="","",IF(A727=0,"DOT PERDIDA",IF(COUNTIF(ASIGNACIONES!$B$4:$B948,B727)=1,"DOTACION ASIGNADA",IF(C727="VISITAS","DOTACION VISITA",IF(C727="MTTO","DOTACION MTTO",IF(C727="PLANTA EMERGENCIA","DOTACION RES DE EMERGENCIA",IF(C727="EXTERNOS","DOTACION DE EXTERNO","DOTACION DISPONIBLE")))))))</f>
        <v/>
      </c>
    </row>
    <row r="728" spans="1:5" ht="18">
      <c r="A728" s="85"/>
      <c r="B728" s="104"/>
      <c r="C728" s="3"/>
      <c r="D728" s="78"/>
      <c r="E728" s="22" t="str">
        <f>IF(B728="","",IF(A728=0,"DOT PERDIDA",IF(COUNTIF(ASIGNACIONES!$B$4:$B948,B728)=1,"DOTACION ASIGNADA",IF(C728="VISITAS","DOTACION VISITA",IF(C728="MTTO","DOTACION MTTO",IF(C728="PLANTA EMERGENCIA","DOTACION RES DE EMERGENCIA",IF(C728="EXTERNOS","DOTACION DE EXTERNO","DOTACION DISPONIBLE")))))))</f>
        <v/>
      </c>
    </row>
    <row r="729" spans="1:5" ht="18">
      <c r="A729" s="85"/>
      <c r="B729" s="104"/>
      <c r="C729" s="3"/>
      <c r="D729" s="78"/>
      <c r="E729" s="22" t="str">
        <f>IF(B729="","",IF(A729=0,"DOT PERDIDA",IF(COUNTIF(ASIGNACIONES!$B$4:$B948,B729)=1,"DOTACION ASIGNADA",IF(C729="VISITAS","DOTACION VISITA",IF(C729="MTTO","DOTACION MTTO",IF(C729="PLANTA EMERGENCIA","DOTACION RES DE EMERGENCIA",IF(C729="EXTERNOS","DOTACION DE EXTERNO","DOTACION DISPONIBLE")))))))</f>
        <v/>
      </c>
    </row>
    <row r="730" spans="1:5" ht="18">
      <c r="A730" s="85"/>
      <c r="B730" s="104"/>
      <c r="C730" s="3"/>
      <c r="D730" s="78"/>
      <c r="E730" s="22" t="str">
        <f>IF(B730="","",IF(A730=0,"DOT PERDIDA",IF(COUNTIF(ASIGNACIONES!$B$4:$B948,B730)=1,"DOTACION ASIGNADA",IF(C730="VISITAS","DOTACION VISITA",IF(C730="MTTO","DOTACION MTTO",IF(C730="PLANTA EMERGENCIA","DOTACION RES DE EMERGENCIA",IF(C730="EXTERNOS","DOTACION DE EXTERNO","DOTACION DISPONIBLE")))))))</f>
        <v/>
      </c>
    </row>
    <row r="731" spans="1:5" ht="18">
      <c r="A731" s="85"/>
      <c r="B731" s="104"/>
      <c r="C731" s="3"/>
      <c r="D731" s="78"/>
      <c r="E731" s="22" t="str">
        <f>IF(B731="","",IF(A731=0,"DOT PERDIDA",IF(COUNTIF(ASIGNACIONES!$B$4:$B948,B731)=1,"DOTACION ASIGNADA",IF(C731="VISITAS","DOTACION VISITA",IF(C731="MTTO","DOTACION MTTO",IF(C731="PLANTA EMERGENCIA","DOTACION RES DE EMERGENCIA",IF(C731="EXTERNOS","DOTACION DE EXTERNO","DOTACION DISPONIBLE")))))))</f>
        <v/>
      </c>
    </row>
    <row r="732" spans="1:5" ht="18">
      <c r="A732" s="85"/>
      <c r="B732" s="104"/>
      <c r="C732" s="3"/>
      <c r="D732" s="78"/>
      <c r="E732" s="22" t="str">
        <f>IF(B732="","",IF(A732=0,"DOT PERDIDA",IF(COUNTIF(ASIGNACIONES!$B$4:$B948,B732)=1,"DOTACION ASIGNADA",IF(C732="VISITAS","DOTACION VISITA",IF(C732="MTTO","DOTACION MTTO",IF(C732="PLANTA EMERGENCIA","DOTACION RES DE EMERGENCIA",IF(C732="EXTERNOS","DOTACION DE EXTERNO","DOTACION DISPONIBLE")))))))</f>
        <v/>
      </c>
    </row>
    <row r="733" spans="1:5" ht="18">
      <c r="A733" s="85"/>
      <c r="B733" s="104"/>
      <c r="C733" s="3"/>
      <c r="D733" s="78"/>
      <c r="E733" s="22" t="str">
        <f>IF(B733="","",IF(A733=0,"DOT PERDIDA",IF(COUNTIF(ASIGNACIONES!$B$4:$B948,B733)=1,"DOTACION ASIGNADA",IF(C733="VISITAS","DOTACION VISITA",IF(C733="MTTO","DOTACION MTTO",IF(C733="PLANTA EMERGENCIA","DOTACION RES DE EMERGENCIA",IF(C733="EXTERNOS","DOTACION DE EXTERNO","DOTACION DISPONIBLE")))))))</f>
        <v/>
      </c>
    </row>
    <row r="734" spans="1:5" ht="18">
      <c r="A734" s="85"/>
      <c r="B734" s="104"/>
      <c r="C734" s="3"/>
      <c r="D734" s="78"/>
      <c r="E734" s="22" t="str">
        <f>IF(B734="","",IF(A734=0,"DOT PERDIDA",IF(COUNTIF(ASIGNACIONES!$B$4:$B948,B734)=1,"DOTACION ASIGNADA",IF(C734="VISITAS","DOTACION VISITA",IF(C734="MTTO","DOTACION MTTO",IF(C734="PLANTA EMERGENCIA","DOTACION RES DE EMERGENCIA",IF(C734="EXTERNOS","DOTACION DE EXTERNO","DOTACION DISPONIBLE")))))))</f>
        <v/>
      </c>
    </row>
    <row r="735" spans="1:5" ht="18">
      <c r="A735" s="85"/>
      <c r="B735" s="104"/>
      <c r="C735" s="3"/>
      <c r="D735" s="78"/>
      <c r="E735" s="22" t="str">
        <f>IF(B735="","",IF(A735=0,"DOT PERDIDA",IF(COUNTIF(ASIGNACIONES!$B$4:$B948,B735)=1,"DOTACION ASIGNADA",IF(C735="VISITAS","DOTACION VISITA",IF(C735="MTTO","DOTACION MTTO",IF(C735="PLANTA EMERGENCIA","DOTACION RES DE EMERGENCIA",IF(C735="EXTERNOS","DOTACION DE EXTERNO","DOTACION DISPONIBLE")))))))</f>
        <v/>
      </c>
    </row>
    <row r="736" spans="1:5" ht="18">
      <c r="A736" s="85"/>
      <c r="B736" s="104"/>
      <c r="C736" s="3"/>
      <c r="D736" s="78"/>
      <c r="E736" s="22" t="str">
        <f>IF(B736="","",IF(A736=0,"DOT PERDIDA",IF(COUNTIF(ASIGNACIONES!$B$4:$B948,B736)=1,"DOTACION ASIGNADA",IF(C736="VISITAS","DOTACION VISITA",IF(C736="MTTO","DOTACION MTTO",IF(C736="PLANTA EMERGENCIA","DOTACION RES DE EMERGENCIA",IF(C736="EXTERNOS","DOTACION DE EXTERNO","DOTACION DISPONIBLE")))))))</f>
        <v/>
      </c>
    </row>
    <row r="737" spans="1:5" ht="18">
      <c r="A737" s="85"/>
      <c r="B737" s="104"/>
      <c r="C737" s="3"/>
      <c r="D737" s="78"/>
      <c r="E737" s="22" t="str">
        <f>IF(B737="","",IF(A737=0,"DOT PERDIDA",IF(COUNTIF(ASIGNACIONES!$B$4:$B948,B737)=1,"DOTACION ASIGNADA",IF(C737="VISITAS","DOTACION VISITA",IF(C737="MTTO","DOTACION MTTO",IF(C737="PLANTA EMERGENCIA","DOTACION RES DE EMERGENCIA",IF(C737="EXTERNOS","DOTACION DE EXTERNO","DOTACION DISPONIBLE")))))))</f>
        <v/>
      </c>
    </row>
    <row r="738" spans="1:5" ht="18">
      <c r="A738" s="85"/>
      <c r="B738" s="104"/>
      <c r="C738" s="3"/>
      <c r="D738" s="78"/>
      <c r="E738" s="22" t="str">
        <f>IF(B738="","",IF(A738=0,"DOT PERDIDA",IF(COUNTIF(ASIGNACIONES!$B$4:$B948,B738)=1,"DOTACION ASIGNADA",IF(C738="VISITAS","DOTACION VISITA",IF(C738="MTTO","DOTACION MTTO",IF(C738="PLANTA EMERGENCIA","DOTACION RES DE EMERGENCIA",IF(C738="EXTERNOS","DOTACION DE EXTERNO","DOTACION DISPONIBLE")))))))</f>
        <v/>
      </c>
    </row>
    <row r="739" spans="1:5" ht="18">
      <c r="A739" s="85"/>
      <c r="B739" s="104"/>
      <c r="C739" s="3"/>
      <c r="D739" s="78"/>
      <c r="E739" s="22" t="str">
        <f>IF(B739="","",IF(A739=0,"DOT PERDIDA",IF(COUNTIF(ASIGNACIONES!$B$4:$B948,B739)=1,"DOTACION ASIGNADA",IF(C739="VISITAS","DOTACION VISITA",IF(C739="MTTO","DOTACION MTTO",IF(C739="PLANTA EMERGENCIA","DOTACION RES DE EMERGENCIA",IF(C739="EXTERNOS","DOTACION DE EXTERNO","DOTACION DISPONIBLE")))))))</f>
        <v/>
      </c>
    </row>
    <row r="740" spans="1:5" ht="18">
      <c r="A740" s="85"/>
      <c r="B740" s="104"/>
      <c r="C740" s="3"/>
      <c r="D740" s="78"/>
      <c r="E740" s="22" t="str">
        <f>IF(B740="","",IF(A740=0,"DOT PERDIDA",IF(COUNTIF(ASIGNACIONES!$B$4:$B948,B740)=1,"DOTACION ASIGNADA",IF(C740="VISITAS","DOTACION VISITA",IF(C740="MTTO","DOTACION MTTO",IF(C740="PLANTA EMERGENCIA","DOTACION RES DE EMERGENCIA",IF(C740="EXTERNOS","DOTACION DE EXTERNO","DOTACION DISPONIBLE")))))))</f>
        <v/>
      </c>
    </row>
    <row r="741" spans="1:5" ht="18">
      <c r="A741" s="85"/>
      <c r="B741" s="104"/>
      <c r="C741" s="3"/>
      <c r="D741" s="78"/>
      <c r="E741" s="22" t="str">
        <f>IF(B741="","",IF(A741=0,"DOT PERDIDA",IF(COUNTIF(ASIGNACIONES!$B$4:$B948,B741)=1,"DOTACION ASIGNADA",IF(C741="VISITAS","DOTACION VISITA",IF(C741="MTTO","DOTACION MTTO",IF(C741="PLANTA EMERGENCIA","DOTACION RES DE EMERGENCIA",IF(C741="EXTERNOS","DOTACION DE EXTERNO","DOTACION DISPONIBLE")))))))</f>
        <v/>
      </c>
    </row>
    <row r="742" spans="1:5" ht="18">
      <c r="A742" s="85"/>
      <c r="B742" s="104"/>
      <c r="C742" s="3"/>
      <c r="D742" s="78"/>
      <c r="E742" s="22" t="str">
        <f>IF(B742="","",IF(A742=0,"DOT PERDIDA",IF(COUNTIF(ASIGNACIONES!$B$4:$B948,B742)=1,"DOTACION ASIGNADA",IF(C742="VISITAS","DOTACION VISITA",IF(C742="MTTO","DOTACION MTTO",IF(C742="PLANTA EMERGENCIA","DOTACION RES DE EMERGENCIA",IF(C742="EXTERNOS","DOTACION DE EXTERNO","DOTACION DISPONIBLE")))))))</f>
        <v/>
      </c>
    </row>
    <row r="743" spans="1:5" ht="18">
      <c r="A743" s="85"/>
      <c r="B743" s="104"/>
      <c r="C743" s="3"/>
      <c r="D743" s="78"/>
      <c r="E743" s="22" t="str">
        <f>IF(B743="","",IF(A743=0,"DOT PERDIDA",IF(COUNTIF(ASIGNACIONES!$B$4:$B948,B743)=1,"DOTACION ASIGNADA",IF(C743="VISITAS","DOTACION VISITA",IF(C743="MTTO","DOTACION MTTO",IF(C743="PLANTA EMERGENCIA","DOTACION RES DE EMERGENCIA",IF(C743="EXTERNOS","DOTACION DE EXTERNO","DOTACION DISPONIBLE")))))))</f>
        <v/>
      </c>
    </row>
    <row r="744" spans="1:5" ht="18">
      <c r="A744" s="85"/>
      <c r="B744" s="104"/>
      <c r="C744" s="3"/>
      <c r="D744" s="78"/>
      <c r="E744" s="22" t="str">
        <f>IF(B744="","",IF(A744=0,"DOT PERDIDA",IF(COUNTIF(ASIGNACIONES!$B$4:$B948,B744)=1,"DOTACION ASIGNADA",IF(C744="VISITAS","DOTACION VISITA",IF(C744="MTTO","DOTACION MTTO",IF(C744="PLANTA EMERGENCIA","DOTACION RES DE EMERGENCIA",IF(C744="EXTERNOS","DOTACION DE EXTERNO","DOTACION DISPONIBLE")))))))</f>
        <v/>
      </c>
    </row>
    <row r="745" spans="1:5" ht="18">
      <c r="A745" s="85"/>
      <c r="B745" s="104"/>
      <c r="C745" s="3"/>
      <c r="D745" s="78"/>
      <c r="E745" s="22" t="str">
        <f>IF(B745="","",IF(A745=0,"DOT PERDIDA",IF(COUNTIF(ASIGNACIONES!$B$4:$B948,B745)=1,"DOTACION ASIGNADA",IF(C745="VISITAS","DOTACION VISITA",IF(C745="MTTO","DOTACION MTTO",IF(C745="PLANTA EMERGENCIA","DOTACION RES DE EMERGENCIA",IF(C745="EXTERNOS","DOTACION DE EXTERNO","DOTACION DISPONIBLE")))))))</f>
        <v/>
      </c>
    </row>
    <row r="746" spans="1:5" ht="18">
      <c r="A746" s="85"/>
      <c r="B746" s="104"/>
      <c r="C746" s="3"/>
      <c r="D746" s="78"/>
      <c r="E746" s="22" t="str">
        <f>IF(B746="","",IF(A746=0,"DOT PERDIDA",IF(COUNTIF(ASIGNACIONES!$B$4:$B948,B746)=1,"DOTACION ASIGNADA",IF(C746="VISITAS","DOTACION VISITA",IF(C746="MTTO","DOTACION MTTO",IF(C746="PLANTA EMERGENCIA","DOTACION RES DE EMERGENCIA",IF(C746="EXTERNOS","DOTACION DE EXTERNO","DOTACION DISPONIBLE")))))))</f>
        <v/>
      </c>
    </row>
    <row r="747" spans="1:5" ht="18">
      <c r="A747" s="85"/>
      <c r="B747" s="104"/>
      <c r="C747" s="3"/>
      <c r="D747" s="78"/>
      <c r="E747" s="22" t="str">
        <f>IF(B747="","",IF(A747=0,"DOT PERDIDA",IF(COUNTIF(ASIGNACIONES!$B$4:$B948,B747)=1,"DOTACION ASIGNADA",IF(C747="VISITAS","DOTACION VISITA",IF(C747="MTTO","DOTACION MTTO",IF(C747="PLANTA EMERGENCIA","DOTACION RES DE EMERGENCIA",IF(C747="EXTERNOS","DOTACION DE EXTERNO","DOTACION DISPONIBLE")))))))</f>
        <v/>
      </c>
    </row>
    <row r="748" spans="1:5" ht="18">
      <c r="A748" s="85"/>
      <c r="B748" s="104"/>
      <c r="C748" s="3"/>
      <c r="D748" s="78"/>
      <c r="E748" s="22" t="str">
        <f>IF(B748="","",IF(A748=0,"DOT PERDIDA",IF(COUNTIF(ASIGNACIONES!$B$4:$B948,B748)=1,"DOTACION ASIGNADA",IF(C748="VISITAS","DOTACION VISITA",IF(C748="MTTO","DOTACION MTTO",IF(C748="PLANTA EMERGENCIA","DOTACION RES DE EMERGENCIA",IF(C748="EXTERNOS","DOTACION DE EXTERNO","DOTACION DISPONIBLE")))))))</f>
        <v/>
      </c>
    </row>
    <row r="749" spans="1:5" ht="18">
      <c r="A749" s="85"/>
      <c r="B749" s="104"/>
      <c r="C749" s="3"/>
      <c r="D749" s="78"/>
      <c r="E749" s="22" t="str">
        <f>IF(B749="","",IF(A749=0,"DOT PERDIDA",IF(COUNTIF(ASIGNACIONES!$B$4:$B948,B749)=1,"DOTACION ASIGNADA",IF(C749="VISITAS","DOTACION VISITA",IF(C749="MTTO","DOTACION MTTO",IF(C749="PLANTA EMERGENCIA","DOTACION RES DE EMERGENCIA",IF(C749="EXTERNOS","DOTACION DE EXTERNO","DOTACION DISPONIBLE")))))))</f>
        <v/>
      </c>
    </row>
    <row r="750" spans="1:5" ht="18">
      <c r="A750" s="85"/>
      <c r="B750" s="104"/>
      <c r="C750" s="3"/>
      <c r="D750" s="78"/>
      <c r="E750" s="22" t="str">
        <f>IF(B750="","",IF(A750=0,"DOT PERDIDA",IF(COUNTIF(ASIGNACIONES!$B$4:$B948,B750)=1,"DOTACION ASIGNADA",IF(C750="VISITAS","DOTACION VISITA",IF(C750="MTTO","DOTACION MTTO",IF(C750="PLANTA EMERGENCIA","DOTACION RES DE EMERGENCIA",IF(C750="EXTERNOS","DOTACION DE EXTERNO","DOTACION DISPONIBLE")))))))</f>
        <v/>
      </c>
    </row>
    <row r="751" spans="1:5" ht="18">
      <c r="A751" s="85"/>
      <c r="B751" s="104"/>
      <c r="C751" s="3"/>
      <c r="D751" s="78"/>
      <c r="E751" s="22" t="str">
        <f>IF(B751="","",IF(A751=0,"DOT PERDIDA",IF(COUNTIF(ASIGNACIONES!$B$4:$B948,B751)=1,"DOTACION ASIGNADA",IF(C751="VISITAS","DOTACION VISITA",IF(C751="MTTO","DOTACION MTTO",IF(C751="PLANTA EMERGENCIA","DOTACION RES DE EMERGENCIA",IF(C751="EXTERNOS","DOTACION DE EXTERNO","DOTACION DISPONIBLE")))))))</f>
        <v/>
      </c>
    </row>
    <row r="752" spans="1:5" ht="18">
      <c r="A752" s="85"/>
      <c r="B752" s="104"/>
      <c r="C752" s="3"/>
      <c r="D752" s="78"/>
      <c r="E752" s="22" t="str">
        <f>IF(B752="","",IF(A752=0,"DOT PERDIDA",IF(COUNTIF(ASIGNACIONES!$B$4:$B948,B752)=1,"DOTACION ASIGNADA",IF(C752="VISITAS","DOTACION VISITA",IF(C752="MTTO","DOTACION MTTO",IF(C752="PLANTA EMERGENCIA","DOTACION RES DE EMERGENCIA",IF(C752="EXTERNOS","DOTACION DE EXTERNO","DOTACION DISPONIBLE")))))))</f>
        <v/>
      </c>
    </row>
    <row r="753" spans="1:5" ht="18">
      <c r="A753" s="85"/>
      <c r="B753" s="104"/>
      <c r="C753" s="3"/>
      <c r="D753" s="78"/>
      <c r="E753" s="22" t="str">
        <f>IF(B753="","",IF(A753=0,"DOT PERDIDA",IF(COUNTIF(ASIGNACIONES!$B$4:$B948,B753)=1,"DOTACION ASIGNADA",IF(C753="VISITAS","DOTACION VISITA",IF(C753="MTTO","DOTACION MTTO",IF(C753="PLANTA EMERGENCIA","DOTACION RES DE EMERGENCIA",IF(C753="EXTERNOS","DOTACION DE EXTERNO","DOTACION DISPONIBLE")))))))</f>
        <v/>
      </c>
    </row>
    <row r="754" spans="1:5" ht="18">
      <c r="A754" s="85"/>
      <c r="B754" s="104"/>
      <c r="C754" s="3"/>
      <c r="D754" s="78"/>
      <c r="E754" s="22" t="str">
        <f>IF(B754="","",IF(A754=0,"DOT PERDIDA",IF(COUNTIF(ASIGNACIONES!$B$4:$B948,B754)=1,"DOTACION ASIGNADA",IF(C754="VISITAS","DOTACION VISITA",IF(C754="MTTO","DOTACION MTTO",IF(C754="PLANTA EMERGENCIA","DOTACION RES DE EMERGENCIA",IF(C754="EXTERNOS","DOTACION DE EXTERNO","DOTACION DISPONIBLE")))))))</f>
        <v/>
      </c>
    </row>
    <row r="755" spans="1:5" ht="18">
      <c r="A755" s="85"/>
      <c r="B755" s="104"/>
      <c r="C755" s="3"/>
      <c r="D755" s="78"/>
      <c r="E755" s="22" t="str">
        <f>IF(B755="","",IF(A755=0,"DOT PERDIDA",IF(COUNTIF(ASIGNACIONES!$B$4:$B948,B755)=1,"DOTACION ASIGNADA",IF(C755="VISITAS","DOTACION VISITA",IF(C755="MTTO","DOTACION MTTO",IF(C755="PLANTA EMERGENCIA","DOTACION RES DE EMERGENCIA",IF(C755="EXTERNOS","DOTACION DE EXTERNO","DOTACION DISPONIBLE")))))))</f>
        <v/>
      </c>
    </row>
    <row r="756" spans="1:5" ht="18">
      <c r="A756" s="85"/>
      <c r="B756" s="104"/>
      <c r="C756" s="3"/>
      <c r="D756" s="78"/>
      <c r="E756" s="22" t="str">
        <f>IF(B756="","",IF(A756=0,"DOT PERDIDA",IF(COUNTIF(ASIGNACIONES!$B$4:$B948,B756)=1,"DOTACION ASIGNADA",IF(C756="VISITAS","DOTACION VISITA",IF(C756="MTTO","DOTACION MTTO",IF(C756="PLANTA EMERGENCIA","DOTACION RES DE EMERGENCIA",IF(C756="EXTERNOS","DOTACION DE EXTERNO","DOTACION DISPONIBLE")))))))</f>
        <v/>
      </c>
    </row>
    <row r="757" spans="1:5" ht="18">
      <c r="A757" s="85"/>
      <c r="B757" s="104"/>
      <c r="C757" s="3"/>
      <c r="D757" s="78"/>
      <c r="E757" s="22" t="str">
        <f>IF(B757="","",IF(A757=0,"DOT PERDIDA",IF(COUNTIF(ASIGNACIONES!$B$4:$B948,B757)=1,"DOTACION ASIGNADA",IF(C757="VISITAS","DOTACION VISITA",IF(C757="MTTO","DOTACION MTTO",IF(C757="PLANTA EMERGENCIA","DOTACION RES DE EMERGENCIA",IF(C757="EXTERNOS","DOTACION DE EXTERNO","DOTACION DISPONIBLE")))))))</f>
        <v/>
      </c>
    </row>
    <row r="758" spans="1:5" ht="18">
      <c r="A758" s="85"/>
      <c r="B758" s="104"/>
      <c r="C758" s="3"/>
      <c r="D758" s="78"/>
      <c r="E758" s="22" t="str">
        <f>IF(B758="","",IF(A758=0,"DOT PERDIDA",IF(COUNTIF(ASIGNACIONES!$B$4:$B948,B758)=1,"DOTACION ASIGNADA",IF(C758="VISITAS","DOTACION VISITA",IF(C758="MTTO","DOTACION MTTO",IF(C758="PLANTA EMERGENCIA","DOTACION RES DE EMERGENCIA",IF(C758="EXTERNOS","DOTACION DE EXTERNO","DOTACION DISPONIBLE")))))))</f>
        <v/>
      </c>
    </row>
    <row r="759" spans="1:5" ht="18">
      <c r="A759" s="85"/>
      <c r="B759" s="104"/>
      <c r="C759" s="3"/>
      <c r="D759" s="78"/>
      <c r="E759" s="22" t="str">
        <f>IF(B759="","",IF(A759=0,"DOT PERDIDA",IF(COUNTIF(ASIGNACIONES!$B$4:$B948,B759)=1,"DOTACION ASIGNADA",IF(C759="VISITAS","DOTACION VISITA",IF(C759="MTTO","DOTACION MTTO",IF(C759="PLANTA EMERGENCIA","DOTACION RES DE EMERGENCIA",IF(C759="EXTERNOS","DOTACION DE EXTERNO","DOTACION DISPONIBLE")))))))</f>
        <v/>
      </c>
    </row>
    <row r="760" spans="1:5" ht="18">
      <c r="A760" s="85"/>
      <c r="B760" s="104"/>
      <c r="C760" s="3"/>
      <c r="D760" s="78"/>
      <c r="E760" s="22" t="str">
        <f>IF(B760="","",IF(A760=0,"DOT PERDIDA",IF(COUNTIF(ASIGNACIONES!$B$4:$B948,B760)=1,"DOTACION ASIGNADA",IF(C760="VISITAS","DOTACION VISITA",IF(C760="MTTO","DOTACION MTTO",IF(C760="PLANTA EMERGENCIA","DOTACION RES DE EMERGENCIA",IF(C760="EXTERNOS","DOTACION DE EXTERNO","DOTACION DISPONIBLE")))))))</f>
        <v/>
      </c>
    </row>
    <row r="761" spans="1:5" ht="18">
      <c r="A761" s="85"/>
      <c r="B761" s="104"/>
      <c r="C761" s="3"/>
      <c r="D761" s="78"/>
      <c r="E761" s="22" t="str">
        <f>IF(B761="","",IF(A761=0,"DOT PERDIDA",IF(COUNTIF(ASIGNACIONES!$B$4:$B948,B761)=1,"DOTACION ASIGNADA",IF(C761="VISITAS","DOTACION VISITA",IF(C761="MTTO","DOTACION MTTO",IF(C761="PLANTA EMERGENCIA","DOTACION RES DE EMERGENCIA",IF(C761="EXTERNOS","DOTACION DE EXTERNO","DOTACION DISPONIBLE")))))))</f>
        <v/>
      </c>
    </row>
    <row r="762" spans="1:5" ht="18">
      <c r="A762" s="85"/>
      <c r="B762" s="104"/>
      <c r="C762" s="3"/>
      <c r="D762" s="78"/>
      <c r="E762" s="22" t="str">
        <f>IF(B762="","",IF(A762=0,"DOT PERDIDA",IF(COUNTIF(ASIGNACIONES!$B$4:$B948,B762)=1,"DOTACION ASIGNADA",IF(C762="VISITAS","DOTACION VISITA",IF(C762="MTTO","DOTACION MTTO",IF(C762="PLANTA EMERGENCIA","DOTACION RES DE EMERGENCIA",IF(C762="EXTERNOS","DOTACION DE EXTERNO","DOTACION DISPONIBLE")))))))</f>
        <v/>
      </c>
    </row>
    <row r="763" spans="1:5" ht="18">
      <c r="A763" s="85"/>
      <c r="B763" s="104"/>
      <c r="C763" s="3"/>
      <c r="D763" s="78"/>
      <c r="E763" s="22" t="str">
        <f>IF(B763="","",IF(A763=0,"DOT PERDIDA",IF(COUNTIF(ASIGNACIONES!$B$4:$B948,B763)=1,"DOTACION ASIGNADA",IF(C763="VISITAS","DOTACION VISITA",IF(C763="MTTO","DOTACION MTTO",IF(C763="PLANTA EMERGENCIA","DOTACION RES DE EMERGENCIA",IF(C763="EXTERNOS","DOTACION DE EXTERNO","DOTACION DISPONIBLE")))))))</f>
        <v/>
      </c>
    </row>
    <row r="764" spans="1:5" ht="18">
      <c r="A764" s="85"/>
      <c r="B764" s="104"/>
      <c r="C764" s="3"/>
      <c r="D764" s="78"/>
      <c r="E764" s="22" t="str">
        <f>IF(B764="","",IF(A764=0,"DOT PERDIDA",IF(COUNTIF(ASIGNACIONES!$B$4:$B948,B764)=1,"DOTACION ASIGNADA",IF(C764="VISITAS","DOTACION VISITA",IF(C764="MTTO","DOTACION MTTO",IF(C764="PLANTA EMERGENCIA","DOTACION RES DE EMERGENCIA",IF(C764="EXTERNOS","DOTACION DE EXTERNO","DOTACION DISPONIBLE")))))))</f>
        <v/>
      </c>
    </row>
    <row r="765" spans="1:5" ht="18">
      <c r="A765" s="85"/>
      <c r="B765" s="104"/>
      <c r="C765" s="3"/>
      <c r="D765" s="78"/>
      <c r="E765" s="22" t="str">
        <f>IF(B765="","",IF(A765=0,"DOT PERDIDA",IF(COUNTIF(ASIGNACIONES!$B$4:$B948,B765)=1,"DOTACION ASIGNADA",IF(C765="VISITAS","DOTACION VISITA",IF(C765="MTTO","DOTACION MTTO",IF(C765="PLANTA EMERGENCIA","DOTACION RES DE EMERGENCIA",IF(C765="EXTERNOS","DOTACION DE EXTERNO","DOTACION DISPONIBLE")))))))</f>
        <v/>
      </c>
    </row>
    <row r="766" spans="1:5" ht="18">
      <c r="A766" s="85"/>
      <c r="B766" s="104"/>
      <c r="C766" s="3"/>
      <c r="D766" s="78"/>
      <c r="E766" s="22" t="str">
        <f>IF(B766="","",IF(A766=0,"DOT PERDIDA",IF(COUNTIF(ASIGNACIONES!$B$4:$B948,B766)=1,"DOTACION ASIGNADA",IF(C766="VISITAS","DOTACION VISITA",IF(C766="MTTO","DOTACION MTTO",IF(C766="PLANTA EMERGENCIA","DOTACION RES DE EMERGENCIA",IF(C766="EXTERNOS","DOTACION DE EXTERNO","DOTACION DISPONIBLE")))))))</f>
        <v/>
      </c>
    </row>
    <row r="767" spans="1:5" ht="18">
      <c r="A767" s="85"/>
      <c r="B767" s="104"/>
      <c r="C767" s="3"/>
      <c r="D767" s="78"/>
      <c r="E767" s="22" t="str">
        <f>IF(B767="","",IF(A767=0,"DOT PERDIDA",IF(COUNTIF(ASIGNACIONES!$B$4:$B948,B767)=1,"DOTACION ASIGNADA",IF(C767="VISITAS","DOTACION VISITA",IF(C767="MTTO","DOTACION MTTO",IF(C767="PLANTA EMERGENCIA","DOTACION RES DE EMERGENCIA",IF(C767="EXTERNOS","DOTACION DE EXTERNO","DOTACION DISPONIBLE")))))))</f>
        <v/>
      </c>
    </row>
    <row r="768" spans="1:5" ht="18">
      <c r="A768" s="85"/>
      <c r="B768" s="104"/>
      <c r="C768" s="3"/>
      <c r="D768" s="78"/>
      <c r="E768" s="22" t="str">
        <f>IF(B768="","",IF(A768=0,"DOT PERDIDA",IF(COUNTIF(ASIGNACIONES!$B$4:$B948,B768)=1,"DOTACION ASIGNADA",IF(C768="VISITAS","DOTACION VISITA",IF(C768="MTTO","DOTACION MTTO",IF(C768="PLANTA EMERGENCIA","DOTACION RES DE EMERGENCIA",IF(C768="EXTERNOS","DOTACION DE EXTERNO","DOTACION DISPONIBLE")))))))</f>
        <v/>
      </c>
    </row>
    <row r="769" spans="1:5" ht="18">
      <c r="A769" s="85"/>
      <c r="B769" s="104"/>
      <c r="C769" s="3"/>
      <c r="D769" s="78"/>
      <c r="E769" s="22" t="str">
        <f>IF(B769="","",IF(A769=0,"DOT PERDIDA",IF(COUNTIF(ASIGNACIONES!$B$4:$B948,B769)=1,"DOTACION ASIGNADA",IF(C769="VISITAS","DOTACION VISITA",IF(C769="MTTO","DOTACION MTTO",IF(C769="PLANTA EMERGENCIA","DOTACION RES DE EMERGENCIA",IF(C769="EXTERNOS","DOTACION DE EXTERNO","DOTACION DISPONIBLE")))))))</f>
        <v/>
      </c>
    </row>
    <row r="770" spans="1:5" ht="18">
      <c r="A770" s="85"/>
      <c r="B770" s="104"/>
      <c r="C770" s="3"/>
      <c r="D770" s="78"/>
      <c r="E770" s="22" t="str">
        <f>IF(B770="","",IF(A770=0,"DOT PERDIDA",IF(COUNTIF(ASIGNACIONES!$B$4:$B948,B770)=1,"DOTACION ASIGNADA",IF(C770="VISITAS","DOTACION VISITA",IF(C770="MTTO","DOTACION MTTO",IF(C770="PLANTA EMERGENCIA","DOTACION RES DE EMERGENCIA",IF(C770="EXTERNOS","DOTACION DE EXTERNO","DOTACION DISPONIBLE")))))))</f>
        <v/>
      </c>
    </row>
    <row r="771" spans="1:5" ht="18">
      <c r="A771" s="85"/>
      <c r="B771" s="104"/>
      <c r="C771" s="3"/>
      <c r="D771" s="78"/>
      <c r="E771" s="22" t="str">
        <f>IF(B771="","",IF(A771=0,"DOT PERDIDA",IF(COUNTIF(ASIGNACIONES!$B$4:$B948,B771)=1,"DOTACION ASIGNADA",IF(C771="VISITAS","DOTACION VISITA",IF(C771="MTTO","DOTACION MTTO",IF(C771="PLANTA EMERGENCIA","DOTACION RES DE EMERGENCIA",IF(C771="EXTERNOS","DOTACION DE EXTERNO","DOTACION DISPONIBLE")))))))</f>
        <v/>
      </c>
    </row>
    <row r="772" spans="1:5" ht="18">
      <c r="A772" s="85"/>
      <c r="B772" s="104"/>
      <c r="C772" s="3"/>
      <c r="D772" s="78"/>
      <c r="E772" s="22" t="str">
        <f>IF(B772="","",IF(A772=0,"DOT PERDIDA",IF(COUNTIF(ASIGNACIONES!$B$4:$B948,B772)=1,"DOTACION ASIGNADA",IF(C772="VISITAS","DOTACION VISITA",IF(C772="MTTO","DOTACION MTTO",IF(C772="PLANTA EMERGENCIA","DOTACION RES DE EMERGENCIA",IF(C772="EXTERNOS","DOTACION DE EXTERNO","DOTACION DISPONIBLE")))))))</f>
        <v/>
      </c>
    </row>
    <row r="773" spans="1:5" ht="18">
      <c r="A773" s="85"/>
      <c r="B773" s="104"/>
      <c r="C773" s="3"/>
      <c r="D773" s="78"/>
      <c r="E773" s="22" t="str">
        <f>IF(B773="","",IF(A773=0,"DOT PERDIDA",IF(COUNTIF(ASIGNACIONES!$B$4:$B948,B773)=1,"DOTACION ASIGNADA",IF(C773="VISITAS","DOTACION VISITA",IF(C773="MTTO","DOTACION MTTO",IF(C773="PLANTA EMERGENCIA","DOTACION RES DE EMERGENCIA",IF(C773="EXTERNOS","DOTACION DE EXTERNO","DOTACION DISPONIBLE")))))))</f>
        <v/>
      </c>
    </row>
    <row r="774" spans="1:5" ht="18">
      <c r="A774" s="85"/>
      <c r="B774" s="104"/>
      <c r="C774" s="3"/>
      <c r="D774" s="78"/>
      <c r="E774" s="22" t="str">
        <f>IF(B774="","",IF(A774=0,"DOT PERDIDA",IF(COUNTIF(ASIGNACIONES!$B$4:$B948,B774)=1,"DOTACION ASIGNADA",IF(C774="VISITAS","DOTACION VISITA",IF(C774="MTTO","DOTACION MTTO",IF(C774="PLANTA EMERGENCIA","DOTACION RES DE EMERGENCIA",IF(C774="EXTERNOS","DOTACION DE EXTERNO","DOTACION DISPONIBLE")))))))</f>
        <v/>
      </c>
    </row>
    <row r="775" spans="1:5" ht="18">
      <c r="A775" s="85"/>
      <c r="B775" s="104"/>
      <c r="C775" s="3"/>
      <c r="D775" s="78"/>
      <c r="E775" s="22" t="str">
        <f>IF(B775="","",IF(A775=0,"DOT PERDIDA",IF(COUNTIF(ASIGNACIONES!$B$4:$B948,B775)=1,"DOTACION ASIGNADA",IF(C775="VISITAS","DOTACION VISITA",IF(C775="MTTO","DOTACION MTTO",IF(C775="PLANTA EMERGENCIA","DOTACION RES DE EMERGENCIA",IF(C775="EXTERNOS","DOTACION DE EXTERNO","DOTACION DISPONIBLE")))))))</f>
        <v/>
      </c>
    </row>
    <row r="776" spans="1:5" ht="18">
      <c r="A776" s="85"/>
      <c r="B776" s="104"/>
      <c r="C776" s="3"/>
      <c r="D776" s="78"/>
      <c r="E776" s="22" t="str">
        <f>IF(B776="","",IF(A776=0,"DOT PERDIDA",IF(COUNTIF(ASIGNACIONES!$B$4:$B948,B776)=1,"DOTACION ASIGNADA",IF(C776="VISITAS","DOTACION VISITA",IF(C776="MTTO","DOTACION MTTO",IF(C776="PLANTA EMERGENCIA","DOTACION RES DE EMERGENCIA",IF(C776="EXTERNOS","DOTACION DE EXTERNO","DOTACION DISPONIBLE")))))))</f>
        <v/>
      </c>
    </row>
    <row r="777" spans="1:5" ht="18">
      <c r="A777" s="85"/>
      <c r="B777" s="104"/>
      <c r="C777" s="3"/>
      <c r="D777" s="78"/>
      <c r="E777" s="22" t="str">
        <f>IF(B777="","",IF(A777=0,"DOT PERDIDA",IF(COUNTIF(ASIGNACIONES!$B$4:$B948,B777)=1,"DOTACION ASIGNADA",IF(C777="VISITAS","DOTACION VISITA",IF(C777="MTTO","DOTACION MTTO",IF(C777="PLANTA EMERGENCIA","DOTACION RES DE EMERGENCIA",IF(C777="EXTERNOS","DOTACION DE EXTERNO","DOTACION DISPONIBLE")))))))</f>
        <v/>
      </c>
    </row>
    <row r="778" spans="1:5" ht="18">
      <c r="A778" s="85"/>
      <c r="B778" s="104"/>
      <c r="C778" s="3"/>
      <c r="D778" s="78"/>
      <c r="E778" s="22" t="str">
        <f>IF(B778="","",IF(A778=0,"DOT PERDIDA",IF(COUNTIF(ASIGNACIONES!$B$4:$B948,B778)=1,"DOTACION ASIGNADA",IF(C778="VISITAS","DOTACION VISITA",IF(C778="MTTO","DOTACION MTTO",IF(C778="PLANTA EMERGENCIA","DOTACION RES DE EMERGENCIA",IF(C778="EXTERNOS","DOTACION DE EXTERNO","DOTACION DISPONIBLE")))))))</f>
        <v/>
      </c>
    </row>
    <row r="779" spans="1:5" ht="18">
      <c r="A779" s="85"/>
      <c r="B779" s="104"/>
      <c r="C779" s="3"/>
      <c r="D779" s="78"/>
      <c r="E779" s="22" t="str">
        <f>IF(B779="","",IF(A779=0,"DOT PERDIDA",IF(COUNTIF(ASIGNACIONES!$B$4:$B948,B779)=1,"DOTACION ASIGNADA",IF(C779="VISITAS","DOTACION VISITA",IF(C779="MTTO","DOTACION MTTO",IF(C779="PLANTA EMERGENCIA","DOTACION RES DE EMERGENCIA",IF(C779="EXTERNOS","DOTACION DE EXTERNO","DOTACION DISPONIBLE")))))))</f>
        <v/>
      </c>
    </row>
    <row r="780" spans="1:5" ht="18">
      <c r="A780" s="85"/>
      <c r="B780" s="104"/>
      <c r="C780" s="3"/>
      <c r="D780" s="78"/>
      <c r="E780" s="22" t="str">
        <f>IF(B780="","",IF(A780=0,"DOT PERDIDA",IF(COUNTIF(ASIGNACIONES!$B$4:$B948,B780)=1,"DOTACION ASIGNADA",IF(C780="VISITAS","DOTACION VISITA",IF(C780="MTTO","DOTACION MTTO",IF(C780="PLANTA EMERGENCIA","DOTACION RES DE EMERGENCIA",IF(C780="EXTERNOS","DOTACION DE EXTERNO","DOTACION DISPONIBLE")))))))</f>
        <v/>
      </c>
    </row>
    <row r="781" spans="1:5" ht="18">
      <c r="A781" s="85"/>
      <c r="B781" s="104"/>
      <c r="C781" s="3"/>
      <c r="D781" s="78"/>
      <c r="E781" s="22" t="str">
        <f>IF(B781="","",IF(A781=0,"DOT PERDIDA",IF(COUNTIF(ASIGNACIONES!$B$4:$B948,B781)=1,"DOTACION ASIGNADA",IF(C781="VISITAS","DOTACION VISITA",IF(C781="MTTO","DOTACION MTTO",IF(C781="PLANTA EMERGENCIA","DOTACION RES DE EMERGENCIA",IF(C781="EXTERNOS","DOTACION DE EXTERNO","DOTACION DISPONIBLE")))))))</f>
        <v/>
      </c>
    </row>
    <row r="782" spans="1:5" ht="18">
      <c r="A782" s="85"/>
      <c r="B782" s="104"/>
      <c r="C782" s="3"/>
      <c r="D782" s="78"/>
      <c r="E782" s="22" t="str">
        <f>IF(B782="","",IF(A782=0,"DOT PERDIDA",IF(COUNTIF(ASIGNACIONES!$B$4:$B948,B782)=1,"DOTACION ASIGNADA",IF(C782="VISITAS","DOTACION VISITA",IF(C782="MTTO","DOTACION MTTO",IF(C782="PLANTA EMERGENCIA","DOTACION RES DE EMERGENCIA",IF(C782="EXTERNOS","DOTACION DE EXTERNO","DOTACION DISPONIBLE")))))))</f>
        <v/>
      </c>
    </row>
    <row r="783" spans="1:5" ht="18">
      <c r="A783" s="85"/>
      <c r="B783" s="104"/>
      <c r="C783" s="3"/>
      <c r="D783" s="78"/>
      <c r="E783" s="22" t="str">
        <f>IF(B783="","",IF(A783=0,"DOT PERDIDA",IF(COUNTIF(ASIGNACIONES!$B$4:$B948,B783)=1,"DOTACION ASIGNADA",IF(C783="VISITAS","DOTACION VISITA",IF(C783="MTTO","DOTACION MTTO",IF(C783="PLANTA EMERGENCIA","DOTACION RES DE EMERGENCIA",IF(C783="EXTERNOS","DOTACION DE EXTERNO","DOTACION DISPONIBLE")))))))</f>
        <v/>
      </c>
    </row>
    <row r="784" spans="1:5" ht="18">
      <c r="A784" s="85"/>
      <c r="B784" s="104"/>
      <c r="C784" s="3"/>
      <c r="D784" s="78"/>
      <c r="E784" s="22" t="str">
        <f>IF(B784="","",IF(A784=0,"DOT PERDIDA",IF(COUNTIF(ASIGNACIONES!$B$4:$B948,B784)=1,"DOTACION ASIGNADA",IF(C784="VISITAS","DOTACION VISITA",IF(C784="MTTO","DOTACION MTTO",IF(C784="PLANTA EMERGENCIA","DOTACION RES DE EMERGENCIA",IF(C784="EXTERNOS","DOTACION DE EXTERNO","DOTACION DISPONIBLE")))))))</f>
        <v/>
      </c>
    </row>
    <row r="785" spans="1:5" ht="18">
      <c r="A785" s="85"/>
      <c r="B785" s="104"/>
      <c r="C785" s="3"/>
      <c r="D785" s="78"/>
      <c r="E785" s="22" t="str">
        <f>IF(B785="","",IF(A785=0,"DOT PERDIDA",IF(COUNTIF(ASIGNACIONES!$B$4:$B948,B785)=1,"DOTACION ASIGNADA",IF(C785="VISITAS","DOTACION VISITA",IF(C785="MTTO","DOTACION MTTO",IF(C785="PLANTA EMERGENCIA","DOTACION RES DE EMERGENCIA",IF(C785="EXTERNOS","DOTACION DE EXTERNO","DOTACION DISPONIBLE")))))))</f>
        <v/>
      </c>
    </row>
    <row r="786" spans="1:5" ht="18">
      <c r="A786" s="85"/>
      <c r="B786" s="104"/>
      <c r="C786" s="3"/>
      <c r="D786" s="78"/>
      <c r="E786" s="22" t="str">
        <f>IF(B786="","",IF(A786=0,"DOT PERDIDA",IF(COUNTIF(ASIGNACIONES!$B$4:$B948,B786)=1,"DOTACION ASIGNADA",IF(C786="VISITAS","DOTACION VISITA",IF(C786="MTTO","DOTACION MTTO",IF(C786="PLANTA EMERGENCIA","DOTACION RES DE EMERGENCIA",IF(C786="EXTERNOS","DOTACION DE EXTERNO","DOTACION DISPONIBLE")))))))</f>
        <v/>
      </c>
    </row>
    <row r="787" spans="1:5" ht="18">
      <c r="A787" s="85"/>
      <c r="B787" s="104"/>
      <c r="C787" s="3"/>
      <c r="D787" s="78"/>
      <c r="E787" s="22" t="str">
        <f>IF(B787="","",IF(A787=0,"DOT PERDIDA",IF(COUNTIF(ASIGNACIONES!$B$4:$B948,B787)=1,"DOTACION ASIGNADA",IF(C787="VISITAS","DOTACION VISITA",IF(C787="MTTO","DOTACION MTTO",IF(C787="PLANTA EMERGENCIA","DOTACION RES DE EMERGENCIA",IF(C787="EXTERNOS","DOTACION DE EXTERNO","DOTACION DISPONIBLE")))))))</f>
        <v/>
      </c>
    </row>
    <row r="788" spans="1:5" ht="18">
      <c r="A788" s="85"/>
      <c r="B788" s="104"/>
      <c r="C788" s="3"/>
      <c r="D788" s="78"/>
      <c r="E788" s="22" t="str">
        <f>IF(B788="","",IF(A788=0,"DOT PERDIDA",IF(COUNTIF(ASIGNACIONES!$B$4:$B948,B788)=1,"DOTACION ASIGNADA",IF(C788="VISITAS","DOTACION VISITA",IF(C788="MTTO","DOTACION MTTO",IF(C788="PLANTA EMERGENCIA","DOTACION RES DE EMERGENCIA",IF(C788="EXTERNOS","DOTACION DE EXTERNO","DOTACION DISPONIBLE")))))))</f>
        <v/>
      </c>
    </row>
    <row r="789" spans="1:5" ht="18">
      <c r="A789" s="85"/>
      <c r="B789" s="104"/>
      <c r="C789" s="3"/>
      <c r="D789" s="78"/>
      <c r="E789" s="22" t="str">
        <f>IF(B789="","",IF(A789=0,"DOT PERDIDA",IF(COUNTIF(ASIGNACIONES!$B$4:$B948,B789)=1,"DOTACION ASIGNADA",IF(C789="VISITAS","DOTACION VISITA",IF(C789="MTTO","DOTACION MTTO",IF(C789="PLANTA EMERGENCIA","DOTACION RES DE EMERGENCIA",IF(C789="EXTERNOS","DOTACION DE EXTERNO","DOTACION DISPONIBLE")))))))</f>
        <v/>
      </c>
    </row>
    <row r="790" spans="1:5" ht="18">
      <c r="A790" s="85"/>
      <c r="B790" s="104"/>
      <c r="C790" s="3"/>
      <c r="D790" s="78"/>
      <c r="E790" s="22" t="str">
        <f>IF(B790="","",IF(A790=0,"DOT PERDIDA",IF(COUNTIF(ASIGNACIONES!$B$4:$B948,B790)=1,"DOTACION ASIGNADA",IF(C790="VISITAS","DOTACION VISITA",IF(C790="MTTO","DOTACION MTTO",IF(C790="PLANTA EMERGENCIA","DOTACION RES DE EMERGENCIA",IF(C790="EXTERNOS","DOTACION DE EXTERNO","DOTACION DISPONIBLE")))))))</f>
        <v/>
      </c>
    </row>
    <row r="791" spans="1:5" ht="18">
      <c r="A791" s="85"/>
      <c r="B791" s="104"/>
      <c r="C791" s="3"/>
      <c r="D791" s="78"/>
      <c r="E791" s="22" t="str">
        <f>IF(B791="","",IF(A791=0,"DOT PERDIDA",IF(COUNTIF(ASIGNACIONES!$B$4:$B948,B791)=1,"DOTACION ASIGNADA",IF(C791="VISITAS","DOTACION VISITA",IF(C791="MTTO","DOTACION MTTO",IF(C791="PLANTA EMERGENCIA","DOTACION RES DE EMERGENCIA",IF(C791="EXTERNOS","DOTACION DE EXTERNO","DOTACION DISPONIBLE")))))))</f>
        <v/>
      </c>
    </row>
    <row r="792" spans="1:5" ht="18">
      <c r="A792" s="85"/>
      <c r="B792" s="104"/>
      <c r="C792" s="3"/>
      <c r="D792" s="78"/>
      <c r="E792" s="22" t="str">
        <f>IF(B792="","",IF(A792=0,"DOT PERDIDA",IF(COUNTIF(ASIGNACIONES!$B$4:$B948,B792)=1,"DOTACION ASIGNADA",IF(C792="VISITAS","DOTACION VISITA",IF(C792="MTTO","DOTACION MTTO",IF(C792="PLANTA EMERGENCIA","DOTACION RES DE EMERGENCIA",IF(C792="EXTERNOS","DOTACION DE EXTERNO","DOTACION DISPONIBLE")))))))</f>
        <v/>
      </c>
    </row>
    <row r="793" spans="1:5" ht="18">
      <c r="A793" s="85"/>
      <c r="B793" s="104"/>
      <c r="C793" s="3"/>
      <c r="D793" s="78"/>
      <c r="E793" s="22" t="str">
        <f>IF(B793="","",IF(A793=0,"DOT PERDIDA",IF(COUNTIF(ASIGNACIONES!$B$4:$B948,B793)=1,"DOTACION ASIGNADA",IF(C793="VISITAS","DOTACION VISITA",IF(C793="MTTO","DOTACION MTTO",IF(C793="PLANTA EMERGENCIA","DOTACION RES DE EMERGENCIA",IF(C793="EXTERNOS","DOTACION DE EXTERNO","DOTACION DISPONIBLE")))))))</f>
        <v/>
      </c>
    </row>
    <row r="794" spans="1:5" ht="18">
      <c r="A794" s="85"/>
      <c r="B794" s="104"/>
      <c r="C794" s="3"/>
      <c r="D794" s="78"/>
      <c r="E794" s="22" t="str">
        <f>IF(B794="","",IF(A794=0,"DOT PERDIDA",IF(COUNTIF(ASIGNACIONES!$B$4:$B948,B794)=1,"DOTACION ASIGNADA",IF(C794="VISITAS","DOTACION VISITA",IF(C794="MTTO","DOTACION MTTO",IF(C794="PLANTA EMERGENCIA","DOTACION RES DE EMERGENCIA",IF(C794="EXTERNOS","DOTACION DE EXTERNO","DOTACION DISPONIBLE")))))))</f>
        <v/>
      </c>
    </row>
    <row r="795" spans="1:5" ht="18">
      <c r="A795" s="85"/>
      <c r="B795" s="104"/>
      <c r="C795" s="3"/>
      <c r="D795" s="78"/>
      <c r="E795" s="22" t="str">
        <f>IF(B795="","",IF(A795=0,"DOT PERDIDA",IF(COUNTIF(ASIGNACIONES!$B$4:$B948,B795)=1,"DOTACION ASIGNADA",IF(C795="VISITAS","DOTACION VISITA",IF(C795="MTTO","DOTACION MTTO",IF(C795="PLANTA EMERGENCIA","DOTACION RES DE EMERGENCIA",IF(C795="EXTERNOS","DOTACION DE EXTERNO","DOTACION DISPONIBLE")))))))</f>
        <v/>
      </c>
    </row>
    <row r="796" spans="1:5" ht="18">
      <c r="A796" s="85"/>
      <c r="B796" s="104"/>
      <c r="C796" s="3"/>
      <c r="D796" s="78"/>
      <c r="E796" s="22" t="str">
        <f>IF(B796="","",IF(A796=0,"DOT PERDIDA",IF(COUNTIF(ASIGNACIONES!$B$4:$B948,B796)=1,"DOTACION ASIGNADA",IF(C796="VISITAS","DOTACION VISITA",IF(C796="MTTO","DOTACION MTTO",IF(C796="PLANTA EMERGENCIA","DOTACION RES DE EMERGENCIA",IF(C796="EXTERNOS","DOTACION DE EXTERNO","DOTACION DISPONIBLE")))))))</f>
        <v/>
      </c>
    </row>
    <row r="797" spans="1:5" ht="18">
      <c r="A797" s="85"/>
      <c r="B797" s="104"/>
      <c r="C797" s="3"/>
      <c r="D797" s="78"/>
      <c r="E797" s="22" t="str">
        <f>IF(B797="","",IF(A797=0,"DOT PERDIDA",IF(COUNTIF(ASIGNACIONES!$B$4:$B948,B797)=1,"DOTACION ASIGNADA",IF(C797="VISITAS","DOTACION VISITA",IF(C797="MTTO","DOTACION MTTO",IF(C797="PLANTA EMERGENCIA","DOTACION RES DE EMERGENCIA",IF(C797="EXTERNOS","DOTACION DE EXTERNO","DOTACION DISPONIBLE")))))))</f>
        <v/>
      </c>
    </row>
    <row r="798" spans="1:5" ht="18">
      <c r="A798" s="85"/>
      <c r="B798" s="104"/>
      <c r="C798" s="3"/>
      <c r="D798" s="78"/>
      <c r="E798" s="22" t="str">
        <f>IF(B798="","",IF(A798=0,"DOT PERDIDA",IF(COUNTIF(ASIGNACIONES!$B$4:$B948,B798)=1,"DOTACION ASIGNADA",IF(C798="VISITAS","DOTACION VISITA",IF(C798="MTTO","DOTACION MTTO",IF(C798="PLANTA EMERGENCIA","DOTACION RES DE EMERGENCIA",IF(C798="EXTERNOS","DOTACION DE EXTERNO","DOTACION DISPONIBLE")))))))</f>
        <v/>
      </c>
    </row>
    <row r="799" spans="1:5" ht="18">
      <c r="A799" s="85"/>
      <c r="B799" s="104"/>
      <c r="C799" s="3"/>
      <c r="D799" s="78"/>
      <c r="E799" s="22" t="str">
        <f>IF(B799="","",IF(A799=0,"DOT PERDIDA",IF(COUNTIF(ASIGNACIONES!$B$4:$B948,B799)=1,"DOTACION ASIGNADA",IF(C799="VISITAS","DOTACION VISITA",IF(C799="MTTO","DOTACION MTTO",IF(C799="PLANTA EMERGENCIA","DOTACION RES DE EMERGENCIA",IF(C799="EXTERNOS","DOTACION DE EXTERNO","DOTACION DISPONIBLE")))))))</f>
        <v/>
      </c>
    </row>
    <row r="800" spans="1:5" ht="18">
      <c r="A800" s="85"/>
      <c r="B800" s="104"/>
      <c r="C800" s="3"/>
      <c r="D800" s="78"/>
      <c r="E800" s="22" t="str">
        <f>IF(B800="","",IF(A800=0,"DOT PERDIDA",IF(COUNTIF(ASIGNACIONES!$B$4:$B948,B800)=1,"DOTACION ASIGNADA",IF(C800="VISITAS","DOTACION VISITA",IF(C800="MTTO","DOTACION MTTO",IF(C800="PLANTA EMERGENCIA","DOTACION RES DE EMERGENCIA",IF(C800="EXTERNOS","DOTACION DE EXTERNO","DOTACION DISPONIBLE")))))))</f>
        <v/>
      </c>
    </row>
    <row r="801" spans="1:5" ht="18">
      <c r="A801" s="85"/>
      <c r="B801" s="104"/>
      <c r="C801" s="3"/>
      <c r="D801" s="78"/>
      <c r="E801" s="22" t="str">
        <f>IF(B801="","",IF(A801=0,"DOT PERDIDA",IF(COUNTIF(ASIGNACIONES!$B$4:$B948,B801)=1,"DOTACION ASIGNADA",IF(C801="VISITAS","DOTACION VISITA",IF(C801="MTTO","DOTACION MTTO",IF(C801="PLANTA EMERGENCIA","DOTACION RES DE EMERGENCIA",IF(C801="EXTERNOS","DOTACION DE EXTERNO","DOTACION DISPONIBLE")))))))</f>
        <v/>
      </c>
    </row>
    <row r="802" spans="1:5" ht="18">
      <c r="A802" s="85"/>
      <c r="B802" s="104"/>
      <c r="C802" s="3"/>
      <c r="D802" s="78"/>
      <c r="E802" s="22" t="str">
        <f>IF(B802="","",IF(A802=0,"DOT PERDIDA",IF(COUNTIF(ASIGNACIONES!$B$4:$B948,B802)=1,"DOTACION ASIGNADA",IF(C802="VISITAS","DOTACION VISITA",IF(C802="MTTO","DOTACION MTTO",IF(C802="PLANTA EMERGENCIA","DOTACION RES DE EMERGENCIA",IF(C802="EXTERNOS","DOTACION DE EXTERNO","DOTACION DISPONIBLE")))))))</f>
        <v/>
      </c>
    </row>
    <row r="803" spans="1:5" ht="18">
      <c r="A803" s="85"/>
      <c r="B803" s="104"/>
      <c r="C803" s="3"/>
      <c r="D803" s="78"/>
      <c r="E803" s="22" t="str">
        <f>IF(B803="","",IF(A803=0,"DOT PERDIDA",IF(COUNTIF(ASIGNACIONES!$B$4:$B948,B803)=1,"DOTACION ASIGNADA",IF(C803="VISITAS","DOTACION VISITA",IF(C803="MTTO","DOTACION MTTO",IF(C803="PLANTA EMERGENCIA","DOTACION RES DE EMERGENCIA",IF(C803="EXTERNOS","DOTACION DE EXTERNO","DOTACION DISPONIBLE")))))))</f>
        <v/>
      </c>
    </row>
    <row r="804" spans="1:5" ht="18">
      <c r="A804" s="85"/>
      <c r="B804" s="104"/>
      <c r="C804" s="3"/>
      <c r="D804" s="78"/>
      <c r="E804" s="22" t="str">
        <f>IF(B804="","",IF(A804=0,"DOT PERDIDA",IF(COUNTIF(ASIGNACIONES!$B$4:$B948,B804)=1,"DOTACION ASIGNADA",IF(C804="VISITAS","DOTACION VISITA",IF(C804="MTTO","DOTACION MTTO",IF(C804="PLANTA EMERGENCIA","DOTACION RES DE EMERGENCIA",IF(C804="EXTERNOS","DOTACION DE EXTERNO","DOTACION DISPONIBLE")))))))</f>
        <v/>
      </c>
    </row>
    <row r="805" spans="1:5" ht="18">
      <c r="A805" s="85"/>
      <c r="B805" s="104"/>
      <c r="C805" s="3"/>
      <c r="D805" s="78"/>
      <c r="E805" s="22" t="str">
        <f>IF(B805="","",IF(A805=0,"DOT PERDIDA",IF(COUNTIF(ASIGNACIONES!$B$4:$B948,B805)=1,"DOTACION ASIGNADA",IF(C805="VISITAS","DOTACION VISITA",IF(C805="MTTO","DOTACION MTTO",IF(C805="PLANTA EMERGENCIA","DOTACION RES DE EMERGENCIA",IF(C805="EXTERNOS","DOTACION DE EXTERNO","DOTACION DISPONIBLE")))))))</f>
        <v/>
      </c>
    </row>
    <row r="806" spans="1:5" ht="18">
      <c r="A806" s="85"/>
      <c r="B806" s="104"/>
      <c r="C806" s="3"/>
      <c r="D806" s="78"/>
      <c r="E806" s="22" t="str">
        <f>IF(B806="","",IF(A806=0,"DOT PERDIDA",IF(COUNTIF(ASIGNACIONES!$B$4:$B948,B806)=1,"DOTACION ASIGNADA",IF(C806="VISITAS","DOTACION VISITA",IF(C806="MTTO","DOTACION MTTO",IF(C806="PLANTA EMERGENCIA","DOTACION RES DE EMERGENCIA",IF(C806="EXTERNOS","DOTACION DE EXTERNO","DOTACION DISPONIBLE")))))))</f>
        <v/>
      </c>
    </row>
    <row r="807" spans="1:5" ht="18">
      <c r="A807" s="85"/>
      <c r="B807" s="104"/>
      <c r="C807" s="3"/>
      <c r="D807" s="78"/>
      <c r="E807" s="22" t="str">
        <f>IF(B807="","",IF(A807=0,"DOT PERDIDA",IF(COUNTIF(ASIGNACIONES!$B$4:$B948,B807)=1,"DOTACION ASIGNADA",IF(C807="VISITAS","DOTACION VISITA",IF(C807="MTTO","DOTACION MTTO",IF(C807="PLANTA EMERGENCIA","DOTACION RES DE EMERGENCIA",IF(C807="EXTERNOS","DOTACION DE EXTERNO","DOTACION DISPONIBLE")))))))</f>
        <v/>
      </c>
    </row>
    <row r="808" spans="1:5" ht="18">
      <c r="A808" s="85"/>
      <c r="B808" s="104"/>
      <c r="C808" s="3"/>
      <c r="D808" s="78"/>
      <c r="E808" s="22" t="str">
        <f>IF(B808="","",IF(A808=0,"DOT PERDIDA",IF(COUNTIF(ASIGNACIONES!$B$4:$B948,B808)=1,"DOTACION ASIGNADA",IF(C808="VISITAS","DOTACION VISITA",IF(C808="MTTO","DOTACION MTTO",IF(C808="PLANTA EMERGENCIA","DOTACION RES DE EMERGENCIA",IF(C808="EXTERNOS","DOTACION DE EXTERNO","DOTACION DISPONIBLE")))))))</f>
        <v/>
      </c>
    </row>
    <row r="809" spans="1:5" ht="18">
      <c r="A809" s="85"/>
      <c r="B809" s="104"/>
      <c r="C809" s="3"/>
      <c r="D809" s="78"/>
      <c r="E809" s="22" t="str">
        <f>IF(B809="","",IF(A809=0,"DOT PERDIDA",IF(COUNTIF(ASIGNACIONES!$B$4:$B948,B809)=1,"DOTACION ASIGNADA",IF(C809="VISITAS","DOTACION VISITA",IF(C809="MTTO","DOTACION MTTO",IF(C809="PLANTA EMERGENCIA","DOTACION RES DE EMERGENCIA",IF(C809="EXTERNOS","DOTACION DE EXTERNO","DOTACION DISPONIBLE")))))))</f>
        <v/>
      </c>
    </row>
    <row r="810" spans="1:5" ht="18">
      <c r="A810" s="85"/>
      <c r="B810" s="104"/>
      <c r="C810" s="3"/>
      <c r="D810" s="78"/>
      <c r="E810" s="22" t="str">
        <f>IF(B810="","",IF(A810=0,"DOT PERDIDA",IF(COUNTIF(ASIGNACIONES!$B$4:$B948,B810)=1,"DOTACION ASIGNADA",IF(C810="VISITAS","DOTACION VISITA",IF(C810="MTTO","DOTACION MTTO",IF(C810="PLANTA EMERGENCIA","DOTACION RES DE EMERGENCIA",IF(C810="EXTERNOS","DOTACION DE EXTERNO","DOTACION DISPONIBLE")))))))</f>
        <v/>
      </c>
    </row>
    <row r="811" spans="1:5" ht="18">
      <c r="A811" s="85"/>
      <c r="B811" s="104"/>
      <c r="C811" s="3"/>
      <c r="D811" s="78"/>
      <c r="E811" s="22" t="str">
        <f>IF(B811="","",IF(A811=0,"DOT PERDIDA",IF(COUNTIF(ASIGNACIONES!$B$4:$B948,B811)=1,"DOTACION ASIGNADA",IF(C811="VISITAS","DOTACION VISITA",IF(C811="MTTO","DOTACION MTTO",IF(C811="PLANTA EMERGENCIA","DOTACION RES DE EMERGENCIA",IF(C811="EXTERNOS","DOTACION DE EXTERNO","DOTACION DISPONIBLE")))))))</f>
        <v/>
      </c>
    </row>
    <row r="812" spans="1:5" ht="18">
      <c r="A812" s="85"/>
      <c r="B812" s="104"/>
      <c r="C812" s="3"/>
      <c r="D812" s="78"/>
      <c r="E812" s="22" t="str">
        <f>IF(B812="","",IF(A812=0,"DOT PERDIDA",IF(COUNTIF(ASIGNACIONES!$B$4:$B948,B812)=1,"DOTACION ASIGNADA",IF(C812="VISITAS","DOTACION VISITA",IF(C812="MTTO","DOTACION MTTO",IF(C812="PLANTA EMERGENCIA","DOTACION RES DE EMERGENCIA",IF(C812="EXTERNOS","DOTACION DE EXTERNO","DOTACION DISPONIBLE")))))))</f>
        <v/>
      </c>
    </row>
    <row r="813" spans="1:5" ht="18">
      <c r="A813" s="85"/>
      <c r="B813" s="104"/>
      <c r="C813" s="3"/>
      <c r="D813" s="78"/>
      <c r="E813" s="22" t="str">
        <f>IF(B813="","",IF(A813=0,"DOT PERDIDA",IF(COUNTIF(ASIGNACIONES!$B$4:$B948,B813)=1,"DOTACION ASIGNADA",IF(C813="VISITAS","DOTACION VISITA",IF(C813="MTTO","DOTACION MTTO",IF(C813="PLANTA EMERGENCIA","DOTACION RES DE EMERGENCIA",IF(C813="EXTERNOS","DOTACION DE EXTERNO","DOTACION DISPONIBLE")))))))</f>
        <v/>
      </c>
    </row>
    <row r="814" spans="1:5" ht="18">
      <c r="A814" s="85"/>
      <c r="B814" s="104"/>
      <c r="C814" s="3"/>
      <c r="D814" s="78"/>
      <c r="E814" s="22" t="str">
        <f>IF(B814="","",IF(A814=0,"DOT PERDIDA",IF(COUNTIF(ASIGNACIONES!$B$4:$B948,B814)=1,"DOTACION ASIGNADA",IF(C814="VISITAS","DOTACION VISITA",IF(C814="MTTO","DOTACION MTTO",IF(C814="PLANTA EMERGENCIA","DOTACION RES DE EMERGENCIA",IF(C814="EXTERNOS","DOTACION DE EXTERNO","DOTACION DISPONIBLE")))))))</f>
        <v/>
      </c>
    </row>
    <row r="815" spans="1:5" ht="18">
      <c r="A815" s="85"/>
      <c r="B815" s="104"/>
      <c r="C815" s="3"/>
      <c r="D815" s="78"/>
      <c r="E815" s="22" t="str">
        <f>IF(B815="","",IF(A815=0,"DOT PERDIDA",IF(COUNTIF(ASIGNACIONES!$B$4:$B948,B815)=1,"DOTACION ASIGNADA",IF(C815="VISITAS","DOTACION VISITA",IF(C815="MTTO","DOTACION MTTO",IF(C815="PLANTA EMERGENCIA","DOTACION RES DE EMERGENCIA",IF(C815="EXTERNOS","DOTACION DE EXTERNO","DOTACION DISPONIBLE")))))))</f>
        <v/>
      </c>
    </row>
    <row r="816" spans="1:5" ht="18">
      <c r="A816" s="85"/>
      <c r="B816" s="104"/>
      <c r="C816" s="3"/>
      <c r="D816" s="78"/>
      <c r="E816" s="22" t="str">
        <f>IF(B816="","",IF(A816=0,"DOT PERDIDA",IF(COUNTIF(ASIGNACIONES!$B$4:$B948,B816)=1,"DOTACION ASIGNADA",IF(C816="VISITAS","DOTACION VISITA",IF(C816="MTTO","DOTACION MTTO",IF(C816="PLANTA EMERGENCIA","DOTACION RES DE EMERGENCIA",IF(C816="EXTERNOS","DOTACION DE EXTERNO","DOTACION DISPONIBLE")))))))</f>
        <v/>
      </c>
    </row>
    <row r="817" spans="1:5" ht="18">
      <c r="A817" s="85"/>
      <c r="B817" s="104"/>
      <c r="C817" s="3"/>
      <c r="D817" s="78"/>
      <c r="E817" s="22" t="str">
        <f>IF(B817="","",IF(A817=0,"DOT PERDIDA",IF(COUNTIF(ASIGNACIONES!$B$4:$B948,B817)=1,"DOTACION ASIGNADA",IF(C817="VISITAS","DOTACION VISITA",IF(C817="MTTO","DOTACION MTTO",IF(C817="PLANTA EMERGENCIA","DOTACION RES DE EMERGENCIA",IF(C817="EXTERNOS","DOTACION DE EXTERNO","DOTACION DISPONIBLE")))))))</f>
        <v/>
      </c>
    </row>
    <row r="818" spans="1:5" ht="18">
      <c r="A818" s="85"/>
      <c r="B818" s="104"/>
      <c r="C818" s="3"/>
      <c r="D818" s="78"/>
      <c r="E818" s="22" t="str">
        <f>IF(B818="","",IF(A818=0,"DOT PERDIDA",IF(COUNTIF(ASIGNACIONES!$B$4:$B948,B818)=1,"DOTACION ASIGNADA",IF(C818="VISITAS","DOTACION VISITA",IF(C818="MTTO","DOTACION MTTO",IF(C818="PLANTA EMERGENCIA","DOTACION RES DE EMERGENCIA",IF(C818="EXTERNOS","DOTACION DE EXTERNO","DOTACION DISPONIBLE")))))))</f>
        <v/>
      </c>
    </row>
    <row r="819" spans="1:5" ht="18">
      <c r="A819" s="85"/>
      <c r="B819" s="104"/>
      <c r="C819" s="3"/>
      <c r="D819" s="78"/>
      <c r="E819" s="22" t="str">
        <f>IF(B819="","",IF(A819=0,"DOT PERDIDA",IF(COUNTIF(ASIGNACIONES!$B$4:$B948,B819)=1,"DOTACION ASIGNADA",IF(C819="VISITAS","DOTACION VISITA",IF(C819="MTTO","DOTACION MTTO",IF(C819="PLANTA EMERGENCIA","DOTACION RES DE EMERGENCIA",IF(C819="EXTERNOS","DOTACION DE EXTERNO","DOTACION DISPONIBLE")))))))</f>
        <v/>
      </c>
    </row>
    <row r="820" spans="1:5" ht="18">
      <c r="A820" s="85"/>
      <c r="B820" s="104"/>
      <c r="C820" s="3"/>
      <c r="D820" s="78"/>
      <c r="E820" s="22" t="str">
        <f>IF(B820="","",IF(A820=0,"DOT PERDIDA",IF(COUNTIF(ASIGNACIONES!$B$4:$B948,B820)=1,"DOTACION ASIGNADA",IF(C820="VISITAS","DOTACION VISITA",IF(C820="MTTO","DOTACION MTTO",IF(C820="PLANTA EMERGENCIA","DOTACION RES DE EMERGENCIA",IF(C820="EXTERNOS","DOTACION DE EXTERNO","DOTACION DISPONIBLE")))))))</f>
        <v/>
      </c>
    </row>
    <row r="821" spans="1:5" ht="18">
      <c r="A821" s="85"/>
      <c r="B821" s="104"/>
      <c r="C821" s="3"/>
      <c r="D821" s="78"/>
      <c r="E821" s="22" t="str">
        <f>IF(B821="","",IF(A821=0,"DOT PERDIDA",IF(COUNTIF(ASIGNACIONES!$B$4:$B948,B821)=1,"DOTACION ASIGNADA",IF(C821="VISITAS","DOTACION VISITA",IF(C821="MTTO","DOTACION MTTO",IF(C821="PLANTA EMERGENCIA","DOTACION RES DE EMERGENCIA",IF(C821="EXTERNOS","DOTACION DE EXTERNO","DOTACION DISPONIBLE")))))))</f>
        <v/>
      </c>
    </row>
    <row r="822" spans="1:5" ht="18">
      <c r="A822" s="85"/>
      <c r="B822" s="104"/>
      <c r="C822" s="3"/>
      <c r="D822" s="78"/>
      <c r="E822" s="22" t="str">
        <f>IF(B822="","",IF(A822=0,"DOT PERDIDA",IF(COUNTIF(ASIGNACIONES!$B$4:$B948,B822)=1,"DOTACION ASIGNADA",IF(C822="VISITAS","DOTACION VISITA",IF(C822="MTTO","DOTACION MTTO",IF(C822="PLANTA EMERGENCIA","DOTACION RES DE EMERGENCIA",IF(C822="EXTERNOS","DOTACION DE EXTERNO","DOTACION DISPONIBLE")))))))</f>
        <v/>
      </c>
    </row>
    <row r="823" spans="1:5" ht="18">
      <c r="A823" s="85"/>
      <c r="B823" s="104"/>
      <c r="C823" s="3"/>
      <c r="D823" s="78"/>
      <c r="E823" s="22" t="str">
        <f>IF(B823="","",IF(A823=0,"DOT PERDIDA",IF(COUNTIF(ASIGNACIONES!$B$4:$B948,B823)=1,"DOTACION ASIGNADA",IF(C823="VISITAS","DOTACION VISITA",IF(C823="MTTO","DOTACION MTTO",IF(C823="PLANTA EMERGENCIA","DOTACION RES DE EMERGENCIA",IF(C823="EXTERNOS","DOTACION DE EXTERNO","DOTACION DISPONIBLE")))))))</f>
        <v/>
      </c>
    </row>
    <row r="824" spans="1:5" ht="18">
      <c r="A824" s="85"/>
      <c r="B824" s="104"/>
      <c r="C824" s="3"/>
      <c r="D824" s="78"/>
      <c r="E824" s="22" t="str">
        <f>IF(B824="","",IF(A824=0,"DOT PERDIDA",IF(COUNTIF(ASIGNACIONES!$B$4:$B948,B824)=1,"DOTACION ASIGNADA",IF(C824="VISITAS","DOTACION VISITA",IF(C824="MTTO","DOTACION MTTO",IF(C824="PLANTA EMERGENCIA","DOTACION RES DE EMERGENCIA",IF(C824="EXTERNOS","DOTACION DE EXTERNO","DOTACION DISPONIBLE")))))))</f>
        <v/>
      </c>
    </row>
    <row r="825" spans="1:5" ht="18">
      <c r="A825" s="85"/>
      <c r="B825" s="104"/>
      <c r="C825" s="3"/>
      <c r="D825" s="78"/>
      <c r="E825" s="22" t="str">
        <f>IF(B825="","",IF(A825=0,"DOT PERDIDA",IF(COUNTIF(ASIGNACIONES!$B$4:$B948,B825)=1,"DOTACION ASIGNADA",IF(C825="VISITAS","DOTACION VISITA",IF(C825="MTTO","DOTACION MTTO",IF(C825="PLANTA EMERGENCIA","DOTACION RES DE EMERGENCIA",IF(C825="EXTERNOS","DOTACION DE EXTERNO","DOTACION DISPONIBLE")))))))</f>
        <v/>
      </c>
    </row>
    <row r="826" spans="1:5" ht="18">
      <c r="A826" s="85"/>
      <c r="B826" s="104"/>
      <c r="C826" s="3"/>
      <c r="D826" s="78"/>
      <c r="E826" s="22" t="str">
        <f>IF(B826="","",IF(A826=0,"DOT PERDIDA",IF(COUNTIF(ASIGNACIONES!$B$4:$B948,B826)=1,"DOTACION ASIGNADA",IF(C826="VISITAS","DOTACION VISITA",IF(C826="MTTO","DOTACION MTTO",IF(C826="PLANTA EMERGENCIA","DOTACION RES DE EMERGENCIA",IF(C826="EXTERNOS","DOTACION DE EXTERNO","DOTACION DISPONIBLE")))))))</f>
        <v/>
      </c>
    </row>
    <row r="827" spans="1:5" ht="18">
      <c r="A827" s="85"/>
      <c r="B827" s="104"/>
      <c r="C827" s="3"/>
      <c r="D827" s="78"/>
      <c r="E827" s="22" t="str">
        <f>IF(B827="","",IF(A827=0,"DOT PERDIDA",IF(COUNTIF(ASIGNACIONES!$B$4:$B948,B827)=1,"DOTACION ASIGNADA",IF(C827="VISITAS","DOTACION VISITA",IF(C827="MTTO","DOTACION MTTO",IF(C827="PLANTA EMERGENCIA","DOTACION RES DE EMERGENCIA",IF(C827="EXTERNOS","DOTACION DE EXTERNO","DOTACION DISPONIBLE")))))))</f>
        <v/>
      </c>
    </row>
    <row r="828" spans="1:5" ht="18">
      <c r="A828" s="85"/>
      <c r="B828" s="104"/>
      <c r="C828" s="3"/>
      <c r="D828" s="78"/>
      <c r="E828" s="22" t="str">
        <f>IF(B828="","",IF(A828=0,"DOT PERDIDA",IF(COUNTIF(ASIGNACIONES!$B$4:$B948,B828)=1,"DOTACION ASIGNADA",IF(C828="VISITAS","DOTACION VISITA",IF(C828="MTTO","DOTACION MTTO",IF(C828="PLANTA EMERGENCIA","DOTACION RES DE EMERGENCIA",IF(C828="EXTERNOS","DOTACION DE EXTERNO","DOTACION DISPONIBLE")))))))</f>
        <v/>
      </c>
    </row>
    <row r="829" spans="1:5" ht="18">
      <c r="A829" s="85"/>
      <c r="B829" s="104"/>
      <c r="C829" s="3"/>
      <c r="D829" s="78"/>
      <c r="E829" s="22" t="str">
        <f>IF(B829="","",IF(A829=0,"DOT PERDIDA",IF(COUNTIF(ASIGNACIONES!$B$4:$B948,B829)=1,"DOTACION ASIGNADA",IF(C829="VISITAS","DOTACION VISITA",IF(C829="MTTO","DOTACION MTTO",IF(C829="PLANTA EMERGENCIA","DOTACION RES DE EMERGENCIA",IF(C829="EXTERNOS","DOTACION DE EXTERNO","DOTACION DISPONIBLE")))))))</f>
        <v/>
      </c>
    </row>
    <row r="830" spans="1:5" ht="18">
      <c r="A830" s="85"/>
      <c r="B830" s="104"/>
      <c r="C830" s="3"/>
      <c r="D830" s="78"/>
      <c r="E830" s="22" t="str">
        <f>IF(B830="","",IF(A830=0,"DOT PERDIDA",IF(COUNTIF(ASIGNACIONES!$B$4:$B948,B830)=1,"DOTACION ASIGNADA",IF(C830="VISITAS","DOTACION VISITA",IF(C830="MTTO","DOTACION MTTO",IF(C830="PLANTA EMERGENCIA","DOTACION RES DE EMERGENCIA",IF(C830="EXTERNOS","DOTACION DE EXTERNO","DOTACION DISPONIBLE")))))))</f>
        <v/>
      </c>
    </row>
    <row r="831" spans="1:5" ht="18">
      <c r="A831" s="85"/>
      <c r="B831" s="104"/>
      <c r="C831" s="3"/>
      <c r="D831" s="78"/>
      <c r="E831" s="22" t="str">
        <f>IF(B831="","",IF(A831=0,"DOT PERDIDA",IF(COUNTIF(ASIGNACIONES!$B$4:$B948,B831)=1,"DOTACION ASIGNADA",IF(C831="VISITAS","DOTACION VISITA",IF(C831="MTTO","DOTACION MTTO",IF(C831="PLANTA EMERGENCIA","DOTACION RES DE EMERGENCIA",IF(C831="EXTERNOS","DOTACION DE EXTERNO","DOTACION DISPONIBLE")))))))</f>
        <v/>
      </c>
    </row>
    <row r="832" spans="1:5" ht="18">
      <c r="A832" s="85"/>
      <c r="B832" s="104"/>
      <c r="C832" s="3"/>
      <c r="D832" s="78"/>
      <c r="E832" s="22" t="str">
        <f>IF(B832="","",IF(A832=0,"DOT PERDIDA",IF(COUNTIF(ASIGNACIONES!$B$4:$B948,B832)=1,"DOTACION ASIGNADA",IF(C832="VISITAS","DOTACION VISITA",IF(C832="MTTO","DOTACION MTTO",IF(C832="PLANTA EMERGENCIA","DOTACION RES DE EMERGENCIA",IF(C832="EXTERNOS","DOTACION DE EXTERNO","DOTACION DISPONIBLE")))))))</f>
        <v/>
      </c>
    </row>
    <row r="833" spans="1:5" ht="18">
      <c r="A833" s="85"/>
      <c r="B833" s="104"/>
      <c r="C833" s="3"/>
      <c r="D833" s="78"/>
      <c r="E833" s="22" t="str">
        <f>IF(B833="","",IF(A833=0,"DOT PERDIDA",IF(COUNTIF(ASIGNACIONES!$B$4:$B948,B833)=1,"DOTACION ASIGNADA",IF(C833="VISITAS","DOTACION VISITA",IF(C833="MTTO","DOTACION MTTO",IF(C833="PLANTA EMERGENCIA","DOTACION RES DE EMERGENCIA",IF(C833="EXTERNOS","DOTACION DE EXTERNO","DOTACION DISPONIBLE")))))))</f>
        <v/>
      </c>
    </row>
    <row r="834" spans="1:5" ht="18">
      <c r="A834" s="85"/>
      <c r="B834" s="104"/>
      <c r="C834" s="3"/>
      <c r="D834" s="78"/>
      <c r="E834" s="22" t="str">
        <f>IF(B834="","",IF(A834=0,"DOT PERDIDA",IF(COUNTIF(ASIGNACIONES!$B$4:$B948,B834)=1,"DOTACION ASIGNADA",IF(C834="VISITAS","DOTACION VISITA",IF(C834="MTTO","DOTACION MTTO",IF(C834="PLANTA EMERGENCIA","DOTACION RES DE EMERGENCIA",IF(C834="EXTERNOS","DOTACION DE EXTERNO","DOTACION DISPONIBLE")))))))</f>
        <v/>
      </c>
    </row>
    <row r="835" spans="1:5" ht="18">
      <c r="A835" s="85"/>
      <c r="B835" s="104"/>
      <c r="C835" s="3"/>
      <c r="D835" s="78"/>
      <c r="E835" s="22" t="str">
        <f>IF(B835="","",IF(A835=0,"DOT PERDIDA",IF(COUNTIF(ASIGNACIONES!$B$4:$B948,B835)=1,"DOTACION ASIGNADA",IF(C835="VISITAS","DOTACION VISITA",IF(C835="MTTO","DOTACION MTTO",IF(C835="PLANTA EMERGENCIA","DOTACION RES DE EMERGENCIA",IF(C835="EXTERNOS","DOTACION DE EXTERNO","DOTACION DISPONIBLE")))))))</f>
        <v/>
      </c>
    </row>
    <row r="836" spans="1:5" ht="18">
      <c r="A836" s="85"/>
      <c r="B836" s="104"/>
      <c r="C836" s="3"/>
      <c r="D836" s="78"/>
      <c r="E836" s="22" t="str">
        <f>IF(B836="","",IF(A836=0,"DOT PERDIDA",IF(COUNTIF(ASIGNACIONES!$B$4:$B948,B836)=1,"DOTACION ASIGNADA",IF(C836="VISITAS","DOTACION VISITA",IF(C836="MTTO","DOTACION MTTO",IF(C836="PLANTA EMERGENCIA","DOTACION RES DE EMERGENCIA",IF(C836="EXTERNOS","DOTACION DE EXTERNO","DOTACION DISPONIBLE")))))))</f>
        <v/>
      </c>
    </row>
    <row r="837" spans="1:5" ht="18">
      <c r="A837" s="85"/>
      <c r="B837" s="104"/>
      <c r="C837" s="3"/>
      <c r="D837" s="78"/>
      <c r="E837" s="22" t="str">
        <f>IF(B837="","",IF(A837=0,"DOT PERDIDA",IF(COUNTIF(ASIGNACIONES!$B$4:$B948,B837)=1,"DOTACION ASIGNADA",IF(C837="VISITAS","DOTACION VISITA",IF(C837="MTTO","DOTACION MTTO",IF(C837="PLANTA EMERGENCIA","DOTACION RES DE EMERGENCIA",IF(C837="EXTERNOS","DOTACION DE EXTERNO","DOTACION DISPONIBLE")))))))</f>
        <v/>
      </c>
    </row>
    <row r="838" spans="1:5" ht="18">
      <c r="A838" s="85"/>
      <c r="B838" s="104"/>
      <c r="C838" s="3"/>
      <c r="D838" s="78"/>
      <c r="E838" s="22" t="str">
        <f>IF(B838="","",IF(A838=0,"DOT PERDIDA",IF(COUNTIF(ASIGNACIONES!$B$4:$B948,B838)=1,"DOTACION ASIGNADA",IF(C838="VISITAS","DOTACION VISITA",IF(C838="MTTO","DOTACION MTTO",IF(C838="PLANTA EMERGENCIA","DOTACION RES DE EMERGENCIA",IF(C838="EXTERNOS","DOTACION DE EXTERNO","DOTACION DISPONIBLE")))))))</f>
        <v/>
      </c>
    </row>
    <row r="839" spans="1:5" ht="18">
      <c r="A839" s="85"/>
      <c r="B839" s="104"/>
      <c r="C839" s="3"/>
      <c r="D839" s="78"/>
      <c r="E839" s="22" t="str">
        <f>IF(B839="","",IF(A839=0,"DOT PERDIDA",IF(COUNTIF(ASIGNACIONES!$B$4:$B948,B839)=1,"DOTACION ASIGNADA",IF(C839="VISITAS","DOTACION VISITA",IF(C839="MTTO","DOTACION MTTO",IF(C839="PLANTA EMERGENCIA","DOTACION RES DE EMERGENCIA",IF(C839="EXTERNOS","DOTACION DE EXTERNO","DOTACION DISPONIBLE")))))))</f>
        <v/>
      </c>
    </row>
    <row r="840" spans="1:5" ht="18">
      <c r="A840" s="85"/>
      <c r="B840" s="104"/>
      <c r="C840" s="3"/>
      <c r="D840" s="78"/>
      <c r="E840" s="22" t="str">
        <f>IF(B840="","",IF(A840=0,"DOT PERDIDA",IF(COUNTIF(ASIGNACIONES!$B$4:$B948,B840)=1,"DOTACION ASIGNADA",IF(C840="VISITAS","DOTACION VISITA",IF(C840="MTTO","DOTACION MTTO",IF(C840="PLANTA EMERGENCIA","DOTACION RES DE EMERGENCIA",IF(C840="EXTERNOS","DOTACION DE EXTERNO","DOTACION DISPONIBLE")))))))</f>
        <v/>
      </c>
    </row>
    <row r="841" spans="1:5" ht="18">
      <c r="A841" s="85"/>
      <c r="B841" s="104"/>
      <c r="C841" s="3"/>
      <c r="D841" s="78"/>
      <c r="E841" s="22" t="str">
        <f>IF(B841="","",IF(A841=0,"DOT PERDIDA",IF(COUNTIF(ASIGNACIONES!$B$4:$B948,B841)=1,"DOTACION ASIGNADA",IF(C841="VISITAS","DOTACION VISITA",IF(C841="MTTO","DOTACION MTTO",IF(C841="PLANTA EMERGENCIA","DOTACION RES DE EMERGENCIA",IF(C841="EXTERNOS","DOTACION DE EXTERNO","DOTACION DISPONIBLE")))))))</f>
        <v/>
      </c>
    </row>
    <row r="842" spans="1:5" ht="18">
      <c r="A842" s="85"/>
      <c r="B842" s="104"/>
      <c r="C842" s="3"/>
      <c r="D842" s="78"/>
      <c r="E842" s="22" t="str">
        <f>IF(B842="","",IF(A842=0,"DOT PERDIDA",IF(COUNTIF(ASIGNACIONES!$B$4:$B948,B842)=1,"DOTACION ASIGNADA",IF(C842="VISITAS","DOTACION VISITA",IF(C842="MTTO","DOTACION MTTO",IF(C842="PLANTA EMERGENCIA","DOTACION RES DE EMERGENCIA",IF(C842="EXTERNOS","DOTACION DE EXTERNO","DOTACION DISPONIBLE")))))))</f>
        <v/>
      </c>
    </row>
    <row r="843" spans="1:5" ht="18">
      <c r="A843" s="85"/>
      <c r="B843" s="104"/>
      <c r="C843" s="3"/>
      <c r="D843" s="78"/>
      <c r="E843" s="22" t="str">
        <f>IF(B843="","",IF(A843=0,"DOT PERDIDA",IF(COUNTIF(ASIGNACIONES!$B$4:$B948,B843)=1,"DOTACION ASIGNADA",IF(C843="VISITAS","DOTACION VISITA",IF(C843="MTTO","DOTACION MTTO",IF(C843="PLANTA EMERGENCIA","DOTACION RES DE EMERGENCIA",IF(C843="EXTERNOS","DOTACION DE EXTERNO","DOTACION DISPONIBLE")))))))</f>
        <v/>
      </c>
    </row>
    <row r="844" spans="1:5" ht="18">
      <c r="A844" s="85"/>
      <c r="B844" s="104"/>
      <c r="C844" s="3"/>
      <c r="D844" s="78"/>
      <c r="E844" s="22" t="str">
        <f>IF(B844="","",IF(A844=0,"DOT PERDIDA",IF(COUNTIF(ASIGNACIONES!$B$4:$B948,B844)=1,"DOTACION ASIGNADA",IF(C844="VISITAS","DOTACION VISITA",IF(C844="MTTO","DOTACION MTTO",IF(C844="PLANTA EMERGENCIA","DOTACION RES DE EMERGENCIA",IF(C844="EXTERNOS","DOTACION DE EXTERNO","DOTACION DISPONIBLE")))))))</f>
        <v/>
      </c>
    </row>
    <row r="845" spans="1:5" ht="18">
      <c r="A845" s="85"/>
      <c r="B845" s="104"/>
      <c r="C845" s="3"/>
      <c r="D845" s="78"/>
      <c r="E845" s="22" t="str">
        <f>IF(B845="","",IF(A845=0,"DOT PERDIDA",IF(COUNTIF(ASIGNACIONES!$B$4:$B948,B845)=1,"DOTACION ASIGNADA",IF(C845="VISITAS","DOTACION VISITA",IF(C845="MTTO","DOTACION MTTO",IF(C845="PLANTA EMERGENCIA","DOTACION RES DE EMERGENCIA",IF(C845="EXTERNOS","DOTACION DE EXTERNO","DOTACION DISPONIBLE")))))))</f>
        <v/>
      </c>
    </row>
    <row r="846" spans="1:5" ht="18">
      <c r="A846" s="85"/>
      <c r="B846" s="104"/>
      <c r="C846" s="3"/>
      <c r="D846" s="78"/>
      <c r="E846" s="22" t="str">
        <f>IF(B846="","",IF(A846=0,"DOT PERDIDA",IF(COUNTIF(ASIGNACIONES!$B$4:$B948,B846)=1,"DOTACION ASIGNADA",IF(C846="VISITAS","DOTACION VISITA",IF(C846="MTTO","DOTACION MTTO",IF(C846="PLANTA EMERGENCIA","DOTACION RES DE EMERGENCIA",IF(C846="EXTERNOS","DOTACION DE EXTERNO","DOTACION DISPONIBLE")))))))</f>
        <v/>
      </c>
    </row>
    <row r="847" spans="1:5" ht="18">
      <c r="A847" s="85"/>
      <c r="B847" s="104"/>
      <c r="C847" s="3"/>
      <c r="D847" s="78"/>
      <c r="E847" s="22" t="str">
        <f>IF(B847="","",IF(A847=0,"DOT PERDIDA",IF(COUNTIF(ASIGNACIONES!$B$4:$B948,B847)=1,"DOTACION ASIGNADA",IF(C847="VISITAS","DOTACION VISITA",IF(C847="MTTO","DOTACION MTTO",IF(C847="PLANTA EMERGENCIA","DOTACION RES DE EMERGENCIA",IF(C847="EXTERNOS","DOTACION DE EXTERNO","DOTACION DISPONIBLE")))))))</f>
        <v/>
      </c>
    </row>
    <row r="848" spans="1:5" ht="18">
      <c r="A848" s="85"/>
      <c r="B848" s="104"/>
      <c r="C848" s="3"/>
      <c r="D848" s="78"/>
      <c r="E848" s="22" t="str">
        <f>IF(B848="","",IF(A848=0,"DOT PERDIDA",IF(COUNTIF(ASIGNACIONES!$B$4:$B948,B848)=1,"DOTACION ASIGNADA",IF(C848="VISITAS","DOTACION VISITA",IF(C848="MTTO","DOTACION MTTO",IF(C848="PLANTA EMERGENCIA","DOTACION RES DE EMERGENCIA",IF(C848="EXTERNOS","DOTACION DE EXTERNO","DOTACION DISPONIBLE")))))))</f>
        <v/>
      </c>
    </row>
    <row r="849" spans="1:5" ht="18">
      <c r="A849" s="85"/>
      <c r="B849" s="104"/>
      <c r="C849" s="3"/>
      <c r="D849" s="78"/>
      <c r="E849" s="22" t="str">
        <f>IF(B849="","",IF(A849=0,"DOT PERDIDA",IF(COUNTIF(ASIGNACIONES!$B$4:$B948,B849)=1,"DOTACION ASIGNADA",IF(C849="VISITAS","DOTACION VISITA",IF(C849="MTTO","DOTACION MTTO",IF(C849="PLANTA EMERGENCIA","DOTACION RES DE EMERGENCIA",IF(C849="EXTERNOS","DOTACION DE EXTERNO","DOTACION DISPONIBLE")))))))</f>
        <v/>
      </c>
    </row>
    <row r="850" spans="1:5" ht="18">
      <c r="A850" s="85"/>
      <c r="B850" s="104"/>
      <c r="C850" s="3"/>
      <c r="D850" s="78"/>
      <c r="E850" s="22" t="str">
        <f>IF(B850="","",IF(A850=0,"DOT PERDIDA",IF(COUNTIF(ASIGNACIONES!$B$4:$B948,B850)=1,"DOTACION ASIGNADA",IF(C850="VISITAS","DOTACION VISITA",IF(C850="MTTO","DOTACION MTTO",IF(C850="PLANTA EMERGENCIA","DOTACION RES DE EMERGENCIA",IF(C850="EXTERNOS","DOTACION DE EXTERNO","DOTACION DISPONIBLE")))))))</f>
        <v/>
      </c>
    </row>
    <row r="851" spans="1:5" ht="18">
      <c r="A851" s="85"/>
      <c r="B851" s="104"/>
      <c r="C851" s="3"/>
      <c r="D851" s="78"/>
      <c r="E851" s="22" t="str">
        <f>IF(B851="","",IF(A851=0,"DOT PERDIDA",IF(COUNTIF(ASIGNACIONES!$B$4:$B948,B851)=1,"DOTACION ASIGNADA",IF(C851="VISITAS","DOTACION VISITA",IF(C851="MTTO","DOTACION MTTO",IF(C851="PLANTA EMERGENCIA","DOTACION RES DE EMERGENCIA",IF(C851="EXTERNOS","DOTACION DE EXTERNO","DOTACION DISPONIBLE")))))))</f>
        <v/>
      </c>
    </row>
    <row r="852" spans="1:5" ht="18">
      <c r="A852" s="85"/>
      <c r="B852" s="104"/>
      <c r="C852" s="3"/>
      <c r="D852" s="78"/>
      <c r="E852" s="22" t="str">
        <f>IF(B852="","",IF(A852=0,"DOT PERDIDA",IF(COUNTIF(ASIGNACIONES!$B$4:$B948,B852)=1,"DOTACION ASIGNADA",IF(C852="VISITAS","DOTACION VISITA",IF(C852="MTTO","DOTACION MTTO",IF(C852="PLANTA EMERGENCIA","DOTACION RES DE EMERGENCIA",IF(C852="EXTERNOS","DOTACION DE EXTERNO","DOTACION DISPONIBLE")))))))</f>
        <v/>
      </c>
    </row>
    <row r="853" spans="1:5" ht="18">
      <c r="A853" s="85"/>
      <c r="B853" s="104"/>
      <c r="C853" s="3"/>
      <c r="D853" s="78"/>
      <c r="E853" s="22" t="str">
        <f>IF(B853="","",IF(A853=0,"DOT PERDIDA",IF(COUNTIF(ASIGNACIONES!$B$4:$B948,B853)=1,"DOTACION ASIGNADA",IF(C853="VISITAS","DOTACION VISITA",IF(C853="MTTO","DOTACION MTTO",IF(C853="PLANTA EMERGENCIA","DOTACION RES DE EMERGENCIA",IF(C853="EXTERNOS","DOTACION DE EXTERNO","DOTACION DISPONIBLE")))))))</f>
        <v/>
      </c>
    </row>
    <row r="854" spans="1:5" ht="18">
      <c r="A854" s="85"/>
      <c r="B854" s="104"/>
      <c r="C854" s="3"/>
      <c r="D854" s="78"/>
      <c r="E854" s="22" t="str">
        <f>IF(B854="","",IF(A854=0,"DOT PERDIDA",IF(COUNTIF(ASIGNACIONES!$B$4:$B948,B854)=1,"DOTACION ASIGNADA",IF(C854="VISITAS","DOTACION VISITA",IF(C854="MTTO","DOTACION MTTO",IF(C854="PLANTA EMERGENCIA","DOTACION RES DE EMERGENCIA",IF(C854="EXTERNOS","DOTACION DE EXTERNO","DOTACION DISPONIBLE")))))))</f>
        <v/>
      </c>
    </row>
    <row r="855" spans="1:5" ht="18">
      <c r="A855" s="85"/>
      <c r="B855" s="104"/>
      <c r="C855" s="3"/>
      <c r="D855" s="78"/>
      <c r="E855" s="22" t="str">
        <f>IF(B855="","",IF(A855=0,"DOT PERDIDA",IF(COUNTIF(ASIGNACIONES!$B$4:$B948,B855)=1,"DOTACION ASIGNADA",IF(C855="VISITAS","DOTACION VISITA",IF(C855="MTTO","DOTACION MTTO",IF(C855="PLANTA EMERGENCIA","DOTACION RES DE EMERGENCIA",IF(C855="EXTERNOS","DOTACION DE EXTERNO","DOTACION DISPONIBLE")))))))</f>
        <v/>
      </c>
    </row>
    <row r="856" spans="1:5" ht="18">
      <c r="A856" s="85"/>
      <c r="B856" s="104"/>
      <c r="C856" s="3"/>
      <c r="D856" s="78"/>
      <c r="E856" s="22" t="str">
        <f>IF(B856="","",IF(A856=0,"DOT PERDIDA",IF(COUNTIF(ASIGNACIONES!$B$4:$B948,B856)=1,"DOTACION ASIGNADA",IF(C856="VISITAS","DOTACION VISITA",IF(C856="MTTO","DOTACION MTTO",IF(C856="PLANTA EMERGENCIA","DOTACION RES DE EMERGENCIA",IF(C856="EXTERNOS","DOTACION DE EXTERNO","DOTACION DISPONIBLE")))))))</f>
        <v/>
      </c>
    </row>
    <row r="857" spans="1:5" ht="18">
      <c r="A857" s="85"/>
      <c r="B857" s="104"/>
      <c r="C857" s="3"/>
      <c r="D857" s="78"/>
      <c r="E857" s="22" t="str">
        <f>IF(B857="","",IF(A857=0,"DOT PERDIDA",IF(COUNTIF(ASIGNACIONES!$B$4:$B948,B857)=1,"DOTACION ASIGNADA",IF(C857="VISITAS","DOTACION VISITA",IF(C857="MTTO","DOTACION MTTO",IF(C857="PLANTA EMERGENCIA","DOTACION RES DE EMERGENCIA",IF(C857="EXTERNOS","DOTACION DE EXTERNO","DOTACION DISPONIBLE")))))))</f>
        <v/>
      </c>
    </row>
    <row r="858" spans="1:5" ht="18">
      <c r="A858" s="85"/>
      <c r="B858" s="104"/>
      <c r="C858" s="3"/>
      <c r="D858" s="78"/>
      <c r="E858" s="22" t="str">
        <f>IF(B858="","",IF(A858=0,"DOT PERDIDA",IF(COUNTIF(ASIGNACIONES!$B$4:$B948,B858)=1,"DOTACION ASIGNADA",IF(C858="VISITAS","DOTACION VISITA",IF(C858="MTTO","DOTACION MTTO",IF(C858="PLANTA EMERGENCIA","DOTACION RES DE EMERGENCIA",IF(C858="EXTERNOS","DOTACION DE EXTERNO","DOTACION DISPONIBLE")))))))</f>
        <v/>
      </c>
    </row>
    <row r="859" spans="1:5" ht="18">
      <c r="A859" s="85"/>
      <c r="B859" s="104"/>
      <c r="C859" s="3"/>
      <c r="D859" s="78"/>
      <c r="E859" s="22" t="str">
        <f>IF(B859="","",IF(A859=0,"DOT PERDIDA",IF(COUNTIF(ASIGNACIONES!$B$4:$B948,B859)=1,"DOTACION ASIGNADA",IF(C859="VISITAS","DOTACION VISITA",IF(C859="MTTO","DOTACION MTTO",IF(C859="PLANTA EMERGENCIA","DOTACION RES DE EMERGENCIA",IF(C859="EXTERNOS","DOTACION DE EXTERNO","DOTACION DISPONIBLE")))))))</f>
        <v/>
      </c>
    </row>
    <row r="860" spans="1:5" ht="18">
      <c r="A860" s="85"/>
      <c r="B860" s="104"/>
      <c r="C860" s="3"/>
      <c r="D860" s="78"/>
      <c r="E860" s="22" t="str">
        <f>IF(B860="","",IF(A860=0,"DOT PERDIDA",IF(COUNTIF(ASIGNACIONES!$B$4:$B948,B860)=1,"DOTACION ASIGNADA",IF(C860="VISITAS","DOTACION VISITA",IF(C860="MTTO","DOTACION MTTO",IF(C860="PLANTA EMERGENCIA","DOTACION RES DE EMERGENCIA",IF(C860="EXTERNOS","DOTACION DE EXTERNO","DOTACION DISPONIBLE")))))))</f>
        <v/>
      </c>
    </row>
    <row r="861" spans="1:5" ht="18">
      <c r="A861" s="85"/>
      <c r="B861" s="104"/>
      <c r="C861" s="3"/>
      <c r="D861" s="78"/>
      <c r="E861" s="22" t="str">
        <f>IF(B861="","",IF(A861=0,"DOT PERDIDA",IF(COUNTIF(ASIGNACIONES!$B$4:$B948,B861)=1,"DOTACION ASIGNADA",IF(C861="VISITAS","DOTACION VISITA",IF(C861="MTTO","DOTACION MTTO",IF(C861="PLANTA EMERGENCIA","DOTACION RES DE EMERGENCIA",IF(C861="EXTERNOS","DOTACION DE EXTERNO","DOTACION DISPONIBLE")))))))</f>
        <v/>
      </c>
    </row>
    <row r="862" spans="1:5" ht="18">
      <c r="A862" s="85"/>
      <c r="B862" s="104"/>
      <c r="C862" s="3"/>
      <c r="D862" s="78"/>
      <c r="E862" s="22" t="str">
        <f>IF(B862="","",IF(A862=0,"DOT PERDIDA",IF(COUNTIF(ASIGNACIONES!$B$4:$B948,B862)=1,"DOTACION ASIGNADA",IF(C862="VISITAS","DOTACION VISITA",IF(C862="MTTO","DOTACION MTTO",IF(C862="PLANTA EMERGENCIA","DOTACION RES DE EMERGENCIA",IF(C862="EXTERNOS","DOTACION DE EXTERNO","DOTACION DISPONIBLE")))))))</f>
        <v/>
      </c>
    </row>
    <row r="863" spans="1:5" ht="18">
      <c r="A863" s="85"/>
      <c r="B863" s="104"/>
      <c r="C863" s="3"/>
      <c r="D863" s="78"/>
      <c r="E863" s="22" t="str">
        <f>IF(B863="","",IF(A863=0,"DOT PERDIDA",IF(COUNTIF(ASIGNACIONES!$B$4:$B948,B863)=1,"DOTACION ASIGNADA",IF(C863="VISITAS","DOTACION VISITA",IF(C863="MTTO","DOTACION MTTO",IF(C863="PLANTA EMERGENCIA","DOTACION RES DE EMERGENCIA",IF(C863="EXTERNOS","DOTACION DE EXTERNO","DOTACION DISPONIBLE")))))))</f>
        <v/>
      </c>
    </row>
    <row r="864" spans="1:5" ht="18">
      <c r="A864" s="85"/>
      <c r="B864" s="104"/>
      <c r="C864" s="3"/>
      <c r="D864" s="78"/>
      <c r="E864" s="22" t="str">
        <f>IF(B864="","",IF(A864=0,"DOT PERDIDA",IF(COUNTIF(ASIGNACIONES!$B$4:$B948,B864)=1,"DOTACION ASIGNADA",IF(C864="VISITAS","DOTACION VISITA",IF(C864="MTTO","DOTACION MTTO",IF(C864="PLANTA EMERGENCIA","DOTACION RES DE EMERGENCIA",IF(C864="EXTERNOS","DOTACION DE EXTERNO","DOTACION DISPONIBLE")))))))</f>
        <v/>
      </c>
    </row>
    <row r="865" spans="1:5" ht="18">
      <c r="A865" s="85"/>
      <c r="B865" s="104"/>
      <c r="C865" s="3"/>
      <c r="D865" s="78"/>
      <c r="E865" s="22" t="str">
        <f>IF(B865="","",IF(A865=0,"DOT PERDIDA",IF(COUNTIF(ASIGNACIONES!$B$4:$B948,B865)=1,"DOTACION ASIGNADA",IF(C865="VISITAS","DOTACION VISITA",IF(C865="MTTO","DOTACION MTTO",IF(C865="PLANTA EMERGENCIA","DOTACION RES DE EMERGENCIA",IF(C865="EXTERNOS","DOTACION DE EXTERNO","DOTACION DISPONIBLE")))))))</f>
        <v/>
      </c>
    </row>
    <row r="866" spans="1:5" ht="18">
      <c r="A866" s="85"/>
      <c r="B866" s="104"/>
      <c r="C866" s="3"/>
      <c r="D866" s="78"/>
      <c r="E866" s="22" t="str">
        <f>IF(B866="","",IF(A866=0,"DOT PERDIDA",IF(COUNTIF(ASIGNACIONES!$B$4:$B948,B866)=1,"DOTACION ASIGNADA",IF(C866="VISITAS","DOTACION VISITA",IF(C866="MTTO","DOTACION MTTO",IF(C866="Dotación EMERGENCIA","DOTACION RES DE EMERGENCIA",IF(C866="EXTERNOS","DOTACION DE EXTERNO","DOTACION DISPONIBLE")))))))</f>
        <v/>
      </c>
    </row>
    <row r="867" spans="1:5" ht="18">
      <c r="A867" s="85"/>
      <c r="B867" s="104"/>
      <c r="C867" s="3"/>
      <c r="D867" s="78"/>
      <c r="E867" s="22" t="str">
        <f>IF(B867="","",IF(A867=0,"DOT PERDIDA",IF(COUNTIF(ASIGNACIONES!$B$4:$B948,B867)=1,"DOTACION ASIGNADA",IF(C867="VISITAS","DOTACION VISITA",IF(C867="MTTO","DOTACION MTTO",IF(C867="Dotación EMERGENCIA","DOTACION RES DE EMERGENCIA",IF(C867="EXTERNOS","DOTACION DE EXTERNO","DOTACION DISPONIBLE")))))))</f>
        <v/>
      </c>
    </row>
    <row r="868" spans="1:5" ht="18">
      <c r="A868" s="85"/>
      <c r="B868" s="104"/>
      <c r="C868" s="3"/>
      <c r="D868" s="78"/>
      <c r="E868" s="22" t="str">
        <f>IF(B868="","",IF(A868=0,"DOT PERDIDA",IF(COUNTIF(ASIGNACIONES!$B$4:$B948,B868)=1,"DOTACION ASIGNADA",IF(C868="VISITAS","DOTACION VISITA",IF(C868="MTTO","DOTACION MTTO",IF(C868="Dotación EMERGENCIA","DOTACION RES DE EMERGENCIA",IF(C868="EXTERNOS","DOTACION DE EXTERNO","DOTACION DISPONIBLE")))))))</f>
        <v/>
      </c>
    </row>
    <row r="869" spans="1:5" ht="18">
      <c r="A869" s="85"/>
      <c r="B869" s="104"/>
      <c r="C869" s="3"/>
      <c r="D869" s="78"/>
      <c r="E869" s="22" t="str">
        <f>IF(B869="","",IF(A869=0,"DOT PERDIDA",IF(COUNTIF(ASIGNACIONES!$B$4:$B948,B869)=1,"DOTACION ASIGNADA",IF(C869="VISITAS","DOTACION VISITA",IF(C869="MTTO","DOTACION MTTO",IF(C869="Dotación EMERGENCIA","DOTACION RES DE EMERGENCIA",IF(C869="EXTERNOS","DOTACION DE EXTERNO","DOTACION DISPONIBLE")))))))</f>
        <v/>
      </c>
    </row>
    <row r="870" spans="1:5" ht="18">
      <c r="A870" s="85"/>
      <c r="B870" s="104"/>
      <c r="C870" s="3"/>
      <c r="D870" s="78"/>
      <c r="E870" s="22" t="str">
        <f>IF(B870="","",IF(A870=0,"DOT PERDIDA",IF(COUNTIF(ASIGNACIONES!$B$4:$B948,B870)=1,"DOTACION ASIGNADA",IF(C870="VISITAS","DOTACION VISITA",IF(C870="MTTO","DOTACION MTTO",IF(C870="Dotación EMERGENCIA","DOTACION RES DE EMERGENCIA",IF(C870="EXTERNOS","DOTACION DE EXTERNO","DOTACION DISPONIBLE")))))))</f>
        <v/>
      </c>
    </row>
    <row r="871" spans="1:5" ht="18">
      <c r="A871" s="85"/>
      <c r="B871" s="104"/>
      <c r="C871" s="3"/>
      <c r="D871" s="78"/>
      <c r="E871" s="22" t="str">
        <f>IF(B871="","",IF(A871=0,"DOT PERDIDA",IF(COUNTIF(ASIGNACIONES!$B$4:$B948,B871)=1,"DOTACION ASIGNADA",IF(C871="VISITAS","DOTACION VISITA",IF(C871="MTTO","DOTACION MTTO",IF(C871="Dotación EMERGENCIA","DOTACION RES DE EMERGENCIA",IF(C871="EXTERNOS","DOTACION DE EXTERNO","DOTACION DISPONIBLE")))))))</f>
        <v/>
      </c>
    </row>
    <row r="872" spans="1:5" ht="18">
      <c r="A872" s="85"/>
      <c r="B872" s="104"/>
      <c r="C872" s="3"/>
      <c r="D872" s="78"/>
      <c r="E872" s="22" t="str">
        <f>IF(B872="","",IF(A872=0,"DOT PERDIDA",IF(COUNTIF(ASIGNACIONES!$B$4:$B948,B872)=1,"DOTACION ASIGNADA",IF(C872="VISITAS","DOTACION VISITA",IF(C872="MTTO","DOTACION MTTO",IF(C872="Dotación EMERGENCIA","DOTACION RES DE EMERGENCIA",IF(C872="EXTERNOS","DOTACION DE EXTERNO","DOTACION DISPONIBLE")))))))</f>
        <v/>
      </c>
    </row>
    <row r="873" spans="1:5" ht="18">
      <c r="A873" s="85"/>
      <c r="B873" s="104"/>
      <c r="C873" s="3"/>
      <c r="D873" s="78"/>
      <c r="E873" s="22" t="str">
        <f>IF(B873="","",IF(A873=0,"DOT PERDIDA",IF(COUNTIF(ASIGNACIONES!$B$4:$B948,B873)=1,"DOTACION ASIGNADA",IF(C873="VISITAS","DOTACION VISITA",IF(C873="MTTO","DOTACION MTTO",IF(C873="Dotación EMERGENCIA","DOTACION RES DE EMERGENCIA",IF(C873="EXTERNOS","DOTACION DE EXTERNO","DOTACION DISPONIBLE")))))))</f>
        <v/>
      </c>
    </row>
    <row r="874" spans="1:5" ht="18">
      <c r="A874" s="85"/>
      <c r="B874" s="104"/>
      <c r="C874" s="3"/>
      <c r="D874" s="78"/>
      <c r="E874" s="22" t="str">
        <f>IF(B874="","",IF(A874=0,"DOT PERDIDA",IF(COUNTIF(ASIGNACIONES!$B$4:$B948,B874)=1,"DOTACION ASIGNADA",IF(C874="VISITAS","DOTACION VISITA",IF(C874="MTTO","DOTACION MTTO",IF(C874="Dotación EMERGENCIA","DOTACION RES DE EMERGENCIA",IF(C874="EXTERNOS","DOTACION DE EXTERNO","DOTACION DISPONIBLE")))))))</f>
        <v/>
      </c>
    </row>
    <row r="875" spans="1:5" ht="18">
      <c r="A875" s="85"/>
      <c r="B875" s="104"/>
      <c r="C875" s="3"/>
      <c r="D875" s="78"/>
      <c r="E875" s="22" t="str">
        <f>IF(B875="","",IF(A875=0,"DOT PERDIDA",IF(COUNTIF(ASIGNACIONES!$B$4:$B948,B875)=1,"DOTACION ASIGNADA",IF(C875="VISITAS","DOTACION VISITA",IF(C875="MTTO","DOTACION MTTO",IF(C875="Dotación EMERGENCIA","DOTACION RES DE EMERGENCIA",IF(C875="EXTERNOS","DOTACION DE EXTERNO","DOTACION DISPONIBLE")))))))</f>
        <v/>
      </c>
    </row>
    <row r="876" spans="1:5" ht="18">
      <c r="A876" s="85"/>
      <c r="B876" s="104"/>
      <c r="C876" s="3"/>
      <c r="D876" s="78"/>
      <c r="E876" s="22" t="str">
        <f>IF(B876="","",IF(A876=0,"DOT PERDIDA",IF(COUNTIF(ASIGNACIONES!$B$4:$B948,B876)=1,"DOTACION ASIGNADA",IF(C876="VISITAS","DOTACION VISITA",IF(C876="MTTO","DOTACION MTTO",IF(C876="Dotación EMERGENCIA","DOTACION RES DE EMERGENCIA",IF(C876="EXTERNOS","DOTACION DE EXTERNO","DOTACION DISPONIBLE")))))))</f>
        <v/>
      </c>
    </row>
    <row r="877" spans="1:5" ht="18">
      <c r="A877" s="85"/>
      <c r="B877" s="104"/>
      <c r="C877" s="3"/>
      <c r="D877" s="78"/>
      <c r="E877" s="22" t="str">
        <f>IF(B877="","",IF(A877=0,"DOT PERDIDA",IF(COUNTIF(ASIGNACIONES!$B$4:$B948,B877)=1,"DOTACION ASIGNADA",IF(C877="VISITAS","DOTACION VISITA",IF(C877="MTTO","DOTACION MTTO",IF(C877="Dotación EMERGENCIA","DOTACION RES DE EMERGENCIA",IF(C877="EXTERNOS","DOTACION DE EXTERNO","DOTACION DISPONIBLE")))))))</f>
        <v/>
      </c>
    </row>
    <row r="878" spans="1:5" ht="18">
      <c r="A878" s="85"/>
      <c r="B878" s="104"/>
      <c r="C878" s="3"/>
      <c r="D878" s="78"/>
      <c r="E878" s="22" t="str">
        <f>IF(B878="","",IF(A878=0,"DOT PERDIDA",IF(COUNTIF(ASIGNACIONES!$B$4:$B948,B878)=1,"DOTACION ASIGNADA",IF(C878="VISITAS","DOTACION VISITA",IF(C878="MTTO","DOTACION MTTO",IF(C878="Dotación EMERGENCIA","DOTACION RES DE EMERGENCIA",IF(C878="EXTERNOS","DOTACION DE EXTERNO","DOTACION DISPONIBLE")))))))</f>
        <v/>
      </c>
    </row>
    <row r="879" spans="1:5" ht="18">
      <c r="A879" s="85"/>
      <c r="B879" s="104"/>
      <c r="C879" s="3"/>
      <c r="D879" s="78"/>
      <c r="E879" s="22" t="str">
        <f>IF(B879="","",IF(A879=0,"DOT PERDIDA",IF(COUNTIF(ASIGNACIONES!$B$4:$B948,B879)=1,"DOTACION ASIGNADA",IF(C879="VISITAS","DOTACION VISITA",IF(C879="MTTO","DOTACION MTTO",IF(C879="Dotación EMERGENCIA","DOTACION RES DE EMERGENCIA",IF(C879="EXTERNOS","DOTACION DE EXTERNO","DOTACION DISPONIBLE")))))))</f>
        <v/>
      </c>
    </row>
    <row r="880" spans="1:5" ht="18">
      <c r="A880" s="85"/>
      <c r="B880" s="104"/>
      <c r="C880" s="3"/>
      <c r="D880" s="78"/>
      <c r="E880" s="22" t="str">
        <f>IF(B880="","",IF(A880=0,"DOT PERDIDA",IF(COUNTIF(ASIGNACIONES!$B$4:$B948,B880)=1,"DOTACION ASIGNADA",IF(C880="VISITAS","DOTACION VISITA",IF(C880="MTTO","DOTACION MTTO",IF(C880="Dotación EMERGENCIA","DOTACION RES DE EMERGENCIA",IF(C880="EXTERNOS","DOTACION DE EXTERNO","DOTACION DISPONIBLE")))))))</f>
        <v/>
      </c>
    </row>
    <row r="881" spans="1:5" ht="18">
      <c r="A881" s="85"/>
      <c r="B881" s="104"/>
      <c r="C881" s="3"/>
      <c r="D881" s="78"/>
      <c r="E881" s="22" t="str">
        <f>IF(B881="","",IF(A881=0,"DOT PERDIDA",IF(COUNTIF(ASIGNACIONES!$B$4:$B948,B881)=1,"DOTACION ASIGNADA",IF(C881="VISITAS","DOTACION VISITA",IF(C881="MTTO","DOTACION MTTO",IF(C881="Dotación EMERGENCIA","DOTACION RES DE EMERGENCIA",IF(C881="EXTERNOS","DOTACION DE EXTERNO","DOTACION DISPONIBLE")))))))</f>
        <v/>
      </c>
    </row>
    <row r="882" spans="1:5" ht="18">
      <c r="A882" s="85"/>
      <c r="B882" s="104"/>
      <c r="C882" s="3"/>
      <c r="D882" s="78"/>
      <c r="E882" s="22" t="str">
        <f>IF(B882="","",IF(A882=0,"DOT PERDIDA",IF(COUNTIF(ASIGNACIONES!$B$4:$B948,B882)=1,"DOTACION ASIGNADA",IF(C882="VISITAS","DOTACION VISITA",IF(C882="MTTO","DOTACION MTTO",IF(C882="Dotación EMERGENCIA","DOTACION RES DE EMERGENCIA",IF(C882="EXTERNOS","DOTACION DE EXTERNO","DOTACION DISPONIBLE")))))))</f>
        <v/>
      </c>
    </row>
    <row r="883" spans="1:5" ht="18">
      <c r="A883" s="85"/>
      <c r="B883" s="104"/>
      <c r="C883" s="3"/>
      <c r="D883" s="78"/>
      <c r="E883" s="22" t="str">
        <f>IF(B883="","",IF(A883=0,"DOT PERDIDA",IF(COUNTIF(ASIGNACIONES!$B$4:$B948,B883)=1,"DOTACION ASIGNADA",IF(C883="VISITAS","DOTACION VISITA",IF(C883="MTTO","DOTACION MTTO",IF(C883="Dotación EMERGENCIA","DOTACION RES DE EMERGENCIA",IF(C883="EXTERNOS","DOTACION DE EXTERNO","DOTACION DISPONIBLE")))))))</f>
        <v/>
      </c>
    </row>
    <row r="884" spans="1:5" ht="18">
      <c r="A884" s="85"/>
      <c r="B884" s="104"/>
      <c r="C884" s="3"/>
      <c r="D884" s="78"/>
      <c r="E884" s="22" t="str">
        <f>IF(B884="","",IF(A884=0,"DOT PERDIDA",IF(COUNTIF(ASIGNACIONES!$B$4:$B948,B884)=1,"DOTACION ASIGNADA",IF(C884="VISITAS","DOTACION VISITA",IF(C884="MTTO","DOTACION MTTO",IF(C884="Dotación EMERGENCIA","DOTACION RES DE EMERGENCIA",IF(C884="EXTERNOS","DOTACION DE EXTERNO","DOTACION DISPONIBLE")))))))</f>
        <v/>
      </c>
    </row>
    <row r="885" spans="1:5" ht="18">
      <c r="A885" s="85"/>
      <c r="B885" s="104"/>
      <c r="C885" s="3"/>
      <c r="D885" s="78"/>
      <c r="E885" s="22" t="str">
        <f>IF(B885="","",IF(A885=0,"DOT PERDIDA",IF(COUNTIF(ASIGNACIONES!$B$4:$B948,B885)=1,"DOTACION ASIGNADA",IF(C885="VISITAS","DOTACION VISITA",IF(C885="MTTO","DOTACION MTTO",IF(C885="Dotación EMERGENCIA","DOTACION RES DE EMERGENCIA",IF(C885="EXTERNOS","DOTACION DE EXTERNO","DOTACION DISPONIBLE")))))))</f>
        <v/>
      </c>
    </row>
    <row r="886" spans="1:5" ht="18">
      <c r="A886" s="85"/>
      <c r="B886" s="104"/>
      <c r="C886" s="3"/>
      <c r="D886" s="78"/>
      <c r="E886" s="22" t="str">
        <f>IF(B886="","",IF(A886=0,"DOT PERDIDA",IF(COUNTIF(ASIGNACIONES!$B$4:$B948,B886)=1,"DOTACION ASIGNADA",IF(C886="VISITAS","DOTACION VISITA",IF(C886="MTTO","DOTACION MTTO",IF(C886="Dotación EMERGENCIA","DOTACION RES DE EMERGENCIA",IF(C886="EXTERNOS","DOTACION DE EXTERNO","DOTACION DISPONIBLE")))))))</f>
        <v/>
      </c>
    </row>
    <row r="887" spans="1:5" ht="18">
      <c r="A887" s="85"/>
      <c r="B887" s="104"/>
      <c r="C887" s="3"/>
      <c r="D887" s="78"/>
      <c r="E887" s="22" t="str">
        <f>IF(B887="","",IF(A887=0,"DOT PERDIDA",IF(COUNTIF(ASIGNACIONES!$B$4:$B948,B887)=1,"DOTACION ASIGNADA",IF(C887="VISITAS","DOTACION VISITA",IF(C887="MTTO","DOTACION MTTO",IF(C887="Dotación EMERGENCIA","DOTACION RES DE EMERGENCIA",IF(C887="EXTERNOS","DOTACION DE EXTERNO","DOTACION DISPONIBLE")))))))</f>
        <v/>
      </c>
    </row>
    <row r="888" spans="1:5" ht="18">
      <c r="A888" s="85"/>
      <c r="B888" s="104"/>
      <c r="C888" s="3"/>
      <c r="D888" s="78"/>
      <c r="E888" s="22" t="str">
        <f>IF(B888="","",IF(A888=0,"DOT PERDIDA",IF(COUNTIF(ASIGNACIONES!$B$4:$B948,B888)=1,"DOTACION ASIGNADA",IF(C888="VISITAS","DOTACION VISITA",IF(C888="MTTO","DOTACION MTTO",IF(C888="Dotación EMERGENCIA","DOTACION RES DE EMERGENCIA",IF(C888="EXTERNOS","DOTACION DE EXTERNO","DOTACION DISPONIBLE")))))))</f>
        <v/>
      </c>
    </row>
    <row r="889" spans="1:5" ht="18">
      <c r="A889" s="85"/>
      <c r="B889" s="104"/>
      <c r="C889" s="3"/>
      <c r="D889" s="78"/>
      <c r="E889" s="22" t="str">
        <f>IF(B889="","",IF(A889=0,"DOT PERDIDA",IF(COUNTIF(ASIGNACIONES!$B$4:$B948,B889)=1,"DOTACION ASIGNADA",IF(C889="VISITAS","DOTACION VISITA",IF(C889="MTTO","DOTACION MTTO",IF(C889="Dotación EMERGENCIA","DOTACION RES DE EMERGENCIA",IF(C889="EXTERNOS","DOTACION DE EXTERNO","DOTACION DISPONIBLE")))))))</f>
        <v/>
      </c>
    </row>
    <row r="890" spans="1:5" ht="18">
      <c r="A890" s="85"/>
      <c r="B890" s="104"/>
      <c r="C890" s="3"/>
      <c r="D890" s="78"/>
      <c r="E890" s="22" t="str">
        <f>IF(B890="","",IF(A890=0,"DOT PERDIDA",IF(COUNTIF(ASIGNACIONES!$B$4:$B948,B890)=1,"DOTACION ASIGNADA",IF(C890="VISITAS","DOTACION VISITA",IF(C890="MTTO","DOTACION MTTO",IF(C890="Dotación EMERGENCIA","DOTACION RES DE EMERGENCIA",IF(C890="EXTERNOS","DOTACION DE EXTERNO","DOTACION DISPONIBLE")))))))</f>
        <v/>
      </c>
    </row>
    <row r="891" spans="1:5" ht="18">
      <c r="A891" s="85"/>
      <c r="B891" s="104"/>
      <c r="C891" s="3"/>
      <c r="D891" s="78"/>
      <c r="E891" s="22" t="str">
        <f>IF(B891="","",IF(A891=0,"DOT PERDIDA",IF(COUNTIF(ASIGNACIONES!$B$4:$B948,B891)=1,"DOTACION ASIGNADA",IF(C891="VISITAS","DOTACION VISITA",IF(C891="MTTO","DOTACION MTTO",IF(C891="Dotación EMERGENCIA","DOTACION RES DE EMERGENCIA",IF(C891="EXTERNOS","DOTACION DE EXTERNO","DOTACION DISPONIBLE")))))))</f>
        <v/>
      </c>
    </row>
    <row r="892" spans="1:5" ht="18">
      <c r="A892" s="85"/>
      <c r="B892" s="104"/>
      <c r="C892" s="3"/>
      <c r="D892" s="78"/>
      <c r="E892" s="22" t="str">
        <f>IF(B892="","",IF(A892=0,"DOT PERDIDA",IF(COUNTIF(ASIGNACIONES!$B$4:$B948,B892)=1,"DOTACION ASIGNADA",IF(C892="VISITAS","DOTACION VISITA",IF(C892="MTTO","DOTACION MTTO",IF(C892="Dotación EMERGENCIA","DOTACION RES DE EMERGENCIA",IF(C892="EXTERNOS","DOTACION DE EXTERNO","DOTACION DISPONIBLE")))))))</f>
        <v/>
      </c>
    </row>
    <row r="893" spans="1:5" ht="18">
      <c r="A893" s="85"/>
      <c r="B893" s="104"/>
      <c r="C893" s="3"/>
      <c r="D893" s="78"/>
      <c r="E893" s="22" t="str">
        <f>IF(B893="","",IF(A893=0,"DOT PERDIDA",IF(COUNTIF(ASIGNACIONES!$B$4:$B948,B893)=1,"DOTACION ASIGNADA",IF(C893="VISITAS","DOTACION VISITA",IF(C893="MTTO","DOTACION MTTO",IF(C893="Dotación EMERGENCIA","DOTACION RES DE EMERGENCIA",IF(C893="EXTERNOS","DOTACION DE EXTERNO","DOTACION DISPONIBLE")))))))</f>
        <v/>
      </c>
    </row>
    <row r="894" spans="1:5" ht="18">
      <c r="A894" s="85"/>
      <c r="B894" s="104"/>
      <c r="C894" s="3"/>
      <c r="D894" s="78"/>
      <c r="E894" s="22" t="str">
        <f>IF(B894="","",IF(A894=0,"DOT PERDIDA",IF(COUNTIF(ASIGNACIONES!$B$4:$B948,B894)=1,"DOTACION ASIGNADA",IF(C894="VISITAS","DOTACION VISITA",IF(C894="MTTO","DOTACION MTTO",IF(C894="Dotación EMERGENCIA","DOTACION RES DE EMERGENCIA",IF(C894="EXTERNOS","DOTACION DE EXTERNO","DOTACION DISPONIBLE")))))))</f>
        <v/>
      </c>
    </row>
    <row r="895" spans="1:5" ht="18">
      <c r="A895" s="85"/>
      <c r="B895" s="104"/>
      <c r="C895" s="3"/>
      <c r="D895" s="78"/>
      <c r="E895" s="22" t="str">
        <f>IF(B895="","",IF(A895=0,"DOT PERDIDA",IF(COUNTIF(ASIGNACIONES!$B$4:$B948,B895)=1,"DOTACION ASIGNADA",IF(C895="VISITAS","DOTACION VISITA",IF(C895="MTTO","DOTACION MTTO",IF(C895="Dotación EMERGENCIA","DOTACION RES DE EMERGENCIA",IF(C895="EXTERNOS","DOTACION DE EXTERNO","DOTACION DISPONIBLE")))))))</f>
        <v/>
      </c>
    </row>
    <row r="896" spans="1:5" ht="18">
      <c r="A896" s="85"/>
      <c r="B896" s="104"/>
      <c r="C896" s="3"/>
      <c r="D896" s="78"/>
      <c r="E896" s="22" t="str">
        <f>IF(B896="","",IF(A896=0,"DOT PERDIDA",IF(COUNTIF(ASIGNACIONES!$B$4:$B948,B896)=1,"DOTACION ASIGNADA",IF(C896="VISITAS","DOTACION VISITA",IF(C896="MTTO","DOTACION MTTO",IF(C896="Dotación EMERGENCIA","DOTACION RES DE EMERGENCIA",IF(C896="EXTERNOS","DOTACION DE EXTERNO","DOTACION DISPONIBLE")))))))</f>
        <v/>
      </c>
    </row>
    <row r="897" spans="1:5" ht="18">
      <c r="A897" s="85"/>
      <c r="B897" s="104"/>
      <c r="C897" s="3"/>
      <c r="D897" s="78"/>
      <c r="E897" s="22" t="str">
        <f>IF(B897="","",IF(A897=0,"DOT PERDIDA",IF(COUNTIF(ASIGNACIONES!$B$4:$B948,B897)=1,"DOTACION ASIGNADA",IF(C897="VISITAS","DOTACION VISITA",IF(C897="MTTO","DOTACION MTTO",IF(C897="Dotación EMERGENCIA","DOTACION RES DE EMERGENCIA",IF(C897="EXTERNOS","DOTACION DE EXTERNO","DOTACION DISPONIBLE")))))))</f>
        <v/>
      </c>
    </row>
    <row r="898" spans="1:5" ht="18">
      <c r="A898" s="85"/>
      <c r="B898" s="104"/>
      <c r="C898" s="3"/>
      <c r="D898" s="78"/>
      <c r="E898" s="22" t="str">
        <f>IF(B898="","",IF(A898=0,"DOT PERDIDA",IF(COUNTIF(ASIGNACIONES!$B$4:$B948,B898)=1,"DOTACION ASIGNADA",IF(C898="VISITAS","DOTACION VISITA",IF(C898="MTTO","DOTACION MTTO",IF(C898="Dotación EMERGENCIA","DOTACION RES DE EMERGENCIA",IF(C898="EXTERNOS","DOTACION DE EXTERNO","DOTACION DISPONIBLE")))))))</f>
        <v/>
      </c>
    </row>
    <row r="899" spans="1:5" ht="18">
      <c r="A899" s="85"/>
      <c r="B899" s="104"/>
      <c r="C899" s="3"/>
      <c r="D899" s="78"/>
      <c r="E899" s="22" t="str">
        <f>IF(B899="","",IF(A899=0,"DOT PERDIDA",IF(COUNTIF(ASIGNACIONES!$B$4:$B948,B899)=1,"DOTACION ASIGNADA",IF(C899="VISITAS","DOTACION VISITA",IF(C899="MTTO","DOTACION MTTO",IF(C899="Dotación EMERGENCIA","DOTACION RES DE EMERGENCIA",IF(C899="EXTERNOS","DOTACION DE EXTERNO","DOTACION DISPONIBLE")))))))</f>
        <v/>
      </c>
    </row>
    <row r="900" spans="1:5" ht="18">
      <c r="A900" s="85"/>
      <c r="B900" s="104"/>
      <c r="C900" s="3"/>
      <c r="D900" s="78"/>
      <c r="E900" s="22" t="str">
        <f>IF(B900="","",IF(A900=0,"DOT PERDIDA",IF(COUNTIF(ASIGNACIONES!$B$4:$B948,B900)=1,"DOTACION ASIGNADA",IF(C900="VISITAS","DOTACION VISITA",IF(C900="MTTO","DOTACION MTTO",IF(C900="Dotación EMERGENCIA","DOTACION RES DE EMERGENCIA",IF(C900="EXTERNOS","DOTACION DE EXTERNO","DOTACION DISPONIBLE")))))))</f>
        <v/>
      </c>
    </row>
    <row r="901" spans="1:5" ht="18">
      <c r="A901" s="85"/>
      <c r="B901" s="104"/>
      <c r="C901" s="3"/>
      <c r="D901" s="78"/>
      <c r="E901" s="22" t="str">
        <f>IF(B901="","",IF(A901=0,"DOT PERDIDA",IF(COUNTIF(ASIGNACIONES!$B$4:$B948,B901)=1,"DOTACION ASIGNADA",IF(C901="VISITAS","DOTACION VISITA",IF(C901="MTTO","DOTACION MTTO",IF(C901="Dotación EMERGENCIA","DOTACION RES DE EMERGENCIA",IF(C901="EXTERNOS","DOTACION DE EXTERNO","DOTACION DISPONIBLE")))))))</f>
        <v/>
      </c>
    </row>
    <row r="902" spans="1:5" ht="18">
      <c r="A902" s="85"/>
      <c r="B902" s="104"/>
      <c r="C902" s="3"/>
      <c r="D902" s="78"/>
      <c r="E902" s="22" t="str">
        <f>IF(B902="","",IF(A902=0,"DOT PERDIDA",IF(COUNTIF(ASIGNACIONES!$B$4:$B948,B902)=1,"DOTACION ASIGNADA",IF(C902="VISITAS","DOTACION VISITA",IF(C902="MTTO","DOTACION MTTO",IF(C902="Dotación EMERGENCIA","DOTACION RES DE EMERGENCIA",IF(C902="EXTERNOS","DOTACION DE EXTERNO","DOTACION DISPONIBLE")))))))</f>
        <v/>
      </c>
    </row>
    <row r="903" spans="1:5" ht="18">
      <c r="A903" s="85"/>
      <c r="B903" s="104"/>
      <c r="C903" s="3"/>
      <c r="D903" s="78"/>
      <c r="E903" s="22" t="str">
        <f>IF(B903="","",IF(A903=0,"DOT PERDIDA",IF(COUNTIF(ASIGNACIONES!$B$4:$B948,B903)=1,"DOTACION ASIGNADA",IF(C903="VISITAS","DOTACION VISITA",IF(C903="MTTO","DOTACION MTTO",IF(C903="Dotación EMERGENCIA","DOTACION RES DE EMERGENCIA",IF(C903="EXTERNOS","DOTACION DE EXTERNO","DOTACION DISPONIBLE")))))))</f>
        <v/>
      </c>
    </row>
    <row r="904" spans="1:5" ht="18">
      <c r="A904" s="85"/>
      <c r="B904" s="104"/>
      <c r="C904" s="3"/>
      <c r="D904" s="78"/>
      <c r="E904" s="22" t="str">
        <f>IF(B904="","",IF(A904=0,"DOT PERDIDA",IF(COUNTIF(ASIGNACIONES!$B$4:$B948,B904)=1,"DOTACION ASIGNADA",IF(C904="VISITAS","DOTACION VISITA",IF(C904="MTTO","DOTACION MTTO",IF(C904="Dotación EMERGENCIA","DOTACION RES DE EMERGENCIA",IF(C904="EXTERNOS","DOTACION DE EXTERNO","DOTACION DISPONIBLE")))))))</f>
        <v/>
      </c>
    </row>
    <row r="905" spans="1:5" ht="18">
      <c r="A905" s="85"/>
      <c r="B905" s="104"/>
      <c r="C905" s="3"/>
      <c r="D905" s="78"/>
      <c r="E905" s="22" t="str">
        <f>IF(B905="","",IF(A905=0,"DOT PERDIDA",IF(COUNTIF(ASIGNACIONES!$B$4:$B948,B905)=1,"DOTACION ASIGNADA",IF(C905="VISITAS","DOTACION VISITA",IF(C905="MTTO","DOTACION MTTO",IF(C905="Dotación EMERGENCIA","DOTACION RES DE EMERGENCIA",IF(C905="EXTERNOS","DOTACION DE EXTERNO","DOTACION DISPONIBLE")))))))</f>
        <v/>
      </c>
    </row>
    <row r="906" spans="1:5" ht="18">
      <c r="A906" s="85"/>
      <c r="B906" s="104"/>
      <c r="C906" s="3"/>
      <c r="D906" s="78"/>
      <c r="E906" s="22" t="str">
        <f>IF(B906="","",IF(A906=0,"DOT PERDIDA",IF(COUNTIF(ASIGNACIONES!$B$4:$B948,B906)=1,"DOTACION ASIGNADA",IF(C906="VISITAS","DOTACION VISITA",IF(C906="MTTO","DOTACION MTTO",IF(C906="Dotación EMERGENCIA","DOTACION RES DE EMERGENCIA",IF(C906="EXTERNOS","DOTACION DE EXTERNO","DOTACION DISPONIBLE")))))))</f>
        <v/>
      </c>
    </row>
    <row r="907" spans="1:5" ht="18">
      <c r="A907" s="85"/>
      <c r="B907" s="104"/>
      <c r="C907" s="3"/>
      <c r="D907" s="78"/>
      <c r="E907" s="22" t="str">
        <f>IF(B907="","",IF(A907=0,"DOT PERDIDA",IF(COUNTIF(ASIGNACIONES!$B$4:$B948,B907)=1,"DOTACION ASIGNADA",IF(C907="VISITAS","DOTACION VISITA",IF(C907="MTTO","DOTACION MTTO",IF(C907="Dotación EMERGENCIA","DOTACION RES DE EMERGENCIA",IF(C907="EXTERNOS","DOTACION DE EXTERNO","DOTACION DISPONIBLE")))))))</f>
        <v/>
      </c>
    </row>
    <row r="908" spans="1:5" ht="18">
      <c r="A908" s="85"/>
      <c r="B908" s="104"/>
      <c r="C908" s="3"/>
      <c r="D908" s="78"/>
      <c r="E908" s="22" t="str">
        <f>IF(B908="","",IF(A908=0,"DOT PERDIDA",IF(COUNTIF(ASIGNACIONES!$B$4:$B948,B908)=1,"DOTACION ASIGNADA",IF(C908="VISITAS","DOTACION VISITA",IF(C908="MTTO","DOTACION MTTO",IF(C908="Dotación EMERGENCIA","DOTACION RES DE EMERGENCIA",IF(C908="EXTERNOS","DOTACION DE EXTERNO","DOTACION DISPONIBLE")))))))</f>
        <v/>
      </c>
    </row>
    <row r="909" spans="1:5" ht="18">
      <c r="A909" s="85"/>
      <c r="B909" s="104"/>
      <c r="C909" s="3"/>
      <c r="D909" s="78"/>
      <c r="E909" s="22" t="str">
        <f>IF(B909="","",IF(A909=0,"DOT PERDIDA",IF(COUNTIF(ASIGNACIONES!$B$4:$B948,B909)=1,"DOTACION ASIGNADA",IF(C909="VISITAS","DOTACION VISITA",IF(C909="MTTO","DOTACION MTTO",IF(C909="Dotación EMERGENCIA","DOTACION RES DE EMERGENCIA",IF(C909="EXTERNOS","DOTACION DE EXTERNO","DOTACION DISPONIBLE")))))))</f>
        <v/>
      </c>
    </row>
    <row r="910" spans="1:5" ht="18">
      <c r="A910" s="85"/>
      <c r="B910" s="104"/>
      <c r="C910" s="3"/>
      <c r="D910" s="78"/>
      <c r="E910" s="22" t="str">
        <f>IF(B910="","",IF(A910=0,"DOT PERDIDA",IF(COUNTIF(ASIGNACIONES!$B$4:$B948,B910)=1,"DOTACION ASIGNADA",IF(C910="VISITAS","DOTACION VISITA",IF(C910="MTTO","DOTACION MTTO",IF(C910="Dotación EMERGENCIA","DOTACION RES DE EMERGENCIA",IF(C910="EXTERNOS","DOTACION DE EXTERNO","DOTACION DISPONIBLE")))))))</f>
        <v/>
      </c>
    </row>
    <row r="911" spans="1:5" ht="18">
      <c r="A911" s="85"/>
      <c r="B911" s="104"/>
      <c r="C911" s="3"/>
      <c r="D911" s="78"/>
      <c r="E911" s="22" t="str">
        <f>IF(B911="","",IF(A911=0,"DOT PERDIDA",IF(COUNTIF(ASIGNACIONES!$B$4:$B948,B911)=1,"DOTACION ASIGNADA",IF(C911="VISITAS","DOTACION VISITA",IF(C911="MTTO","DOTACION MTTO",IF(C911="Dotación EMERGENCIA","DOTACION RES DE EMERGENCIA",IF(C911="EXTERNOS","DOTACION DE EXTERNO","DOTACION DISPONIBLE")))))))</f>
        <v/>
      </c>
    </row>
    <row r="912" spans="1:5" ht="18">
      <c r="A912" s="85"/>
      <c r="B912" s="104"/>
      <c r="C912" s="3"/>
      <c r="D912" s="78"/>
      <c r="E912" s="22" t="str">
        <f>IF(B912="","",IF(A912=0,"DOT PERDIDA",IF(COUNTIF(ASIGNACIONES!$B$4:$B948,B912)=1,"DOTACION ASIGNADA",IF(C912="VISITAS","DOTACION VISITA",IF(C912="MTTO","DOTACION MTTO",IF(C912="Dotación EMERGENCIA","DOTACION RES DE EMERGENCIA",IF(C912="EXTERNOS","DOTACION DE EXTERNO","DOTACION DISPONIBLE")))))))</f>
        <v/>
      </c>
    </row>
    <row r="913" spans="1:5" ht="18">
      <c r="A913" s="85"/>
      <c r="B913" s="104"/>
      <c r="C913" s="3"/>
      <c r="D913" s="78"/>
      <c r="E913" s="22" t="str">
        <f>IF(B913="","",IF(A913=0,"DOT PERDIDA",IF(COUNTIF(ASIGNACIONES!$B$4:$B948,B913)=1,"DOTACION ASIGNADA",IF(C913="VISITAS","DOTACION VISITA",IF(C913="MTTO","DOTACION MTTO",IF(C913="Dotación EMERGENCIA","DOTACION RES DE EMERGENCIA",IF(C913="EXTERNOS","DOTACION DE EXTERNO","DOTACION DISPONIBLE")))))))</f>
        <v/>
      </c>
    </row>
    <row r="914" spans="1:5" ht="18">
      <c r="A914" s="85"/>
      <c r="B914" s="104"/>
      <c r="C914" s="3"/>
      <c r="D914" s="78"/>
      <c r="E914" s="22" t="str">
        <f>IF(B914="","",IF(A914=0,"DOT PERDIDA",IF(COUNTIF(ASIGNACIONES!$B$4:$B948,B914)=1,"DOTACION ASIGNADA",IF(C914="VISITAS","DOTACION VISITA",IF(C914="MTTO","DOTACION MTTO",IF(C914="Dotación EMERGENCIA","DOTACION RES DE EMERGENCIA",IF(C914="EXTERNOS","DOTACION DE EXTERNO","DOTACION DISPONIBLE")))))))</f>
        <v/>
      </c>
    </row>
    <row r="915" spans="1:5" ht="18">
      <c r="A915" s="85"/>
      <c r="B915" s="104"/>
      <c r="C915" s="3"/>
      <c r="D915" s="78"/>
      <c r="E915" s="22" t="str">
        <f>IF(B915="","",IF(A915=0,"DOT PERDIDA",IF(COUNTIF(ASIGNACIONES!$B$4:$B948,B915)=1,"DOTACION ASIGNADA",IF(C915="VISITAS","DOTACION VISITA",IF(C915="MTTO","DOTACION MTTO",IF(C915="Dotación EMERGENCIA","DOTACION RES DE EMERGENCIA",IF(C915="EXTERNOS","DOTACION DE EXTERNO","DOTACION DISPONIBLE")))))))</f>
        <v/>
      </c>
    </row>
    <row r="916" spans="1:5" ht="18">
      <c r="A916" s="85"/>
      <c r="B916" s="104"/>
      <c r="C916" s="3"/>
      <c r="D916" s="78"/>
      <c r="E916" s="22" t="str">
        <f>IF(B916="","",IF(A916=0,"DOT PERDIDA",IF(COUNTIF(ASIGNACIONES!$B$4:$B948,B916)=1,"DOTACION ASIGNADA",IF(C916="VISITAS","DOTACION VISITA",IF(C916="MTTO","DOTACION MTTO",IF(C916="Dotación EMERGENCIA","DOTACION RES DE EMERGENCIA",IF(C916="EXTERNOS","DOTACION DE EXTERNO","DOTACION DISPONIBLE")))))))</f>
        <v/>
      </c>
    </row>
    <row r="917" spans="1:5" ht="18">
      <c r="A917" s="85"/>
      <c r="B917" s="104"/>
      <c r="C917" s="3"/>
      <c r="D917" s="78"/>
      <c r="E917" s="22" t="str">
        <f>IF(B917="","",IF(A917=0,"DOT PERDIDA",IF(COUNTIF(ASIGNACIONES!$B$4:$B948,B917)=1,"DOTACION ASIGNADA",IF(C917="VISITAS","DOTACION VISITA",IF(C917="MTTO","DOTACION MTTO",IF(C917="Dotación EMERGENCIA","DOTACION RES DE EMERGENCIA",IF(C917="EXTERNOS","DOTACION DE EXTERNO","DOTACION DISPONIBLE")))))))</f>
        <v/>
      </c>
    </row>
    <row r="918" spans="1:5" ht="18">
      <c r="A918" s="85"/>
      <c r="B918" s="104"/>
      <c r="C918" s="3"/>
      <c r="D918" s="78"/>
      <c r="E918" s="22" t="str">
        <f>IF(B918="","",IF(A918=0,"DOT PERDIDA",IF(COUNTIF(ASIGNACIONES!$B$4:$B948,B918)=1,"DOTACION ASIGNADA",IF(C918="VISITAS","DOTACION VISITA",IF(C918="MTTO","DOTACION MTTO",IF(C918="Dotación EMERGENCIA","DOTACION RES DE EMERGENCIA",IF(C918="EXTERNOS","DOTACION DE EXTERNO","DOTACION DISPONIBLE")))))))</f>
        <v/>
      </c>
    </row>
    <row r="919" spans="1:5" ht="18">
      <c r="A919" s="85"/>
      <c r="B919" s="104"/>
      <c r="C919" s="3"/>
      <c r="D919" s="78"/>
      <c r="E919" s="22" t="str">
        <f>IF(B919="","",IF(A919=0,"DOT PERDIDA",IF(COUNTIF(ASIGNACIONES!$B$4:$B948,B919)=1,"DOTACION ASIGNADA",IF(C919="VISITAS","DOTACION VISITA",IF(C919="MTTO","DOTACION MTTO",IF(C919="Dotación EMERGENCIA","DOTACION RES DE EMERGENCIA",IF(C919="EXTERNOS","DOTACION DE EXTERNO","DOTACION DISPONIBLE")))))))</f>
        <v/>
      </c>
    </row>
    <row r="920" spans="1:5" ht="18">
      <c r="A920" s="85"/>
      <c r="B920" s="104"/>
      <c r="C920" s="3"/>
      <c r="D920" s="78"/>
      <c r="E920" s="22" t="str">
        <f>IF(B920="","",IF(A920=0,"DOT PERDIDA",IF(COUNTIF(ASIGNACIONES!$B$4:$B948,B920)=1,"DOTACION ASIGNADA",IF(C920="VISITAS","DOTACION VISITA",IF(C920="MTTO","DOTACION MTTO",IF(C920="Dotación EMERGENCIA","DOTACION RES DE EMERGENCIA",IF(C920="EXTERNOS","DOTACION DE EXTERNO","DOTACION DISPONIBLE")))))))</f>
        <v/>
      </c>
    </row>
    <row r="921" spans="1:5" ht="18">
      <c r="A921" s="85"/>
      <c r="B921" s="104"/>
      <c r="C921" s="3"/>
      <c r="D921" s="78"/>
      <c r="E921" s="22" t="str">
        <f>IF(B921="","",IF(A921=0,"DOT PERDIDA",IF(COUNTIF(ASIGNACIONES!$B$4:$B948,B921)=1,"DOTACION ASIGNADA",IF(C921="VISITAS","DOTACION VISITA",IF(C921="MTTO","DOTACION MTTO",IF(C921="Dotación EMERGENCIA","DOTACION RES DE EMERGENCIA",IF(C921="EXTERNOS","DOTACION DE EXTERNO","DOTACION DISPONIBLE")))))))</f>
        <v/>
      </c>
    </row>
    <row r="922" spans="1:5" ht="18">
      <c r="A922" s="85"/>
      <c r="B922" s="104"/>
      <c r="C922" s="3"/>
      <c r="D922" s="78"/>
      <c r="E922" s="22" t="str">
        <f>IF(B922="","",IF(A922=0,"DOT PERDIDA",IF(COUNTIF(ASIGNACIONES!$B$4:$B948,B922)=1,"DOTACION ASIGNADA",IF(C922="VISITAS","DOTACION VISITA",IF(C922="MTTO","DOTACION MTTO",IF(C922="Dotación EMERGENCIA","DOTACION RES DE EMERGENCIA",IF(C922="EXTERNOS","DOTACION DE EXTERNO","DOTACION DISPONIBLE")))))))</f>
        <v/>
      </c>
    </row>
    <row r="923" spans="1:5" ht="18">
      <c r="A923" s="85"/>
      <c r="B923" s="104"/>
      <c r="C923" s="3"/>
      <c r="D923" s="78"/>
      <c r="E923" s="22" t="str">
        <f>IF(B923="","",IF(A923=0,"DOT PERDIDA",IF(COUNTIF(ASIGNACIONES!$B$4:$B948,B923)=1,"DOTACION ASIGNADA",IF(C923="VISITAS","DOTACION VISITA",IF(C923="MTTO","DOTACION MTTO",IF(C923="Dotación EMERGENCIA","DOTACION RES DE EMERGENCIA",IF(C923="EXTERNOS","DOTACION DE EXTERNO","DOTACION DISPONIBLE")))))))</f>
        <v/>
      </c>
    </row>
    <row r="924" spans="1:5" ht="18">
      <c r="A924" s="85"/>
      <c r="B924" s="104"/>
      <c r="C924" s="3"/>
      <c r="D924" s="78"/>
      <c r="E924" s="22" t="str">
        <f>IF(B924="","",IF(A924=0,"DOT PERDIDA",IF(COUNTIF(ASIGNACIONES!$B$4:$B948,B924)=1,"DOTACION ASIGNADA",IF(C924="VISITAS","DOTACION VISITA",IF(C924="MTTO","DOTACION MTTO",IF(C924="Dotación EMERGENCIA","DOTACION RES DE EMERGENCIA",IF(C924="EXTERNOS","DOTACION DE EXTERNO","DOTACION DISPONIBLE")))))))</f>
        <v/>
      </c>
    </row>
    <row r="925" spans="1:5" ht="18">
      <c r="A925" s="85"/>
      <c r="B925" s="104"/>
      <c r="C925" s="3"/>
      <c r="D925" s="78"/>
      <c r="E925" s="22" t="str">
        <f>IF(B925="","",IF(A925=0,"DOT PERDIDA",IF(COUNTIF(ASIGNACIONES!$B$4:$B948,B925)=1,"DOTACION ASIGNADA",IF(C925="VISITAS","DOTACION VISITA",IF(C925="MTTO","DOTACION MTTO",IF(C925="Dotación EMERGENCIA","DOTACION RES DE EMERGENCIA",IF(C925="EXTERNOS","DOTACION DE EXTERNO","DOTACION DISPONIBLE")))))))</f>
        <v/>
      </c>
    </row>
    <row r="926" spans="1:5" ht="18">
      <c r="A926" s="85"/>
      <c r="B926" s="104"/>
      <c r="C926" s="3"/>
      <c r="D926" s="78"/>
      <c r="E926" s="22" t="str">
        <f>IF(B926="","",IF(A926=0,"DOT PERDIDA",IF(COUNTIF(ASIGNACIONES!$B$4:$B948,B926)=1,"DOTACION ASIGNADA",IF(C926="VISITAS","DOTACION VISITA",IF(C926="MTTO","DOTACION MTTO",IF(C926="Dotación EMERGENCIA","DOTACION RES DE EMERGENCIA",IF(C926="EXTERNOS","DOTACION DE EXTERNO","DOTACION DISPONIBLE")))))))</f>
        <v/>
      </c>
    </row>
    <row r="927" spans="1:5" ht="18">
      <c r="A927" s="85"/>
      <c r="B927" s="104"/>
      <c r="C927" s="3"/>
      <c r="D927" s="78"/>
      <c r="E927" s="22" t="str">
        <f>IF(B927="","",IF(A927=0,"DOT PERDIDA",IF(COUNTIF(ASIGNACIONES!$B$4:$B948,B927)=1,"DOTACION ASIGNADA",IF(C927="VISITAS","DOTACION VISITA",IF(C927="MTTO","DOTACION MTTO",IF(C927="Dotación EMERGENCIA","DOTACION RES DE EMERGENCIA",IF(C927="EXTERNOS","DOTACION DE EXTERNO","DOTACION DISPONIBLE")))))))</f>
        <v/>
      </c>
    </row>
    <row r="928" spans="1:5" ht="18">
      <c r="A928" s="85"/>
      <c r="B928" s="104"/>
      <c r="C928" s="3"/>
      <c r="D928" s="78"/>
      <c r="E928" s="22" t="str">
        <f>IF(B928="","",IF(A928=0,"DOT PERDIDA",IF(COUNTIF(ASIGNACIONES!$B$4:$B948,B928)=1,"DOTACION ASIGNADA",IF(C928="VISITAS","DOTACION VISITA",IF(C928="MTTO","DOTACION MTTO",IF(C928="Dotación EMERGENCIA","DOTACION RES DE EMERGENCIA",IF(C928="EXTERNOS","DOTACION DE EXTERNO","DOTACION DISPONIBLE")))))))</f>
        <v/>
      </c>
    </row>
    <row r="929" spans="1:5" ht="18">
      <c r="A929" s="85"/>
      <c r="B929" s="104"/>
      <c r="C929" s="3"/>
      <c r="D929" s="78"/>
      <c r="E929" s="22" t="str">
        <f>IF(B929="","",IF(A929=0,"DOT PERDIDA",IF(COUNTIF(ASIGNACIONES!$B$4:$B948,B929)=1,"DOTACION ASIGNADA",IF(C929="VISITAS","DOTACION VISITA",IF(C929="MTTO","DOTACION MTTO",IF(C929="Dotación EMERGENCIA","DOTACION RES DE EMERGENCIA",IF(C929="EXTERNOS","DOTACION DE EXTERNO","DOTACION DISPONIBLE")))))))</f>
        <v/>
      </c>
    </row>
    <row r="930" spans="1:5" ht="18">
      <c r="A930" s="85"/>
      <c r="B930" s="104"/>
      <c r="C930" s="3"/>
      <c r="D930" s="78"/>
      <c r="E930" s="22" t="str">
        <f>IF(B930="","",IF(A930=0,"DOT PERDIDA",IF(COUNTIF(ASIGNACIONES!$B$4:$B948,B930)=1,"DOTACION ASIGNADA",IF(C930="VISITAS","DOTACION VISITA",IF(C930="MTTO","DOTACION MTTO",IF(C930="Dotación EMERGENCIA","DOTACION RES DE EMERGENCIA",IF(C930="EXTERNOS","DOTACION DE EXTERNO","DOTACION DISPONIBLE")))))))</f>
        <v/>
      </c>
    </row>
    <row r="931" spans="1:5" ht="18">
      <c r="A931" s="85"/>
      <c r="B931" s="104"/>
      <c r="C931" s="3"/>
      <c r="D931" s="78"/>
      <c r="E931" s="22" t="str">
        <f>IF(B931="","",IF(A931=0,"DOT PERDIDA",IF(COUNTIF(ASIGNACIONES!$B$4:$B948,B931)=1,"DOTACION ASIGNADA",IF(C931="VISITAS","DOTACION VISITA",IF(C931="MTTO","DOTACION MTTO",IF(C931="Dotación EMERGENCIA","DOTACION RES DE EMERGENCIA",IF(C931="EXTERNOS","DOTACION DE EXTERNO","DOTACION DISPONIBLE")))))))</f>
        <v/>
      </c>
    </row>
    <row r="932" spans="1:5" ht="18">
      <c r="A932" s="85"/>
      <c r="B932" s="104"/>
      <c r="C932" s="3"/>
      <c r="D932" s="78"/>
      <c r="E932" s="22" t="str">
        <f>IF(B932="","",IF(A932=0,"DOT PERDIDA",IF(COUNTIF(ASIGNACIONES!$B$4:$B948,B932)=1,"DOTACION ASIGNADA",IF(C932="VISITAS","DOTACION VISITA",IF(C932="MTTO","DOTACION MTTO",IF(C932="Dotación EMERGENCIA","DOTACION RES DE EMERGENCIA",IF(C932="EXTERNOS","DOTACION DE EXTERNO","DOTACION DISPONIBLE")))))))</f>
        <v/>
      </c>
    </row>
    <row r="933" spans="1:5" ht="18">
      <c r="A933" s="85"/>
      <c r="B933" s="104"/>
      <c r="C933" s="3"/>
      <c r="D933" s="78"/>
      <c r="E933" s="22" t="str">
        <f>IF(B933="","",IF(A933=0,"DOT PERDIDA",IF(COUNTIF(ASIGNACIONES!$B$4:$B948,B933)=1,"DOTACION ASIGNADA",IF(C933="VISITAS","DOTACION VISITA",IF(C933="MTTO","DOTACION MTTO",IF(C933="Dotación EMERGENCIA","DOTACION RES DE EMERGENCIA",IF(C933="EXTERNOS","DOTACION DE EXTERNO","DOTACION DISPONIBLE")))))))</f>
        <v/>
      </c>
    </row>
    <row r="934" spans="1:5" ht="18">
      <c r="A934" s="85"/>
      <c r="B934" s="104"/>
      <c r="C934" s="3"/>
      <c r="D934" s="78"/>
      <c r="E934" s="22" t="str">
        <f>IF(B934="","",IF(A934=0,"DOT PERDIDA",IF(COUNTIF(ASIGNACIONES!$B$4:$B948,B934)=1,"DOTACION ASIGNADA",IF(C934="VISITAS","DOTACION VISITA",IF(C934="MTTO","DOTACION MTTO",IF(C934="Dotación EMERGENCIA","DOTACION RES DE EMERGENCIA",IF(C934="EXTERNOS","DOTACION DE EXTERNO","DOTACION DISPONIBLE")))))))</f>
        <v/>
      </c>
    </row>
    <row r="935" spans="1:5" ht="18">
      <c r="A935" s="85"/>
      <c r="B935" s="104"/>
      <c r="C935" s="3"/>
      <c r="D935" s="78"/>
      <c r="E935" s="22" t="str">
        <f>IF(B935="","",IF(A935=0,"DOT PERDIDA",IF(COUNTIF(ASIGNACIONES!$B$4:$B948,B935)=1,"DOTACION ASIGNADA",IF(C935="VISITAS","DOTACION VISITA",IF(C935="MTTO","DOTACION MTTO",IF(C935="Dotación EMERGENCIA","DOTACION RES DE EMERGENCIA",IF(C935="EXTERNOS","DOTACION DE EXTERNO","DOTACION DISPONIBLE")))))))</f>
        <v/>
      </c>
    </row>
    <row r="936" spans="1:5" ht="18">
      <c r="A936" s="85"/>
      <c r="B936" s="104"/>
      <c r="C936" s="3"/>
      <c r="D936" s="78"/>
      <c r="E936" s="22" t="str">
        <f>IF(B936="","",IF(A936=0,"DOT PERDIDA",IF(COUNTIF(ASIGNACIONES!$B$4:$B948,B936)=1,"DOTACION ASIGNADA",IF(C936="VISITAS","DOTACION VISITA",IF(C936="MTTO","DOTACION MTTO",IF(C936="Dotación EMERGENCIA","DOTACION RES DE EMERGENCIA",IF(C936="EXTERNOS","DOTACION DE EXTERNO","DOTACION DISPONIBLE")))))))</f>
        <v/>
      </c>
    </row>
    <row r="937" spans="1:5" ht="18">
      <c r="A937" s="85"/>
      <c r="B937" s="104"/>
      <c r="C937" s="3"/>
      <c r="D937" s="78"/>
      <c r="E937" s="22" t="str">
        <f>IF(B937="","",IF(A937=0,"DOT PERDIDA",IF(COUNTIF(ASIGNACIONES!$B$4:$B948,B937)=1,"DOTACION ASIGNADA",IF(C937="VISITAS","DOTACION VISITA",IF(C937="MTTO","DOTACION MTTO",IF(C937="Dotación EMERGENCIA","DOTACION RES DE EMERGENCIA",IF(C937="EXTERNOS","DOTACION DE EXTERNO","DOTACION DISPONIBLE")))))))</f>
        <v/>
      </c>
    </row>
    <row r="938" spans="1:5" ht="18">
      <c r="A938" s="85"/>
      <c r="B938" s="104"/>
      <c r="C938" s="3"/>
      <c r="D938" s="78"/>
      <c r="E938" s="22" t="str">
        <f>IF(B938="","",IF(A938=0,"DOT PERDIDA",IF(COUNTIF(ASIGNACIONES!$B$4:$B948,B938)=1,"DOTACION ASIGNADA",IF(C938="VISITAS","DOTACION VISITA",IF(C938="MTTO","DOTACION MTTO",IF(C938="Dotación EMERGENCIA","DOTACION RES DE EMERGENCIA",IF(C938="EXTERNOS","DOTACION DE EXTERNO","DOTACION DISPONIBLE")))))))</f>
        <v/>
      </c>
    </row>
    <row r="939" spans="1:5" ht="18">
      <c r="A939" s="85"/>
      <c r="B939" s="104"/>
      <c r="C939" s="3"/>
      <c r="D939" s="78"/>
      <c r="E939" s="22" t="str">
        <f>IF(B939="","",IF(A939=0,"DOT PERDIDA",IF(COUNTIF(ASIGNACIONES!$B$4:$B948,B939)=1,"DOTACION ASIGNADA",IF(C939="VISITAS","DOTACION VISITA",IF(C939="MTTO","DOTACION MTTO",IF(C939="Dotación EMERGENCIA","DOTACION RES DE EMERGENCIA",IF(C939="EXTERNOS","DOTACION DE EXTERNO","DOTACION DISPONIBLE")))))))</f>
        <v/>
      </c>
    </row>
    <row r="940" spans="1:5" ht="18">
      <c r="A940" s="85"/>
      <c r="B940" s="104"/>
      <c r="C940" s="3"/>
      <c r="D940" s="78"/>
      <c r="E940" s="22" t="str">
        <f>IF(B940="","",IF(A940=0,"DOT PERDIDA",IF(COUNTIF(ASIGNACIONES!$B$4:$B948,B940)=1,"DOTACION ASIGNADA",IF(C940="VISITAS","DOTACION VISITA",IF(C940="MTTO","DOTACION MTTO",IF(C940="Dotación EMERGENCIA","DOTACION RES DE EMERGENCIA",IF(C940="EXTERNOS","DOTACION DE EXTERNO","DOTACION DISPONIBLE")))))))</f>
        <v/>
      </c>
    </row>
    <row r="941" spans="1:5" ht="18">
      <c r="A941" s="85"/>
      <c r="B941" s="104"/>
      <c r="C941" s="3"/>
      <c r="D941" s="78"/>
      <c r="E941" s="22" t="str">
        <f>IF(B941="","",IF(A941=0,"DOT PERDIDA",IF(COUNTIF(ASIGNACIONES!$B$4:$B948,B941)=1,"DOTACION ASIGNADA",IF(C941="VISITAS","DOTACION VISITA",IF(C941="MTTO","DOTACION MTTO",IF(C941="Dotación EMERGENCIA","DOTACION RES DE EMERGENCIA",IF(C941="EXTERNOS","DOTACION DE EXTERNO","DOTACION DISPONIBLE")))))))</f>
        <v/>
      </c>
    </row>
    <row r="942" spans="1:5" ht="18">
      <c r="A942" s="85"/>
      <c r="B942" s="104"/>
      <c r="C942" s="3"/>
      <c r="D942" s="78"/>
      <c r="E942" s="22" t="str">
        <f>IF(B942="","",IF(A942=0,"DOT PERDIDA",IF(COUNTIF(ASIGNACIONES!$B$4:$B948,B942)=1,"DOTACION ASIGNADA",IF(C942="VISITAS","DOTACION VISITA",IF(C942="MTTO","DOTACION MTTO",IF(C942="Dotación EMERGENCIA","DOTACION RES DE EMERGENCIA",IF(C942="EXTERNOS","DOTACION DE EXTERNO","DOTACION DISPONIBLE")))))))</f>
        <v/>
      </c>
    </row>
    <row r="943" spans="1:5" ht="18">
      <c r="A943" s="85"/>
      <c r="B943" s="104"/>
      <c r="C943" s="3"/>
      <c r="D943" s="78"/>
      <c r="E943" s="22" t="str">
        <f>IF(B943="","",IF(A943=0,"DOT PERDIDA",IF(COUNTIF(ASIGNACIONES!$B$4:$B948,B943)=1,"DOTACION ASIGNADA",IF(C943="VISITAS","DOTACION VISITA",IF(C943="MTTO","DOTACION MTTO",IF(C943="Dotación EMERGENCIA","DOTACION RES DE EMERGENCIA",IF(C943="EXTERNOS","DOTACION DE EXTERNO","DOTACION DISPONIBLE")))))))</f>
        <v/>
      </c>
    </row>
    <row r="944" spans="1:5" ht="18">
      <c r="A944" s="85"/>
      <c r="B944" s="104"/>
      <c r="C944" s="3"/>
      <c r="D944" s="78"/>
      <c r="E944" s="22" t="str">
        <f>IF(B944="","",IF(A944=0,"DOT PERDIDA",IF(COUNTIF(ASIGNACIONES!$B$4:$B948,B944)=1,"DOTACION ASIGNADA",IF(C944="VISITAS","DOTACION VISITA",IF(C944="MTTO","DOTACION MTTO",IF(C944="Dotación EMERGENCIA","DOTACION RES DE EMERGENCIA",IF(C944="EXTERNOS","DOTACION DE EXTERNO","DOTACION DISPONIBLE")))))))</f>
        <v/>
      </c>
    </row>
    <row r="945" spans="1:5" ht="18">
      <c r="A945" s="85"/>
      <c r="B945" s="104"/>
      <c r="C945" s="3"/>
      <c r="D945" s="78"/>
      <c r="E945" s="22" t="str">
        <f>IF(B945="","",IF(A945=0,"DOT PERDIDA",IF(COUNTIF(ASIGNACIONES!$B$4:$B948,B945)=1,"DOTACION ASIGNADA",IF(C945="VISITAS","DOTACION VISITA",IF(C945="MTTO","DOTACION MTTO",IF(C945="Dotación EMERGENCIA","DOTACION RES DE EMERGENCIA",IF(C945="EXTERNOS","DOTACION DE EXTERNO","DOTACION DISPONIBLE")))))))</f>
        <v/>
      </c>
    </row>
    <row r="946" spans="1:5" ht="18">
      <c r="A946" s="85"/>
      <c r="B946" s="104"/>
      <c r="C946" s="3"/>
      <c r="D946" s="78"/>
      <c r="E946" s="22" t="str">
        <f>IF(B946="","",IF(A946=0,"DOT PERDIDA",IF(COUNTIF(ASIGNACIONES!$B$4:$B948,B946)=1,"DOTACION ASIGNADA",IF(C946="VISITAS","DOTACION VISITA",IF(C946="MTTO","DOTACION MTTO",IF(C946="Dotación EMERGENCIA","DOTACION RES DE EMERGENCIA",IF(C946="EXTERNOS","DOTACION DE EXTERNO","DOTACION DISPONIBLE")))))))</f>
        <v/>
      </c>
    </row>
    <row r="947" spans="1:5" ht="18">
      <c r="A947" s="85"/>
      <c r="B947" s="104"/>
      <c r="C947" s="3"/>
      <c r="D947" s="78"/>
      <c r="E947" s="22" t="str">
        <f>IF(B947="","",IF(A947=0,"DOT PERDIDA",IF(COUNTIF(ASIGNACIONES!$B$4:$B948,B947)=1,"DOTACION ASIGNADA",IF(C947="VISITAS","DOTACION VISITA",IF(C947="MTTO","DOTACION MTTO",IF(C947="Dotación EMERGENCIA","DOTACION RES DE EMERGENCIA",IF(C947="EXTERNOS","DOTACION DE EXTERNO","DOTACION DISPONIBLE")))))))</f>
        <v/>
      </c>
    </row>
    <row r="948" spans="1:5" ht="18">
      <c r="A948" s="85"/>
      <c r="B948" s="104"/>
      <c r="C948" s="3"/>
      <c r="D948" s="78"/>
      <c r="E948" s="22" t="str">
        <f>IF(B948="","",IF(A948=0,"DOT PERDIDA",IF(COUNTIF(ASIGNACIONES!$B$4:$B948,B948)=1,"DOTACION ASIGNADA",IF(C948="VISITAS","DOTACION VISITA",IF(C948="MTTO","DOTACION MTTO",IF(C948="Dotación EMERGENCIA","DOTACION RES DE EMERGENCIA",IF(C948="EXTERNOS","DOTACION DE EXTERNO","DOTACION DISPONIBLE")))))))</f>
        <v/>
      </c>
    </row>
  </sheetData>
  <autoFilter ref="A1:E293" xr:uid="{00000000-0009-0000-0000-000006000000}"/>
  <conditionalFormatting sqref="A1:D1 E1:E948 A71">
    <cfRule type="containsText" dxfId="0" priority="1" operator="containsText" text="DISPONIBLE">
      <formula>NOT(ISERROR(SEARCH(("DISPONIBLE"),(A1))))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000"/>
  <sheetViews>
    <sheetView showGridLines="0" workbookViewId="0"/>
  </sheetViews>
  <sheetFormatPr baseColWidth="10" defaultColWidth="12.5703125" defaultRowHeight="15.75" customHeight="1"/>
  <cols>
    <col min="1" max="1" width="27.85546875" customWidth="1"/>
    <col min="2" max="2" width="10" customWidth="1"/>
    <col min="3" max="3" width="22.28515625" customWidth="1"/>
  </cols>
  <sheetData>
    <row r="1" spans="1:3">
      <c r="A1" s="89" t="s">
        <v>2267</v>
      </c>
      <c r="B1" s="89" t="s">
        <v>2268</v>
      </c>
      <c r="C1" s="89" t="s">
        <v>2269</v>
      </c>
    </row>
    <row r="2" spans="1:3" ht="15.75" customHeight="1">
      <c r="A2" s="5" t="str">
        <f ca="1">IFERROR(__xludf.DUMMYFUNCTION("FILTER(DOTACIONES!B:B,DOTACIONES!$E:$E=""DOTACION DISPONIBLE"")"),"010")</f>
        <v>010</v>
      </c>
      <c r="B2" s="82" t="str">
        <f ca="1">IFERROR(__xludf.DUMMYFUNCTION("FILTER(DOTACIONES!D:D,DOTACIONES!$E:$E=""DOTACION DISPONIBLE"")"),"M")</f>
        <v>M</v>
      </c>
      <c r="C2" s="90">
        <f ca="1">IFERROR(__xludf.DUMMYFUNCTION("FILTER(DOTACIONES!A:A,DOTACIONES!$E:$E=""DOTACION DISPONIBLE"")"),2)</f>
        <v>2</v>
      </c>
    </row>
    <row r="3" spans="1:3" ht="15.75" customHeight="1">
      <c r="A3" s="5" t="str">
        <f ca="1">IFERROR(__xludf.DUMMYFUNCTION("""COMPUTED_VALUE"""),"014")</f>
        <v>014</v>
      </c>
      <c r="B3" s="82" t="str">
        <f ca="1">IFERROR(__xludf.DUMMYFUNCTION("""COMPUTED_VALUE"""),"L")</f>
        <v>L</v>
      </c>
      <c r="C3" s="90">
        <f ca="1">IFERROR(__xludf.DUMMYFUNCTION("""COMPUTED_VALUE"""),3)</f>
        <v>3</v>
      </c>
    </row>
    <row r="4" spans="1:3" ht="15.75" customHeight="1">
      <c r="A4" s="5" t="str">
        <f ca="1">IFERROR(__xludf.DUMMYFUNCTION("""COMPUTED_VALUE"""),"026")</f>
        <v>026</v>
      </c>
      <c r="B4" s="82" t="str">
        <f ca="1">IFERROR(__xludf.DUMMYFUNCTION("""COMPUTED_VALUE"""),"L")</f>
        <v>L</v>
      </c>
      <c r="C4" s="90">
        <f ca="1">IFERROR(__xludf.DUMMYFUNCTION("""COMPUTED_VALUE"""),3)</f>
        <v>3</v>
      </c>
    </row>
    <row r="5" spans="1:3" ht="15.75" customHeight="1">
      <c r="A5" s="5" t="str">
        <f ca="1">IFERROR(__xludf.DUMMYFUNCTION("""COMPUTED_VALUE"""),"039")</f>
        <v>039</v>
      </c>
      <c r="B5" s="82" t="str">
        <f ca="1">IFERROR(__xludf.DUMMYFUNCTION("""COMPUTED_VALUE"""),"M")</f>
        <v>M</v>
      </c>
      <c r="C5" s="90">
        <f ca="1">IFERROR(__xludf.DUMMYFUNCTION("""COMPUTED_VALUE"""),3)</f>
        <v>3</v>
      </c>
    </row>
    <row r="6" spans="1:3" ht="15.75" customHeight="1">
      <c r="A6" s="5" t="str">
        <f ca="1">IFERROR(__xludf.DUMMYFUNCTION("""COMPUTED_VALUE"""),"040")</f>
        <v>040</v>
      </c>
      <c r="B6" s="82" t="str">
        <f ca="1">IFERROR(__xludf.DUMMYFUNCTION("""COMPUTED_VALUE"""),"XL")</f>
        <v>XL</v>
      </c>
      <c r="C6" s="90">
        <f ca="1">IFERROR(__xludf.DUMMYFUNCTION("""COMPUTED_VALUE"""),3)</f>
        <v>3</v>
      </c>
    </row>
    <row r="7" spans="1:3" ht="15.75" customHeight="1">
      <c r="A7" s="5" t="str">
        <f ca="1">IFERROR(__xludf.DUMMYFUNCTION("""COMPUTED_VALUE"""),"041")</f>
        <v>041</v>
      </c>
      <c r="B7" s="82" t="str">
        <f ca="1">IFERROR(__xludf.DUMMYFUNCTION("""COMPUTED_VALUE"""),"M")</f>
        <v>M</v>
      </c>
      <c r="C7" s="90">
        <f ca="1">IFERROR(__xludf.DUMMYFUNCTION("""COMPUTED_VALUE"""),3)</f>
        <v>3</v>
      </c>
    </row>
    <row r="8" spans="1:3" ht="15.75" customHeight="1">
      <c r="A8" s="5" t="str">
        <f ca="1">IFERROR(__xludf.DUMMYFUNCTION("""COMPUTED_VALUE"""),"043")</f>
        <v>043</v>
      </c>
      <c r="B8" s="82" t="str">
        <f ca="1">IFERROR(__xludf.DUMMYFUNCTION("""COMPUTED_VALUE"""),"L")</f>
        <v>L</v>
      </c>
      <c r="C8" s="90">
        <f ca="1">IFERROR(__xludf.DUMMYFUNCTION("""COMPUTED_VALUE"""),3)</f>
        <v>3</v>
      </c>
    </row>
    <row r="9" spans="1:3" ht="15.75" customHeight="1">
      <c r="A9" s="5" t="str">
        <f ca="1">IFERROR(__xludf.DUMMYFUNCTION("""COMPUTED_VALUE"""),"052")</f>
        <v>052</v>
      </c>
      <c r="B9" s="82" t="str">
        <f ca="1">IFERROR(__xludf.DUMMYFUNCTION("""COMPUTED_VALUE"""),"L")</f>
        <v>L</v>
      </c>
      <c r="C9" s="90">
        <f ca="1">IFERROR(__xludf.DUMMYFUNCTION("""COMPUTED_VALUE"""),3)</f>
        <v>3</v>
      </c>
    </row>
    <row r="10" spans="1:3" ht="15.75" customHeight="1">
      <c r="A10" s="5" t="str">
        <f ca="1">IFERROR(__xludf.DUMMYFUNCTION("""COMPUTED_VALUE"""),"063")</f>
        <v>063</v>
      </c>
      <c r="B10" s="82" t="str">
        <f ca="1">IFERROR(__xludf.DUMMYFUNCTION("""COMPUTED_VALUE"""),"M")</f>
        <v>M</v>
      </c>
      <c r="C10" s="90">
        <f ca="1">IFERROR(__xludf.DUMMYFUNCTION("""COMPUTED_VALUE"""),3)</f>
        <v>3</v>
      </c>
    </row>
    <row r="11" spans="1:3" ht="15.75" customHeight="1">
      <c r="A11" s="5" t="str">
        <f ca="1">IFERROR(__xludf.DUMMYFUNCTION("""COMPUTED_VALUE"""),"067")</f>
        <v>067</v>
      </c>
      <c r="B11" s="82" t="str">
        <f ca="1">IFERROR(__xludf.DUMMYFUNCTION("""COMPUTED_VALUE"""),"L")</f>
        <v>L</v>
      </c>
      <c r="C11" s="90">
        <f ca="1">IFERROR(__xludf.DUMMYFUNCTION("""COMPUTED_VALUE"""),3)</f>
        <v>3</v>
      </c>
    </row>
    <row r="12" spans="1:3" ht="15.75" customHeight="1">
      <c r="A12" s="5" t="str">
        <f ca="1">IFERROR(__xludf.DUMMYFUNCTION("""COMPUTED_VALUE"""),"069")</f>
        <v>069</v>
      </c>
      <c r="B12" s="82" t="str">
        <f ca="1">IFERROR(__xludf.DUMMYFUNCTION("""COMPUTED_VALUE"""),"M")</f>
        <v>M</v>
      </c>
      <c r="C12" s="90">
        <f ca="1">IFERROR(__xludf.DUMMYFUNCTION("""COMPUTED_VALUE"""),3)</f>
        <v>3</v>
      </c>
    </row>
    <row r="13" spans="1:3" ht="15.75" customHeight="1">
      <c r="A13" s="5" t="str">
        <f ca="1">IFERROR(__xludf.DUMMYFUNCTION("""COMPUTED_VALUE"""),"072")</f>
        <v>072</v>
      </c>
      <c r="B13" s="82" t="str">
        <f ca="1">IFERROR(__xludf.DUMMYFUNCTION("""COMPUTED_VALUE"""),"S")</f>
        <v>S</v>
      </c>
      <c r="C13" s="90">
        <f ca="1">IFERROR(__xludf.DUMMYFUNCTION("""COMPUTED_VALUE"""),3)</f>
        <v>3</v>
      </c>
    </row>
    <row r="14" spans="1:3" ht="15.75" customHeight="1">
      <c r="A14" s="5" t="str">
        <f ca="1">IFERROR(__xludf.DUMMYFUNCTION("""COMPUTED_VALUE"""),"074")</f>
        <v>074</v>
      </c>
      <c r="B14" s="82" t="str">
        <f ca="1">IFERROR(__xludf.DUMMYFUNCTION("""COMPUTED_VALUE"""),"M")</f>
        <v>M</v>
      </c>
      <c r="C14" s="90">
        <f ca="1">IFERROR(__xludf.DUMMYFUNCTION("""COMPUTED_VALUE"""),3)</f>
        <v>3</v>
      </c>
    </row>
    <row r="15" spans="1:3" ht="15.75" customHeight="1">
      <c r="A15" s="5" t="str">
        <f ca="1">IFERROR(__xludf.DUMMYFUNCTION("""COMPUTED_VALUE"""),"076")</f>
        <v>076</v>
      </c>
      <c r="B15" s="82" t="str">
        <f ca="1">IFERROR(__xludf.DUMMYFUNCTION("""COMPUTED_VALUE"""),"M")</f>
        <v>M</v>
      </c>
      <c r="C15" s="90">
        <f ca="1">IFERROR(__xludf.DUMMYFUNCTION("""COMPUTED_VALUE"""),3)</f>
        <v>3</v>
      </c>
    </row>
    <row r="16" spans="1:3" ht="15.75" customHeight="1">
      <c r="A16" s="5" t="str">
        <f ca="1">IFERROR(__xludf.DUMMYFUNCTION("""COMPUTED_VALUE"""),"077")</f>
        <v>077</v>
      </c>
      <c r="B16" s="82" t="str">
        <f ca="1">IFERROR(__xludf.DUMMYFUNCTION("""COMPUTED_VALUE"""),"M")</f>
        <v>M</v>
      </c>
      <c r="C16" s="90">
        <f ca="1">IFERROR(__xludf.DUMMYFUNCTION("""COMPUTED_VALUE"""),3)</f>
        <v>3</v>
      </c>
    </row>
    <row r="17" spans="1:3" ht="15.75" customHeight="1">
      <c r="A17" s="5" t="str">
        <f ca="1">IFERROR(__xludf.DUMMYFUNCTION("""COMPUTED_VALUE"""),"082")</f>
        <v>082</v>
      </c>
      <c r="B17" s="82" t="str">
        <f ca="1">IFERROR(__xludf.DUMMYFUNCTION("""COMPUTED_VALUE"""),"M")</f>
        <v>M</v>
      </c>
      <c r="C17" s="90">
        <f ca="1">IFERROR(__xludf.DUMMYFUNCTION("""COMPUTED_VALUE"""),3)</f>
        <v>3</v>
      </c>
    </row>
    <row r="18" spans="1:3" ht="15.75" customHeight="1">
      <c r="A18" s="5" t="str">
        <f ca="1">IFERROR(__xludf.DUMMYFUNCTION("""COMPUTED_VALUE"""),"084")</f>
        <v>084</v>
      </c>
      <c r="B18" s="82" t="str">
        <f ca="1">IFERROR(__xludf.DUMMYFUNCTION("""COMPUTED_VALUE"""),"L")</f>
        <v>L</v>
      </c>
      <c r="C18" s="90">
        <f ca="1">IFERROR(__xludf.DUMMYFUNCTION("""COMPUTED_VALUE"""),3)</f>
        <v>3</v>
      </c>
    </row>
    <row r="19" spans="1:3" ht="15.75" customHeight="1">
      <c r="A19" s="5" t="str">
        <f ca="1">IFERROR(__xludf.DUMMYFUNCTION("""COMPUTED_VALUE"""),"089")</f>
        <v>089</v>
      </c>
      <c r="B19" s="82" t="str">
        <f ca="1">IFERROR(__xludf.DUMMYFUNCTION("""COMPUTED_VALUE"""),"M")</f>
        <v>M</v>
      </c>
      <c r="C19" s="90">
        <f ca="1">IFERROR(__xludf.DUMMYFUNCTION("""COMPUTED_VALUE"""),3)</f>
        <v>3</v>
      </c>
    </row>
    <row r="20" spans="1:3" ht="15.75" customHeight="1">
      <c r="A20" s="5" t="str">
        <f ca="1">IFERROR(__xludf.DUMMYFUNCTION("""COMPUTED_VALUE"""),"095")</f>
        <v>095</v>
      </c>
      <c r="B20" s="82" t="str">
        <f ca="1">IFERROR(__xludf.DUMMYFUNCTION("""COMPUTED_VALUE"""),"L")</f>
        <v>L</v>
      </c>
      <c r="C20" s="90">
        <f ca="1">IFERROR(__xludf.DUMMYFUNCTION("""COMPUTED_VALUE"""),3)</f>
        <v>3</v>
      </c>
    </row>
    <row r="21" spans="1:3" ht="15.75" customHeight="1">
      <c r="A21" s="5" t="str">
        <f ca="1">IFERROR(__xludf.DUMMYFUNCTION("""COMPUTED_VALUE"""),"099")</f>
        <v>099</v>
      </c>
      <c r="B21" s="82" t="str">
        <f ca="1">IFERROR(__xludf.DUMMYFUNCTION("""COMPUTED_VALUE"""),"XL")</f>
        <v>XL</v>
      </c>
      <c r="C21" s="90">
        <f ca="1">IFERROR(__xludf.DUMMYFUNCTION("""COMPUTED_VALUE"""),3)</f>
        <v>3</v>
      </c>
    </row>
    <row r="22" spans="1:3" ht="23.25">
      <c r="A22" s="5" t="str">
        <f ca="1">IFERROR(__xludf.DUMMYFUNCTION("""COMPUTED_VALUE"""),"103")</f>
        <v>103</v>
      </c>
      <c r="B22" s="82" t="str">
        <f ca="1">IFERROR(__xludf.DUMMYFUNCTION("""COMPUTED_VALUE"""),"L")</f>
        <v>L</v>
      </c>
      <c r="C22" s="90">
        <f ca="1">IFERROR(__xludf.DUMMYFUNCTION("""COMPUTED_VALUE"""),3)</f>
        <v>3</v>
      </c>
    </row>
    <row r="23" spans="1:3" ht="23.25">
      <c r="A23" s="5" t="str">
        <f ca="1">IFERROR(__xludf.DUMMYFUNCTION("""COMPUTED_VALUE"""),"106")</f>
        <v>106</v>
      </c>
      <c r="B23" s="3" t="str">
        <f ca="1">IFERROR(__xludf.DUMMYFUNCTION("""COMPUTED_VALUE"""),"L")</f>
        <v>L</v>
      </c>
      <c r="C23" s="92">
        <f ca="1">IFERROR(__xludf.DUMMYFUNCTION("""COMPUTED_VALUE"""),3)</f>
        <v>3</v>
      </c>
    </row>
    <row r="24" spans="1:3" ht="23.25">
      <c r="A24" s="5" t="str">
        <f ca="1">IFERROR(__xludf.DUMMYFUNCTION("""COMPUTED_VALUE"""),"108")</f>
        <v>108</v>
      </c>
      <c r="B24" s="3" t="str">
        <f ca="1">IFERROR(__xludf.DUMMYFUNCTION("""COMPUTED_VALUE"""),"M")</f>
        <v>M</v>
      </c>
      <c r="C24" s="92">
        <f ca="1">IFERROR(__xludf.DUMMYFUNCTION("""COMPUTED_VALUE"""),3)</f>
        <v>3</v>
      </c>
    </row>
    <row r="25" spans="1:3" ht="23.25">
      <c r="A25" s="5" t="str">
        <f ca="1">IFERROR(__xludf.DUMMYFUNCTION("""COMPUTED_VALUE"""),"114")</f>
        <v>114</v>
      </c>
      <c r="B25" s="3" t="str">
        <f ca="1">IFERROR(__xludf.DUMMYFUNCTION("""COMPUTED_VALUE"""),"L")</f>
        <v>L</v>
      </c>
      <c r="C25" s="92">
        <f ca="1">IFERROR(__xludf.DUMMYFUNCTION("""COMPUTED_VALUE"""),3)</f>
        <v>3</v>
      </c>
    </row>
    <row r="26" spans="1:3" ht="23.25">
      <c r="A26" s="5" t="str">
        <f ca="1">IFERROR(__xludf.DUMMYFUNCTION("""COMPUTED_VALUE"""),"121")</f>
        <v>121</v>
      </c>
      <c r="B26" s="3" t="str">
        <f ca="1">IFERROR(__xludf.DUMMYFUNCTION("""COMPUTED_VALUE"""),"XXL")</f>
        <v>XXL</v>
      </c>
      <c r="C26" s="92">
        <f ca="1">IFERROR(__xludf.DUMMYFUNCTION("""COMPUTED_VALUE"""),3)</f>
        <v>3</v>
      </c>
    </row>
    <row r="27" spans="1:3" ht="23.25">
      <c r="A27" s="5" t="str">
        <f ca="1">IFERROR(__xludf.DUMMYFUNCTION("""COMPUTED_VALUE"""),"123")</f>
        <v>123</v>
      </c>
      <c r="B27" s="3" t="str">
        <f ca="1">IFERROR(__xludf.DUMMYFUNCTION("""COMPUTED_VALUE"""),"XL")</f>
        <v>XL</v>
      </c>
      <c r="C27" s="92">
        <f ca="1">IFERROR(__xludf.DUMMYFUNCTION("""COMPUTED_VALUE"""),3)</f>
        <v>3</v>
      </c>
    </row>
    <row r="28" spans="1:3" ht="23.25">
      <c r="A28" s="5" t="str">
        <f ca="1">IFERROR(__xludf.DUMMYFUNCTION("""COMPUTED_VALUE"""),"124")</f>
        <v>124</v>
      </c>
      <c r="B28" s="3" t="str">
        <f ca="1">IFERROR(__xludf.DUMMYFUNCTION("""COMPUTED_VALUE"""),"L")</f>
        <v>L</v>
      </c>
      <c r="C28" s="92">
        <f ca="1">IFERROR(__xludf.DUMMYFUNCTION("""COMPUTED_VALUE"""),3)</f>
        <v>3</v>
      </c>
    </row>
    <row r="29" spans="1:3" ht="23.25">
      <c r="A29" s="5" t="str">
        <f ca="1">IFERROR(__xludf.DUMMYFUNCTION("""COMPUTED_VALUE"""),"136")</f>
        <v>136</v>
      </c>
      <c r="B29" s="3" t="str">
        <f ca="1">IFERROR(__xludf.DUMMYFUNCTION("""COMPUTED_VALUE"""),"L")</f>
        <v>L</v>
      </c>
      <c r="C29" s="92">
        <f ca="1">IFERROR(__xludf.DUMMYFUNCTION("""COMPUTED_VALUE"""),3)</f>
        <v>3</v>
      </c>
    </row>
    <row r="30" spans="1:3" ht="23.25">
      <c r="A30" s="5" t="str">
        <f ca="1">IFERROR(__xludf.DUMMYFUNCTION("""COMPUTED_VALUE"""),"137")</f>
        <v>137</v>
      </c>
      <c r="B30" s="3" t="str">
        <f ca="1">IFERROR(__xludf.DUMMYFUNCTION("""COMPUTED_VALUE"""),"L")</f>
        <v>L</v>
      </c>
      <c r="C30" s="92">
        <f ca="1">IFERROR(__xludf.DUMMYFUNCTION("""COMPUTED_VALUE"""),3)</f>
        <v>3</v>
      </c>
    </row>
    <row r="31" spans="1:3" ht="23.25">
      <c r="A31" s="5" t="str">
        <f ca="1">IFERROR(__xludf.DUMMYFUNCTION("""COMPUTED_VALUE"""),"145")</f>
        <v>145</v>
      </c>
      <c r="B31" s="3" t="str">
        <f ca="1">IFERROR(__xludf.DUMMYFUNCTION("""COMPUTED_VALUE"""),"M")</f>
        <v>M</v>
      </c>
      <c r="C31" s="92">
        <f ca="1">IFERROR(__xludf.DUMMYFUNCTION("""COMPUTED_VALUE"""),3)</f>
        <v>3</v>
      </c>
    </row>
    <row r="32" spans="1:3" ht="23.25">
      <c r="A32" s="5" t="str">
        <f ca="1">IFERROR(__xludf.DUMMYFUNCTION("""COMPUTED_VALUE"""),"154")</f>
        <v>154</v>
      </c>
      <c r="B32" s="3" t="str">
        <f ca="1">IFERROR(__xludf.DUMMYFUNCTION("""COMPUTED_VALUE"""),"XXXL")</f>
        <v>XXXL</v>
      </c>
      <c r="C32" s="92">
        <f ca="1">IFERROR(__xludf.DUMMYFUNCTION("""COMPUTED_VALUE"""),3)</f>
        <v>3</v>
      </c>
    </row>
    <row r="33" spans="1:3" ht="23.25">
      <c r="A33" s="5" t="str">
        <f ca="1">IFERROR(__xludf.DUMMYFUNCTION("""COMPUTED_VALUE"""),"164")</f>
        <v>164</v>
      </c>
      <c r="B33" s="3" t="str">
        <f ca="1">IFERROR(__xludf.DUMMYFUNCTION("""COMPUTED_VALUE"""),"M")</f>
        <v>M</v>
      </c>
      <c r="C33" s="92">
        <f ca="1">IFERROR(__xludf.DUMMYFUNCTION("""COMPUTED_VALUE"""),3)</f>
        <v>3</v>
      </c>
    </row>
    <row r="34" spans="1:3" ht="23.25">
      <c r="A34" s="5" t="str">
        <f ca="1">IFERROR(__xludf.DUMMYFUNCTION("""COMPUTED_VALUE"""),"166")</f>
        <v>166</v>
      </c>
      <c r="B34" s="3" t="str">
        <f ca="1">IFERROR(__xludf.DUMMYFUNCTION("""COMPUTED_VALUE"""),"M")</f>
        <v>M</v>
      </c>
      <c r="C34" s="92">
        <f ca="1">IFERROR(__xludf.DUMMYFUNCTION("""COMPUTED_VALUE"""),2)</f>
        <v>2</v>
      </c>
    </row>
    <row r="35" spans="1:3" ht="23.25">
      <c r="A35" s="5" t="str">
        <f ca="1">IFERROR(__xludf.DUMMYFUNCTION("""COMPUTED_VALUE"""),"174")</f>
        <v>174</v>
      </c>
      <c r="B35" s="3" t="str">
        <f ca="1">IFERROR(__xludf.DUMMYFUNCTION("""COMPUTED_VALUE"""),"M")</f>
        <v>M</v>
      </c>
      <c r="C35" s="92">
        <f ca="1">IFERROR(__xludf.DUMMYFUNCTION("""COMPUTED_VALUE"""),3)</f>
        <v>3</v>
      </c>
    </row>
    <row r="36" spans="1:3" ht="23.25">
      <c r="A36" s="5" t="str">
        <f ca="1">IFERROR(__xludf.DUMMYFUNCTION("""COMPUTED_VALUE"""),"175")</f>
        <v>175</v>
      </c>
      <c r="B36" s="3" t="str">
        <f ca="1">IFERROR(__xludf.DUMMYFUNCTION("""COMPUTED_VALUE"""),"M")</f>
        <v>M</v>
      </c>
      <c r="C36" s="92">
        <f ca="1">IFERROR(__xludf.DUMMYFUNCTION("""COMPUTED_VALUE"""),2)</f>
        <v>2</v>
      </c>
    </row>
    <row r="37" spans="1:3" ht="23.25">
      <c r="A37" s="5" t="str">
        <f ca="1">IFERROR(__xludf.DUMMYFUNCTION("""COMPUTED_VALUE"""),"176")</f>
        <v>176</v>
      </c>
      <c r="B37" s="3" t="str">
        <f ca="1">IFERROR(__xludf.DUMMYFUNCTION("""COMPUTED_VALUE"""),"L")</f>
        <v>L</v>
      </c>
      <c r="C37" s="92">
        <f ca="1">IFERROR(__xludf.DUMMYFUNCTION("""COMPUTED_VALUE"""),3)</f>
        <v>3</v>
      </c>
    </row>
    <row r="38" spans="1:3" ht="23.25">
      <c r="A38" s="5" t="str">
        <f ca="1">IFERROR(__xludf.DUMMYFUNCTION("""COMPUTED_VALUE"""),"177")</f>
        <v>177</v>
      </c>
      <c r="B38" s="3" t="str">
        <f ca="1">IFERROR(__xludf.DUMMYFUNCTION("""COMPUTED_VALUE"""),"M")</f>
        <v>M</v>
      </c>
      <c r="C38" s="92">
        <f ca="1">IFERROR(__xludf.DUMMYFUNCTION("""COMPUTED_VALUE"""),2)</f>
        <v>2</v>
      </c>
    </row>
    <row r="39" spans="1:3" ht="23.25">
      <c r="A39" s="5" t="str">
        <f ca="1">IFERROR(__xludf.DUMMYFUNCTION("""COMPUTED_VALUE"""),"178")</f>
        <v>178</v>
      </c>
      <c r="B39" s="3" t="str">
        <f ca="1">IFERROR(__xludf.DUMMYFUNCTION("""COMPUTED_VALUE"""),"L")</f>
        <v>L</v>
      </c>
      <c r="C39" s="92">
        <f ca="1">IFERROR(__xludf.DUMMYFUNCTION("""COMPUTED_VALUE"""),3)</f>
        <v>3</v>
      </c>
    </row>
    <row r="40" spans="1:3" ht="23.25">
      <c r="A40" s="5" t="str">
        <f ca="1">IFERROR(__xludf.DUMMYFUNCTION("""COMPUTED_VALUE"""),"181")</f>
        <v>181</v>
      </c>
      <c r="B40" s="3" t="str">
        <f ca="1">IFERROR(__xludf.DUMMYFUNCTION("""COMPUTED_VALUE"""),"L")</f>
        <v>L</v>
      </c>
      <c r="C40" s="92">
        <f ca="1">IFERROR(__xludf.DUMMYFUNCTION("""COMPUTED_VALUE"""),3)</f>
        <v>3</v>
      </c>
    </row>
    <row r="41" spans="1:3" ht="23.25">
      <c r="A41" s="5" t="str">
        <f ca="1">IFERROR(__xludf.DUMMYFUNCTION("""COMPUTED_VALUE"""),"182")</f>
        <v>182</v>
      </c>
      <c r="B41" s="3" t="str">
        <f ca="1">IFERROR(__xludf.DUMMYFUNCTION("""COMPUTED_VALUE"""),"L")</f>
        <v>L</v>
      </c>
      <c r="C41" s="92">
        <f ca="1">IFERROR(__xludf.DUMMYFUNCTION("""COMPUTED_VALUE"""),3)</f>
        <v>3</v>
      </c>
    </row>
    <row r="42" spans="1:3" ht="23.25">
      <c r="A42" s="5" t="str">
        <f ca="1">IFERROR(__xludf.DUMMYFUNCTION("""COMPUTED_VALUE"""),"183")</f>
        <v>183</v>
      </c>
      <c r="B42" s="3" t="str">
        <f ca="1">IFERROR(__xludf.DUMMYFUNCTION("""COMPUTED_VALUE"""),"L")</f>
        <v>L</v>
      </c>
      <c r="C42" s="92">
        <f ca="1">IFERROR(__xludf.DUMMYFUNCTION("""COMPUTED_VALUE"""),3)</f>
        <v>3</v>
      </c>
    </row>
    <row r="43" spans="1:3" ht="23.25">
      <c r="A43" s="5" t="str">
        <f ca="1">IFERROR(__xludf.DUMMYFUNCTION("""COMPUTED_VALUE"""),"185")</f>
        <v>185</v>
      </c>
      <c r="B43" s="3" t="str">
        <f ca="1">IFERROR(__xludf.DUMMYFUNCTION("""COMPUTED_VALUE"""),"L")</f>
        <v>L</v>
      </c>
      <c r="C43" s="92">
        <f ca="1">IFERROR(__xludf.DUMMYFUNCTION("""COMPUTED_VALUE"""),3)</f>
        <v>3</v>
      </c>
    </row>
    <row r="44" spans="1:3" ht="23.25">
      <c r="A44" s="5" t="str">
        <f ca="1">IFERROR(__xludf.DUMMYFUNCTION("""COMPUTED_VALUE"""),"186")</f>
        <v>186</v>
      </c>
      <c r="B44" s="3" t="str">
        <f ca="1">IFERROR(__xludf.DUMMYFUNCTION("""COMPUTED_VALUE"""),"M")</f>
        <v>M</v>
      </c>
      <c r="C44" s="92">
        <f ca="1">IFERROR(__xludf.DUMMYFUNCTION("""COMPUTED_VALUE"""),2)</f>
        <v>2</v>
      </c>
    </row>
    <row r="45" spans="1:3" ht="23.25">
      <c r="A45" s="5" t="str">
        <f ca="1">IFERROR(__xludf.DUMMYFUNCTION("""COMPUTED_VALUE"""),"190")</f>
        <v>190</v>
      </c>
      <c r="B45" s="3" t="str">
        <f ca="1">IFERROR(__xludf.DUMMYFUNCTION("""COMPUTED_VALUE"""),"L")</f>
        <v>L</v>
      </c>
      <c r="C45" s="92">
        <f ca="1">IFERROR(__xludf.DUMMYFUNCTION("""COMPUTED_VALUE"""),3)</f>
        <v>3</v>
      </c>
    </row>
    <row r="46" spans="1:3" ht="23.25">
      <c r="A46" s="5" t="str">
        <f ca="1">IFERROR(__xludf.DUMMYFUNCTION("""COMPUTED_VALUE"""),"191")</f>
        <v>191</v>
      </c>
      <c r="B46" s="3" t="str">
        <f ca="1">IFERROR(__xludf.DUMMYFUNCTION("""COMPUTED_VALUE"""),"L")</f>
        <v>L</v>
      </c>
      <c r="C46" s="92">
        <f ca="1">IFERROR(__xludf.DUMMYFUNCTION("""COMPUTED_VALUE"""),3)</f>
        <v>3</v>
      </c>
    </row>
    <row r="47" spans="1:3" ht="23.25">
      <c r="A47" s="5" t="str">
        <f ca="1">IFERROR(__xludf.DUMMYFUNCTION("""COMPUTED_VALUE"""),"195")</f>
        <v>195</v>
      </c>
      <c r="B47" s="3" t="str">
        <f ca="1">IFERROR(__xludf.DUMMYFUNCTION("""COMPUTED_VALUE"""),"M")</f>
        <v>M</v>
      </c>
      <c r="C47" s="92">
        <f ca="1">IFERROR(__xludf.DUMMYFUNCTION("""COMPUTED_VALUE"""),2)</f>
        <v>2</v>
      </c>
    </row>
    <row r="48" spans="1:3" ht="23.25">
      <c r="A48" s="5" t="str">
        <f ca="1">IFERROR(__xludf.DUMMYFUNCTION("""COMPUTED_VALUE"""),"197")</f>
        <v>197</v>
      </c>
      <c r="B48" s="3" t="str">
        <f ca="1">IFERROR(__xludf.DUMMYFUNCTION("""COMPUTED_VALUE"""),"L")</f>
        <v>L</v>
      </c>
      <c r="C48" s="92">
        <f ca="1">IFERROR(__xludf.DUMMYFUNCTION("""COMPUTED_VALUE"""),3)</f>
        <v>3</v>
      </c>
    </row>
    <row r="49" spans="1:3" ht="23.25">
      <c r="A49" s="5" t="str">
        <f ca="1">IFERROR(__xludf.DUMMYFUNCTION("""COMPUTED_VALUE"""),"203")</f>
        <v>203</v>
      </c>
      <c r="B49" s="3" t="str">
        <f ca="1">IFERROR(__xludf.DUMMYFUNCTION("""COMPUTED_VALUE"""),"M")</f>
        <v>M</v>
      </c>
      <c r="C49" s="92">
        <f ca="1">IFERROR(__xludf.DUMMYFUNCTION("""COMPUTED_VALUE"""),2)</f>
        <v>2</v>
      </c>
    </row>
    <row r="50" spans="1:3" ht="23.25">
      <c r="A50" s="5" t="str">
        <f ca="1">IFERROR(__xludf.DUMMYFUNCTION("""COMPUTED_VALUE"""),"210")</f>
        <v>210</v>
      </c>
      <c r="B50" s="3" t="str">
        <f ca="1">IFERROR(__xludf.DUMMYFUNCTION("""COMPUTED_VALUE"""),"M")</f>
        <v>M</v>
      </c>
      <c r="C50" s="92">
        <f ca="1">IFERROR(__xludf.DUMMYFUNCTION("""COMPUTED_VALUE"""),3)</f>
        <v>3</v>
      </c>
    </row>
    <row r="51" spans="1:3" ht="23.25">
      <c r="A51" s="5" t="str">
        <f ca="1">IFERROR(__xludf.DUMMYFUNCTION("""COMPUTED_VALUE"""),"215")</f>
        <v>215</v>
      </c>
      <c r="B51" s="3" t="str">
        <f ca="1">IFERROR(__xludf.DUMMYFUNCTION("""COMPUTED_VALUE"""),"L")</f>
        <v>L</v>
      </c>
      <c r="C51" s="92">
        <f ca="1">IFERROR(__xludf.DUMMYFUNCTION("""COMPUTED_VALUE"""),3)</f>
        <v>3</v>
      </c>
    </row>
    <row r="52" spans="1:3" ht="23.25">
      <c r="A52" s="5" t="str">
        <f ca="1">IFERROR(__xludf.DUMMYFUNCTION("""COMPUTED_VALUE"""),"216")</f>
        <v>216</v>
      </c>
      <c r="B52" s="3" t="str">
        <f ca="1">IFERROR(__xludf.DUMMYFUNCTION("""COMPUTED_VALUE"""),"M")</f>
        <v>M</v>
      </c>
      <c r="C52" s="92">
        <f ca="1">IFERROR(__xludf.DUMMYFUNCTION("""COMPUTED_VALUE"""),3)</f>
        <v>3</v>
      </c>
    </row>
    <row r="53" spans="1:3" ht="23.25">
      <c r="A53" s="5" t="str">
        <f ca="1">IFERROR(__xludf.DUMMYFUNCTION("""COMPUTED_VALUE"""),"227")</f>
        <v>227</v>
      </c>
      <c r="B53" s="3" t="str">
        <f ca="1">IFERROR(__xludf.DUMMYFUNCTION("""COMPUTED_VALUE"""),"S")</f>
        <v>S</v>
      </c>
      <c r="C53" s="92">
        <f ca="1">IFERROR(__xludf.DUMMYFUNCTION("""COMPUTED_VALUE"""),3)</f>
        <v>3</v>
      </c>
    </row>
    <row r="54" spans="1:3" ht="23.25">
      <c r="A54" s="5" t="str">
        <f ca="1">IFERROR(__xludf.DUMMYFUNCTION("""COMPUTED_VALUE"""),"234")</f>
        <v>234</v>
      </c>
      <c r="B54" s="3" t="str">
        <f ca="1">IFERROR(__xludf.DUMMYFUNCTION("""COMPUTED_VALUE"""),"L")</f>
        <v>L</v>
      </c>
      <c r="C54" s="92">
        <f ca="1">IFERROR(__xludf.DUMMYFUNCTION("""COMPUTED_VALUE"""),3)</f>
        <v>3</v>
      </c>
    </row>
    <row r="55" spans="1:3" ht="23.25">
      <c r="A55" s="5" t="str">
        <f ca="1">IFERROR(__xludf.DUMMYFUNCTION("""COMPUTED_VALUE"""),"235")</f>
        <v>235</v>
      </c>
      <c r="B55" s="3" t="str">
        <f ca="1">IFERROR(__xludf.DUMMYFUNCTION("""COMPUTED_VALUE"""),"L")</f>
        <v>L</v>
      </c>
      <c r="C55" s="92">
        <f ca="1">IFERROR(__xludf.DUMMYFUNCTION("""COMPUTED_VALUE"""),3)</f>
        <v>3</v>
      </c>
    </row>
    <row r="56" spans="1:3" ht="23.25">
      <c r="A56" s="5" t="str">
        <f ca="1">IFERROR(__xludf.DUMMYFUNCTION("""COMPUTED_VALUE"""),"236")</f>
        <v>236</v>
      </c>
      <c r="B56" s="3" t="str">
        <f ca="1">IFERROR(__xludf.DUMMYFUNCTION("""COMPUTED_VALUE"""),"L")</f>
        <v>L</v>
      </c>
      <c r="C56" s="92">
        <f ca="1">IFERROR(__xludf.DUMMYFUNCTION("""COMPUTED_VALUE"""),3)</f>
        <v>3</v>
      </c>
    </row>
    <row r="57" spans="1:3" ht="23.25">
      <c r="A57" s="5" t="str">
        <f ca="1">IFERROR(__xludf.DUMMYFUNCTION("""COMPUTED_VALUE"""),"238")</f>
        <v>238</v>
      </c>
      <c r="B57" s="3" t="str">
        <f ca="1">IFERROR(__xludf.DUMMYFUNCTION("""COMPUTED_VALUE"""),"XXL")</f>
        <v>XXL</v>
      </c>
      <c r="C57" s="92">
        <f ca="1">IFERROR(__xludf.DUMMYFUNCTION("""COMPUTED_VALUE"""),2)</f>
        <v>2</v>
      </c>
    </row>
    <row r="58" spans="1:3" ht="23.25">
      <c r="A58" s="5" t="str">
        <f ca="1">IFERROR(__xludf.DUMMYFUNCTION("""COMPUTED_VALUE"""),"245")</f>
        <v>245</v>
      </c>
      <c r="B58" s="3" t="str">
        <f ca="1">IFERROR(__xludf.DUMMYFUNCTION("""COMPUTED_VALUE"""),"L")</f>
        <v>L</v>
      </c>
      <c r="C58" s="92">
        <f ca="1">IFERROR(__xludf.DUMMYFUNCTION("""COMPUTED_VALUE"""),3)</f>
        <v>3</v>
      </c>
    </row>
    <row r="59" spans="1:3" ht="23.25">
      <c r="A59" s="5" t="str">
        <f ca="1">IFERROR(__xludf.DUMMYFUNCTION("""COMPUTED_VALUE"""),"247")</f>
        <v>247</v>
      </c>
      <c r="B59" s="3" t="str">
        <f ca="1">IFERROR(__xludf.DUMMYFUNCTION("""COMPUTED_VALUE"""),"S")</f>
        <v>S</v>
      </c>
      <c r="C59" s="92">
        <f ca="1">IFERROR(__xludf.DUMMYFUNCTION("""COMPUTED_VALUE"""),2)</f>
        <v>2</v>
      </c>
    </row>
    <row r="60" spans="1:3" ht="23.25">
      <c r="A60" s="5" t="str">
        <f ca="1">IFERROR(__xludf.DUMMYFUNCTION("""COMPUTED_VALUE"""),"251")</f>
        <v>251</v>
      </c>
      <c r="B60" s="3" t="str">
        <f ca="1">IFERROR(__xludf.DUMMYFUNCTION("""COMPUTED_VALUE"""),"L")</f>
        <v>L</v>
      </c>
      <c r="C60" s="92">
        <f ca="1">IFERROR(__xludf.DUMMYFUNCTION("""COMPUTED_VALUE"""),3)</f>
        <v>3</v>
      </c>
    </row>
    <row r="61" spans="1:3" ht="23.25">
      <c r="A61" s="5" t="str">
        <f ca="1">IFERROR(__xludf.DUMMYFUNCTION("""COMPUTED_VALUE"""),"257")</f>
        <v>257</v>
      </c>
      <c r="B61" s="3" t="str">
        <f ca="1">IFERROR(__xludf.DUMMYFUNCTION("""COMPUTED_VALUE"""),"XXL")</f>
        <v>XXL</v>
      </c>
      <c r="C61" s="92">
        <f ca="1">IFERROR(__xludf.DUMMYFUNCTION("""COMPUTED_VALUE"""),2)</f>
        <v>2</v>
      </c>
    </row>
    <row r="62" spans="1:3" ht="23.25">
      <c r="A62" s="5" t="str">
        <f ca="1">IFERROR(__xludf.DUMMYFUNCTION("""COMPUTED_VALUE"""),"259")</f>
        <v>259</v>
      </c>
      <c r="B62" s="3" t="str">
        <f ca="1">IFERROR(__xludf.DUMMYFUNCTION("""COMPUTED_VALUE"""),"XS")</f>
        <v>XS</v>
      </c>
      <c r="C62" s="92">
        <f ca="1">IFERROR(__xludf.DUMMYFUNCTION("""COMPUTED_VALUE"""),3)</f>
        <v>3</v>
      </c>
    </row>
    <row r="63" spans="1:3" ht="23.25">
      <c r="A63" s="5" t="str">
        <f ca="1">IFERROR(__xludf.DUMMYFUNCTION("""COMPUTED_VALUE"""),"263")</f>
        <v>263</v>
      </c>
      <c r="B63" s="3" t="str">
        <f ca="1">IFERROR(__xludf.DUMMYFUNCTION("""COMPUTED_VALUE"""),"L")</f>
        <v>L</v>
      </c>
      <c r="C63" s="92">
        <f ca="1">IFERROR(__xludf.DUMMYFUNCTION("""COMPUTED_VALUE"""),3)</f>
        <v>3</v>
      </c>
    </row>
    <row r="64" spans="1:3" ht="23.25">
      <c r="A64" s="5" t="str">
        <f ca="1">IFERROR(__xludf.DUMMYFUNCTION("""COMPUTED_VALUE"""),"P003")</f>
        <v>P003</v>
      </c>
      <c r="B64" s="3" t="str">
        <f ca="1">IFERROR(__xludf.DUMMYFUNCTION("""COMPUTED_VALUE"""),"L")</f>
        <v>L</v>
      </c>
      <c r="C64" s="92">
        <f ca="1">IFERROR(__xludf.DUMMYFUNCTION("""COMPUTED_VALUE"""),3)</f>
        <v>3</v>
      </c>
    </row>
    <row r="65" spans="1:3" ht="23.25">
      <c r="A65" s="5" t="str">
        <f ca="1">IFERROR(__xludf.DUMMYFUNCTION("""COMPUTED_VALUE"""),"P003")</f>
        <v>P003</v>
      </c>
      <c r="B65" s="3" t="str">
        <f ca="1">IFERROR(__xludf.DUMMYFUNCTION("""COMPUTED_VALUE"""),"XL")</f>
        <v>XL</v>
      </c>
      <c r="C65" s="92">
        <f ca="1">IFERROR(__xludf.DUMMYFUNCTION("""COMPUTED_VALUE"""),3)</f>
        <v>3</v>
      </c>
    </row>
    <row r="66" spans="1:3" ht="23.25">
      <c r="A66" s="5" t="str">
        <f ca="1">IFERROR(__xludf.DUMMYFUNCTION("""COMPUTED_VALUE"""),"S004")</f>
        <v>S004</v>
      </c>
      <c r="B66" s="3" t="str">
        <f ca="1">IFERROR(__xludf.DUMMYFUNCTION("""COMPUTED_VALUE"""),"M")</f>
        <v>M</v>
      </c>
      <c r="C66" s="92">
        <f ca="1">IFERROR(__xludf.DUMMYFUNCTION("""COMPUTED_VALUE"""),3)</f>
        <v>3</v>
      </c>
    </row>
    <row r="67" spans="1:3" ht="23.25">
      <c r="A67" s="5" t="str">
        <f ca="1">IFERROR(__xludf.DUMMYFUNCTION("""COMPUTED_VALUE"""),"S005")</f>
        <v>S005</v>
      </c>
      <c r="B67" s="3" t="str">
        <f ca="1">IFERROR(__xludf.DUMMYFUNCTION("""COMPUTED_VALUE"""),"XL")</f>
        <v>XL</v>
      </c>
      <c r="C67" s="92">
        <f ca="1">IFERROR(__xludf.DUMMYFUNCTION("""COMPUTED_VALUE"""),3)</f>
        <v>3</v>
      </c>
    </row>
    <row r="68" spans="1:3" ht="23.25">
      <c r="A68" s="5" t="str">
        <f ca="1">IFERROR(__xludf.DUMMYFUNCTION("""COMPUTED_VALUE"""),"P004")</f>
        <v>P004</v>
      </c>
      <c r="B68" s="3" t="str">
        <f ca="1">IFERROR(__xludf.DUMMYFUNCTION("""COMPUTED_VALUE"""),"M")</f>
        <v>M</v>
      </c>
      <c r="C68" s="92">
        <f ca="1">IFERROR(__xludf.DUMMYFUNCTION("""COMPUTED_VALUE"""),3)</f>
        <v>3</v>
      </c>
    </row>
    <row r="69" spans="1:3" ht="23.25">
      <c r="A69" s="5" t="str">
        <f ca="1">IFERROR(__xludf.DUMMYFUNCTION("""COMPUTED_VALUE"""),"S006")</f>
        <v>S006</v>
      </c>
      <c r="B69" s="3" t="str">
        <f ca="1">IFERROR(__xludf.DUMMYFUNCTION("""COMPUTED_VALUE"""),"L")</f>
        <v>L</v>
      </c>
      <c r="C69" s="92">
        <f ca="1">IFERROR(__xludf.DUMMYFUNCTION("""COMPUTED_VALUE"""),3)</f>
        <v>3</v>
      </c>
    </row>
    <row r="70" spans="1:3" ht="23.25">
      <c r="A70" s="5"/>
      <c r="B70" s="3"/>
      <c r="C70" s="3"/>
    </row>
    <row r="71" spans="1:3" ht="23.25">
      <c r="A71" s="5"/>
      <c r="B71" s="3"/>
      <c r="C71" s="3"/>
    </row>
    <row r="72" spans="1:3" ht="23.25">
      <c r="A72" s="5"/>
      <c r="B72" s="3"/>
      <c r="C72" s="3"/>
    </row>
    <row r="73" spans="1:3" ht="23.25">
      <c r="A73" s="5"/>
      <c r="B73" s="3"/>
      <c r="C73" s="3"/>
    </row>
    <row r="74" spans="1:3" ht="23.25">
      <c r="A74" s="5"/>
      <c r="B74" s="3"/>
      <c r="C74" s="3"/>
    </row>
    <row r="75" spans="1:3" ht="23.25">
      <c r="A75" s="5"/>
      <c r="B75" s="3"/>
      <c r="C75" s="3"/>
    </row>
    <row r="76" spans="1:3" ht="23.25">
      <c r="A76" s="5"/>
      <c r="B76" s="3"/>
      <c r="C76" s="3"/>
    </row>
    <row r="77" spans="1:3" ht="23.25">
      <c r="A77" s="5"/>
      <c r="B77" s="3"/>
      <c r="C77" s="3"/>
    </row>
    <row r="78" spans="1:3" ht="23.25">
      <c r="A78" s="5"/>
      <c r="B78" s="3"/>
      <c r="C78" s="3"/>
    </row>
    <row r="79" spans="1:3" ht="23.25">
      <c r="A79" s="5"/>
      <c r="B79" s="3"/>
      <c r="C79" s="3"/>
    </row>
    <row r="80" spans="1:3" ht="23.25">
      <c r="A80" s="5"/>
      <c r="B80" s="3"/>
      <c r="C80" s="3"/>
    </row>
    <row r="81" spans="1:3" ht="23.25">
      <c r="A81" s="5"/>
      <c r="B81" s="3"/>
      <c r="C81" s="3"/>
    </row>
    <row r="82" spans="1:3" ht="23.25">
      <c r="A82" s="5"/>
      <c r="B82" s="3"/>
      <c r="C82" s="3"/>
    </row>
    <row r="83" spans="1:3" ht="23.25">
      <c r="A83" s="5"/>
      <c r="B83" s="3"/>
      <c r="C83" s="3"/>
    </row>
    <row r="84" spans="1:3" ht="23.25">
      <c r="A84" s="5"/>
      <c r="B84" s="3"/>
      <c r="C84" s="3"/>
    </row>
    <row r="85" spans="1:3" ht="23.25">
      <c r="A85" s="5"/>
      <c r="B85" s="3"/>
      <c r="C85" s="3"/>
    </row>
    <row r="86" spans="1:3" ht="23.25">
      <c r="A86" s="5"/>
      <c r="B86" s="3"/>
      <c r="C86" s="3"/>
    </row>
    <row r="87" spans="1:3" ht="23.25">
      <c r="A87" s="5"/>
      <c r="B87" s="3"/>
      <c r="C87" s="3"/>
    </row>
    <row r="88" spans="1:3" ht="23.25">
      <c r="A88" s="5"/>
      <c r="B88" s="3"/>
      <c r="C88" s="3"/>
    </row>
    <row r="89" spans="1:3" ht="23.25">
      <c r="A89" s="5"/>
      <c r="B89" s="3"/>
      <c r="C89" s="3"/>
    </row>
    <row r="90" spans="1:3" ht="23.25">
      <c r="A90" s="5"/>
      <c r="B90" s="3"/>
      <c r="C90" s="3"/>
    </row>
    <row r="91" spans="1:3" ht="23.25">
      <c r="A91" s="5"/>
      <c r="B91" s="3"/>
      <c r="C91" s="3"/>
    </row>
    <row r="92" spans="1:3" ht="23.25">
      <c r="A92" s="5"/>
      <c r="B92" s="3"/>
      <c r="C92" s="3"/>
    </row>
    <row r="93" spans="1:3" ht="23.25">
      <c r="A93" s="5"/>
      <c r="B93" s="3"/>
      <c r="C93" s="3"/>
    </row>
    <row r="94" spans="1:3" ht="23.25">
      <c r="A94" s="5"/>
      <c r="B94" s="3"/>
      <c r="C94" s="3"/>
    </row>
    <row r="95" spans="1:3" ht="23.25">
      <c r="A95" s="5"/>
      <c r="B95" s="3"/>
      <c r="C95" s="3"/>
    </row>
    <row r="96" spans="1:3" ht="23.25">
      <c r="A96" s="5"/>
      <c r="B96" s="3"/>
      <c r="C96" s="3"/>
    </row>
    <row r="97" spans="1:3" ht="23.25">
      <c r="A97" s="5"/>
      <c r="B97" s="3"/>
      <c r="C97" s="3"/>
    </row>
    <row r="98" spans="1:3" ht="23.25">
      <c r="A98" s="5"/>
      <c r="B98" s="3"/>
      <c r="C98" s="3"/>
    </row>
    <row r="99" spans="1:3" ht="23.25">
      <c r="A99" s="5"/>
      <c r="B99" s="3"/>
      <c r="C99" s="3"/>
    </row>
    <row r="100" spans="1:3" ht="23.25">
      <c r="A100" s="5"/>
      <c r="B100" s="3"/>
      <c r="C100" s="3"/>
    </row>
    <row r="101" spans="1:3" ht="23.25">
      <c r="A101" s="5"/>
      <c r="B101" s="3"/>
      <c r="C101" s="3"/>
    </row>
    <row r="102" spans="1:3" ht="23.25">
      <c r="A102" s="5"/>
      <c r="B102" s="3"/>
      <c r="C102" s="3"/>
    </row>
    <row r="103" spans="1:3" ht="23.25">
      <c r="A103" s="5"/>
      <c r="B103" s="3"/>
      <c r="C103" s="3"/>
    </row>
    <row r="104" spans="1:3" ht="23.25">
      <c r="A104" s="5"/>
      <c r="B104" s="3"/>
      <c r="C104" s="3"/>
    </row>
    <row r="105" spans="1:3" ht="23.25">
      <c r="A105" s="5"/>
      <c r="B105" s="3"/>
      <c r="C105" s="3"/>
    </row>
    <row r="106" spans="1:3" ht="23.25">
      <c r="A106" s="5"/>
      <c r="B106" s="3"/>
      <c r="C106" s="3"/>
    </row>
    <row r="107" spans="1:3" ht="23.25">
      <c r="A107" s="5"/>
      <c r="B107" s="3"/>
      <c r="C107" s="3"/>
    </row>
    <row r="108" spans="1:3" ht="23.25">
      <c r="A108" s="5"/>
      <c r="B108" s="3"/>
      <c r="C108" s="3"/>
    </row>
    <row r="109" spans="1:3" ht="23.25">
      <c r="A109" s="5"/>
      <c r="B109" s="3"/>
      <c r="C109" s="3"/>
    </row>
    <row r="110" spans="1:3" ht="23.25">
      <c r="A110" s="5"/>
      <c r="B110" s="3"/>
      <c r="C110" s="3"/>
    </row>
    <row r="111" spans="1:3" ht="23.25">
      <c r="A111" s="5"/>
      <c r="B111" s="3"/>
      <c r="C111" s="3"/>
    </row>
    <row r="112" spans="1:3" ht="23.25">
      <c r="A112" s="5"/>
      <c r="B112" s="3"/>
      <c r="C112" s="3"/>
    </row>
    <row r="113" spans="1:3" ht="23.25">
      <c r="A113" s="5"/>
      <c r="B113" s="3"/>
      <c r="C113" s="3"/>
    </row>
    <row r="114" spans="1:3" ht="23.25">
      <c r="A114" s="5"/>
      <c r="B114" s="3"/>
      <c r="C114" s="3"/>
    </row>
    <row r="115" spans="1:3" ht="23.25">
      <c r="A115" s="5"/>
      <c r="B115" s="3"/>
      <c r="C115" s="3"/>
    </row>
    <row r="116" spans="1:3" ht="23.25">
      <c r="A116" s="5"/>
      <c r="B116" s="3"/>
      <c r="C116" s="3"/>
    </row>
    <row r="117" spans="1:3" ht="23.25">
      <c r="A117" s="5"/>
      <c r="B117" s="3"/>
      <c r="C117" s="3"/>
    </row>
    <row r="118" spans="1:3" ht="23.25">
      <c r="A118" s="5"/>
      <c r="B118" s="3"/>
      <c r="C118" s="3"/>
    </row>
    <row r="119" spans="1:3" ht="23.25">
      <c r="A119" s="5"/>
      <c r="B119" s="3"/>
      <c r="C119" s="3"/>
    </row>
    <row r="120" spans="1:3" ht="23.25">
      <c r="A120" s="5"/>
      <c r="B120" s="3"/>
      <c r="C120" s="3"/>
    </row>
    <row r="121" spans="1:3" ht="23.25">
      <c r="A121" s="5"/>
      <c r="B121" s="3"/>
      <c r="C121" s="3"/>
    </row>
    <row r="122" spans="1:3" ht="23.25">
      <c r="A122" s="5"/>
      <c r="B122" s="3"/>
      <c r="C122" s="3"/>
    </row>
    <row r="123" spans="1:3" ht="23.25">
      <c r="A123" s="5"/>
      <c r="B123" s="3"/>
      <c r="C123" s="3"/>
    </row>
    <row r="124" spans="1:3" ht="23.25">
      <c r="A124" s="5"/>
      <c r="B124" s="3"/>
      <c r="C124" s="3"/>
    </row>
    <row r="125" spans="1:3" ht="23.25">
      <c r="A125" s="5"/>
      <c r="B125" s="3"/>
      <c r="C125" s="3"/>
    </row>
    <row r="126" spans="1:3" ht="23.25">
      <c r="A126" s="5"/>
      <c r="B126" s="3"/>
      <c r="C126" s="3"/>
    </row>
    <row r="127" spans="1:3" ht="23.25">
      <c r="A127" s="5"/>
      <c r="B127" s="3"/>
      <c r="C127" s="3"/>
    </row>
    <row r="128" spans="1:3" ht="23.25">
      <c r="A128" s="5"/>
      <c r="B128" s="3"/>
      <c r="C128" s="3"/>
    </row>
    <row r="129" spans="1:3" ht="23.25">
      <c r="A129" s="5"/>
      <c r="B129" s="3"/>
      <c r="C129" s="3"/>
    </row>
    <row r="130" spans="1:3" ht="23.25">
      <c r="A130" s="5"/>
      <c r="B130" s="3"/>
      <c r="C130" s="3"/>
    </row>
    <row r="131" spans="1:3" ht="23.25">
      <c r="A131" s="5"/>
      <c r="B131" s="3"/>
      <c r="C131" s="3"/>
    </row>
    <row r="132" spans="1:3" ht="23.25">
      <c r="A132" s="5"/>
      <c r="B132" s="3"/>
      <c r="C132" s="3"/>
    </row>
    <row r="133" spans="1:3" ht="23.25">
      <c r="A133" s="5"/>
      <c r="B133" s="3"/>
      <c r="C133" s="3"/>
    </row>
    <row r="134" spans="1:3" ht="23.25">
      <c r="A134" s="5"/>
      <c r="B134" s="3"/>
      <c r="C134" s="3"/>
    </row>
    <row r="135" spans="1:3" ht="23.25">
      <c r="A135" s="5"/>
      <c r="B135" s="3"/>
      <c r="C135" s="3"/>
    </row>
    <row r="136" spans="1:3" ht="23.25">
      <c r="A136" s="5"/>
      <c r="B136" s="3"/>
      <c r="C136" s="3"/>
    </row>
    <row r="137" spans="1:3" ht="23.25">
      <c r="A137" s="5"/>
      <c r="B137" s="3"/>
      <c r="C137" s="3"/>
    </row>
    <row r="138" spans="1:3" ht="23.25">
      <c r="A138" s="5"/>
      <c r="B138" s="3"/>
      <c r="C138" s="3"/>
    </row>
    <row r="139" spans="1:3" ht="23.25">
      <c r="A139" s="5"/>
      <c r="B139" s="3"/>
      <c r="C139" s="3"/>
    </row>
    <row r="140" spans="1:3" ht="23.25">
      <c r="A140" s="5"/>
      <c r="B140" s="3"/>
      <c r="C140" s="3"/>
    </row>
    <row r="141" spans="1:3" ht="23.25">
      <c r="A141" s="5"/>
      <c r="B141" s="3"/>
      <c r="C141" s="3"/>
    </row>
    <row r="142" spans="1:3" ht="23.25">
      <c r="A142" s="5"/>
      <c r="B142" s="3"/>
      <c r="C142" s="3"/>
    </row>
    <row r="143" spans="1:3" ht="23.25">
      <c r="A143" s="5"/>
      <c r="B143" s="3"/>
      <c r="C143" s="3"/>
    </row>
    <row r="144" spans="1:3" ht="23.25">
      <c r="A144" s="5"/>
      <c r="B144" s="3"/>
      <c r="C144" s="3"/>
    </row>
    <row r="145" spans="1:3" ht="23.25">
      <c r="A145" s="5"/>
      <c r="B145" s="3"/>
      <c r="C145" s="3"/>
    </row>
    <row r="146" spans="1:3" ht="23.25">
      <c r="A146" s="5"/>
      <c r="B146" s="3"/>
      <c r="C146" s="3"/>
    </row>
    <row r="147" spans="1:3" ht="23.25">
      <c r="A147" s="5"/>
      <c r="B147" s="3"/>
      <c r="C147" s="3"/>
    </row>
    <row r="148" spans="1:3" ht="23.25">
      <c r="A148" s="5"/>
      <c r="B148" s="3"/>
      <c r="C148" s="3"/>
    </row>
    <row r="149" spans="1:3" ht="23.25">
      <c r="A149" s="5"/>
      <c r="B149" s="3"/>
      <c r="C149" s="3"/>
    </row>
    <row r="150" spans="1:3" ht="23.25">
      <c r="A150" s="5"/>
      <c r="B150" s="3"/>
      <c r="C150" s="3"/>
    </row>
    <row r="151" spans="1:3" ht="23.25">
      <c r="A151" s="5"/>
      <c r="B151" s="3"/>
      <c r="C151" s="3"/>
    </row>
    <row r="152" spans="1:3" ht="23.25">
      <c r="A152" s="5"/>
      <c r="B152" s="3"/>
      <c r="C152" s="3"/>
    </row>
    <row r="153" spans="1:3" ht="23.25">
      <c r="A153" s="5"/>
      <c r="B153" s="3"/>
      <c r="C153" s="3"/>
    </row>
    <row r="154" spans="1:3" ht="23.25">
      <c r="A154" s="5"/>
      <c r="B154" s="3"/>
      <c r="C154" s="3"/>
    </row>
    <row r="155" spans="1:3" ht="23.25">
      <c r="A155" s="5"/>
      <c r="B155" s="3"/>
      <c r="C155" s="3"/>
    </row>
    <row r="156" spans="1:3" ht="23.25">
      <c r="A156" s="5"/>
      <c r="B156" s="3"/>
      <c r="C156" s="3"/>
    </row>
    <row r="157" spans="1:3" ht="23.25">
      <c r="A157" s="5"/>
      <c r="B157" s="3"/>
      <c r="C157" s="3"/>
    </row>
    <row r="158" spans="1:3" ht="23.25">
      <c r="A158" s="5"/>
      <c r="B158" s="3"/>
      <c r="C158" s="3"/>
    </row>
    <row r="159" spans="1:3" ht="23.25">
      <c r="A159" s="5"/>
      <c r="B159" s="3"/>
      <c r="C159" s="3"/>
    </row>
    <row r="160" spans="1:3" ht="23.25">
      <c r="A160" s="5"/>
      <c r="B160" s="3"/>
      <c r="C160" s="3"/>
    </row>
    <row r="161" spans="1:3" ht="23.25">
      <c r="A161" s="5"/>
      <c r="B161" s="3"/>
      <c r="C161" s="3"/>
    </row>
    <row r="162" spans="1:3" ht="23.25">
      <c r="A162" s="5"/>
      <c r="B162" s="3"/>
      <c r="C162" s="3"/>
    </row>
    <row r="163" spans="1:3" ht="23.25">
      <c r="A163" s="5"/>
      <c r="B163" s="3"/>
      <c r="C163" s="3"/>
    </row>
    <row r="164" spans="1:3" ht="23.25">
      <c r="A164" s="5"/>
      <c r="B164" s="3"/>
      <c r="C164" s="3"/>
    </row>
    <row r="165" spans="1:3" ht="23.25">
      <c r="A165" s="5"/>
      <c r="B165" s="3"/>
      <c r="C165" s="3"/>
    </row>
    <row r="166" spans="1:3" ht="23.25">
      <c r="A166" s="5"/>
      <c r="B166" s="3"/>
      <c r="C166" s="3"/>
    </row>
    <row r="167" spans="1:3" ht="23.25">
      <c r="A167" s="5"/>
      <c r="B167" s="3"/>
      <c r="C167" s="3"/>
    </row>
    <row r="168" spans="1:3" ht="23.25">
      <c r="A168" s="5"/>
      <c r="B168" s="3"/>
      <c r="C168" s="3"/>
    </row>
    <row r="169" spans="1:3" ht="23.25">
      <c r="A169" s="5"/>
      <c r="B169" s="3"/>
      <c r="C169" s="3"/>
    </row>
    <row r="170" spans="1:3" ht="23.25">
      <c r="A170" s="5"/>
      <c r="B170" s="3"/>
      <c r="C170" s="3"/>
    </row>
    <row r="171" spans="1:3" ht="23.25">
      <c r="A171" s="5"/>
      <c r="B171" s="3"/>
      <c r="C171" s="3"/>
    </row>
    <row r="172" spans="1:3" ht="23.25">
      <c r="A172" s="5"/>
      <c r="B172" s="3"/>
      <c r="C172" s="3"/>
    </row>
    <row r="173" spans="1:3" ht="23.25">
      <c r="A173" s="5"/>
      <c r="B173" s="3"/>
      <c r="C173" s="3"/>
    </row>
    <row r="174" spans="1:3" ht="23.25">
      <c r="A174" s="5"/>
      <c r="B174" s="3"/>
      <c r="C174" s="3"/>
    </row>
    <row r="175" spans="1:3" ht="23.25">
      <c r="A175" s="5"/>
      <c r="B175" s="3"/>
      <c r="C175" s="3"/>
    </row>
    <row r="176" spans="1:3" ht="23.25">
      <c r="A176" s="5"/>
      <c r="B176" s="3"/>
      <c r="C176" s="3"/>
    </row>
    <row r="177" spans="1:3" ht="23.25">
      <c r="A177" s="5"/>
      <c r="B177" s="3"/>
      <c r="C177" s="3"/>
    </row>
    <row r="178" spans="1:3" ht="23.25">
      <c r="A178" s="5"/>
      <c r="B178" s="3"/>
      <c r="C178" s="3"/>
    </row>
    <row r="179" spans="1:3" ht="23.25">
      <c r="A179" s="5"/>
      <c r="B179" s="3"/>
      <c r="C179" s="3"/>
    </row>
    <row r="180" spans="1:3" ht="23.25">
      <c r="A180" s="5"/>
      <c r="B180" s="3"/>
      <c r="C180" s="3"/>
    </row>
    <row r="181" spans="1:3" ht="23.25">
      <c r="A181" s="5"/>
      <c r="B181" s="3"/>
      <c r="C181" s="3"/>
    </row>
    <row r="182" spans="1:3" ht="23.25">
      <c r="A182" s="5"/>
      <c r="B182" s="3"/>
      <c r="C182" s="3"/>
    </row>
    <row r="183" spans="1:3" ht="23.25">
      <c r="A183" s="5"/>
      <c r="B183" s="3"/>
      <c r="C183" s="3"/>
    </row>
    <row r="184" spans="1:3" ht="12.75">
      <c r="A184" s="3"/>
      <c r="B184" s="3"/>
      <c r="C184" s="3"/>
    </row>
    <row r="185" spans="1:3" ht="12.75">
      <c r="A185" s="3"/>
      <c r="B185" s="3"/>
      <c r="C185" s="3"/>
    </row>
    <row r="186" spans="1:3" ht="12.75">
      <c r="A186" s="3"/>
      <c r="B186" s="3"/>
      <c r="C186" s="3"/>
    </row>
    <row r="187" spans="1:3" ht="12.75">
      <c r="A187" s="3"/>
      <c r="B187" s="3"/>
      <c r="C187" s="3"/>
    </row>
    <row r="188" spans="1:3" ht="12.75">
      <c r="A188" s="3"/>
      <c r="B188" s="3"/>
      <c r="C188" s="3"/>
    </row>
    <row r="189" spans="1:3" ht="12.75">
      <c r="A189" s="3"/>
      <c r="B189" s="3"/>
      <c r="C189" s="3"/>
    </row>
    <row r="190" spans="1:3" ht="12.75">
      <c r="A190" s="3"/>
      <c r="B190" s="3"/>
      <c r="C190" s="3"/>
    </row>
    <row r="191" spans="1:3" ht="12.75">
      <c r="A191" s="3"/>
      <c r="B191" s="3"/>
      <c r="C191" s="3"/>
    </row>
    <row r="192" spans="1:3" ht="12.75">
      <c r="A192" s="3"/>
      <c r="B192" s="3"/>
      <c r="C192" s="3"/>
    </row>
    <row r="193" spans="1:3" ht="12.75">
      <c r="A193" s="3"/>
      <c r="B193" s="3"/>
      <c r="C193" s="3"/>
    </row>
    <row r="194" spans="1:3" ht="12.75">
      <c r="A194" s="3"/>
      <c r="B194" s="3"/>
      <c r="C194" s="3"/>
    </row>
    <row r="195" spans="1:3" ht="12.75">
      <c r="A195" s="3"/>
      <c r="B195" s="3"/>
      <c r="C195" s="3"/>
    </row>
    <row r="196" spans="1:3" ht="12.75">
      <c r="A196" s="3"/>
      <c r="B196" s="3"/>
      <c r="C196" s="3"/>
    </row>
    <row r="197" spans="1:3" ht="12.75">
      <c r="A197" s="3"/>
      <c r="B197" s="3"/>
      <c r="C197" s="3"/>
    </row>
    <row r="198" spans="1:3" ht="12.75">
      <c r="A198" s="3"/>
      <c r="B198" s="3"/>
      <c r="C198" s="3"/>
    </row>
    <row r="199" spans="1:3" ht="12.75">
      <c r="A199" s="3"/>
      <c r="B199" s="3"/>
      <c r="C199" s="3"/>
    </row>
    <row r="200" spans="1:3" ht="12.75">
      <c r="A200" s="3"/>
      <c r="B200" s="3"/>
      <c r="C200" s="3"/>
    </row>
    <row r="201" spans="1:3" ht="12.75">
      <c r="A201" s="3"/>
      <c r="B201" s="3"/>
      <c r="C201" s="3"/>
    </row>
    <row r="202" spans="1:3" ht="12.75">
      <c r="A202" s="3"/>
      <c r="B202" s="3"/>
      <c r="C202" s="3"/>
    </row>
    <row r="203" spans="1:3" ht="12.75">
      <c r="A203" s="3"/>
      <c r="B203" s="3"/>
      <c r="C203" s="3"/>
    </row>
    <row r="204" spans="1:3" ht="12.75">
      <c r="A204" s="3"/>
      <c r="B204" s="3"/>
      <c r="C204" s="3"/>
    </row>
    <row r="205" spans="1:3" ht="12.75">
      <c r="A205" s="3"/>
      <c r="B205" s="3"/>
      <c r="C205" s="3"/>
    </row>
    <row r="206" spans="1:3" ht="12.75">
      <c r="A206" s="3"/>
      <c r="B206" s="3"/>
      <c r="C206" s="3"/>
    </row>
    <row r="207" spans="1:3" ht="12.75">
      <c r="A207" s="3"/>
      <c r="B207" s="3"/>
      <c r="C207" s="3"/>
    </row>
    <row r="208" spans="1:3" ht="12.75">
      <c r="A208" s="3"/>
      <c r="B208" s="3"/>
      <c r="C208" s="3"/>
    </row>
    <row r="209" spans="1:3" ht="12.75">
      <c r="A209" s="3"/>
      <c r="B209" s="3"/>
      <c r="C209" s="3"/>
    </row>
    <row r="210" spans="1:3" ht="12.75">
      <c r="A210" s="3"/>
      <c r="B210" s="3"/>
      <c r="C210" s="3"/>
    </row>
    <row r="211" spans="1:3" ht="12.75">
      <c r="A211" s="3"/>
      <c r="B211" s="3"/>
      <c r="C211" s="3"/>
    </row>
    <row r="212" spans="1:3" ht="12.75">
      <c r="A212" s="3"/>
      <c r="B212" s="3"/>
      <c r="C212" s="3"/>
    </row>
    <row r="213" spans="1:3" ht="12.75">
      <c r="A213" s="3"/>
      <c r="B213" s="3"/>
      <c r="C213" s="3"/>
    </row>
    <row r="214" spans="1:3" ht="12.75">
      <c r="A214" s="3"/>
      <c r="B214" s="3"/>
      <c r="C214" s="3"/>
    </row>
    <row r="215" spans="1:3" ht="12.75">
      <c r="A215" s="3"/>
      <c r="B215" s="3"/>
      <c r="C215" s="3"/>
    </row>
    <row r="216" spans="1:3" ht="12.75">
      <c r="A216" s="3"/>
      <c r="B216" s="3"/>
      <c r="C216" s="3"/>
    </row>
    <row r="217" spans="1:3" ht="12.75">
      <c r="A217" s="3"/>
      <c r="B217" s="3"/>
      <c r="C217" s="3"/>
    </row>
    <row r="218" spans="1:3" ht="12.75">
      <c r="A218" s="3"/>
      <c r="B218" s="3"/>
      <c r="C218" s="3"/>
    </row>
    <row r="219" spans="1:3" ht="12.75">
      <c r="A219" s="3"/>
      <c r="B219" s="3"/>
      <c r="C219" s="3"/>
    </row>
    <row r="220" spans="1:3" ht="12.75">
      <c r="A220" s="3"/>
      <c r="B220" s="3"/>
      <c r="C220" s="3"/>
    </row>
    <row r="221" spans="1:3" ht="12.75">
      <c r="A221" s="3"/>
      <c r="B221" s="3"/>
      <c r="C221" s="3"/>
    </row>
    <row r="222" spans="1:3" ht="12.75">
      <c r="A222" s="3"/>
      <c r="B222" s="3"/>
      <c r="C222" s="3"/>
    </row>
    <row r="223" spans="1:3" ht="12.75">
      <c r="A223" s="3"/>
      <c r="B223" s="3"/>
      <c r="C223" s="3"/>
    </row>
    <row r="224" spans="1:3" ht="12.75">
      <c r="A224" s="3"/>
      <c r="B224" s="3"/>
      <c r="C224" s="3"/>
    </row>
    <row r="225" spans="1:3" ht="12.75">
      <c r="A225" s="3"/>
      <c r="B225" s="3"/>
      <c r="C225" s="3"/>
    </row>
    <row r="226" spans="1:3" ht="12.75">
      <c r="A226" s="3"/>
      <c r="B226" s="3"/>
      <c r="C226" s="3"/>
    </row>
    <row r="227" spans="1:3" ht="12.75">
      <c r="A227" s="3"/>
      <c r="B227" s="3"/>
      <c r="C227" s="3"/>
    </row>
    <row r="228" spans="1:3" ht="12.75">
      <c r="A228" s="3"/>
      <c r="B228" s="3"/>
      <c r="C228" s="3"/>
    </row>
    <row r="229" spans="1:3" ht="12.75">
      <c r="A229" s="3"/>
      <c r="B229" s="3"/>
      <c r="C229" s="3"/>
    </row>
    <row r="230" spans="1:3" ht="12.75">
      <c r="A230" s="3"/>
      <c r="B230" s="3"/>
      <c r="C230" s="3"/>
    </row>
    <row r="231" spans="1:3" ht="12.75">
      <c r="A231" s="3"/>
      <c r="B231" s="3"/>
      <c r="C231" s="3"/>
    </row>
    <row r="232" spans="1:3" ht="12.75">
      <c r="A232" s="3"/>
      <c r="B232" s="3"/>
      <c r="C232" s="3"/>
    </row>
    <row r="233" spans="1:3" ht="12.75">
      <c r="A233" s="3"/>
      <c r="B233" s="3"/>
      <c r="C233" s="3"/>
    </row>
    <row r="234" spans="1:3" ht="12.75">
      <c r="A234" s="3"/>
      <c r="B234" s="3"/>
      <c r="C234" s="3"/>
    </row>
    <row r="235" spans="1:3" ht="12.75">
      <c r="A235" s="3"/>
      <c r="B235" s="3"/>
      <c r="C235" s="3"/>
    </row>
    <row r="236" spans="1:3" ht="12.75">
      <c r="A236" s="3"/>
      <c r="B236" s="3"/>
      <c r="C236" s="3"/>
    </row>
    <row r="237" spans="1:3" ht="12.75">
      <c r="A237" s="3"/>
      <c r="B237" s="3"/>
      <c r="C237" s="3"/>
    </row>
    <row r="238" spans="1:3" ht="12.75">
      <c r="A238" s="3"/>
      <c r="B238" s="3"/>
      <c r="C238" s="3"/>
    </row>
    <row r="239" spans="1:3" ht="12.75">
      <c r="A239" s="3"/>
      <c r="B239" s="3"/>
      <c r="C239" s="3"/>
    </row>
    <row r="240" spans="1:3" ht="12.75">
      <c r="A240" s="3"/>
      <c r="B240" s="3"/>
      <c r="C240" s="3"/>
    </row>
    <row r="241" spans="1:3" ht="12.75">
      <c r="A241" s="3"/>
      <c r="B241" s="3"/>
      <c r="C241" s="3"/>
    </row>
    <row r="242" spans="1:3" ht="12.75">
      <c r="A242" s="3"/>
      <c r="B242" s="3"/>
      <c r="C242" s="3"/>
    </row>
    <row r="243" spans="1:3" ht="12.75">
      <c r="A243" s="3"/>
      <c r="B243" s="3"/>
      <c r="C243" s="3"/>
    </row>
    <row r="244" spans="1:3" ht="12.75">
      <c r="A244" s="3"/>
      <c r="B244" s="3"/>
      <c r="C244" s="3"/>
    </row>
    <row r="245" spans="1:3" ht="12.75">
      <c r="A245" s="3"/>
      <c r="B245" s="3"/>
      <c r="C245" s="3"/>
    </row>
    <row r="246" spans="1:3" ht="12.75">
      <c r="A246" s="3"/>
      <c r="B246" s="3"/>
      <c r="C246" s="3"/>
    </row>
    <row r="247" spans="1:3" ht="12.75">
      <c r="A247" s="3"/>
      <c r="B247" s="3"/>
      <c r="C247" s="3"/>
    </row>
    <row r="248" spans="1:3" ht="12.75">
      <c r="A248" s="3"/>
      <c r="B248" s="3"/>
      <c r="C248" s="3"/>
    </row>
    <row r="249" spans="1:3" ht="12.75">
      <c r="A249" s="3"/>
      <c r="B249" s="3"/>
      <c r="C249" s="3"/>
    </row>
    <row r="250" spans="1:3" ht="12.75">
      <c r="A250" s="3"/>
      <c r="B250" s="3"/>
      <c r="C250" s="3"/>
    </row>
    <row r="251" spans="1:3" ht="12.75">
      <c r="A251" s="3"/>
      <c r="B251" s="3"/>
      <c r="C251" s="3"/>
    </row>
    <row r="252" spans="1:3" ht="12.75">
      <c r="A252" s="3"/>
      <c r="B252" s="3"/>
      <c r="C252" s="3"/>
    </row>
    <row r="253" spans="1:3" ht="12.75">
      <c r="A253" s="3"/>
      <c r="B253" s="3"/>
      <c r="C253" s="3"/>
    </row>
    <row r="254" spans="1:3" ht="12.75">
      <c r="A254" s="3"/>
      <c r="B254" s="3"/>
      <c r="C254" s="3"/>
    </row>
    <row r="255" spans="1:3" ht="12.75">
      <c r="A255" s="3"/>
      <c r="B255" s="3"/>
      <c r="C255" s="3"/>
    </row>
    <row r="256" spans="1:3" ht="12.75">
      <c r="A256" s="3"/>
      <c r="B256" s="3"/>
      <c r="C256" s="3"/>
    </row>
    <row r="257" spans="1:3" ht="12.75">
      <c r="A257" s="3"/>
      <c r="B257" s="3"/>
      <c r="C257" s="3"/>
    </row>
    <row r="258" spans="1:3" ht="12.75">
      <c r="A258" s="3"/>
      <c r="B258" s="3"/>
      <c r="C258" s="3"/>
    </row>
    <row r="259" spans="1:3" ht="12.75">
      <c r="A259" s="3"/>
      <c r="B259" s="3"/>
      <c r="C259" s="3"/>
    </row>
    <row r="260" spans="1:3" ht="12.75">
      <c r="A260" s="3"/>
      <c r="B260" s="3"/>
      <c r="C260" s="3"/>
    </row>
    <row r="261" spans="1:3" ht="12.75">
      <c r="A261" s="3"/>
      <c r="B261" s="3"/>
      <c r="C261" s="3"/>
    </row>
    <row r="262" spans="1:3" ht="12.75">
      <c r="A262" s="3"/>
      <c r="B262" s="3"/>
      <c r="C262" s="3"/>
    </row>
    <row r="263" spans="1:3" ht="12.75">
      <c r="A263" s="3"/>
      <c r="B263" s="3"/>
      <c r="C263" s="3"/>
    </row>
    <row r="264" spans="1:3" ht="12.75">
      <c r="A264" s="3"/>
      <c r="B264" s="3"/>
      <c r="C264" s="3"/>
    </row>
    <row r="265" spans="1:3" ht="12.75">
      <c r="A265" s="3"/>
      <c r="B265" s="3"/>
      <c r="C265" s="3"/>
    </row>
    <row r="266" spans="1:3" ht="12.75">
      <c r="A266" s="3"/>
      <c r="B266" s="3"/>
      <c r="C266" s="3"/>
    </row>
    <row r="267" spans="1:3" ht="12.75">
      <c r="A267" s="3"/>
      <c r="B267" s="3"/>
      <c r="C267" s="3"/>
    </row>
    <row r="268" spans="1:3" ht="12.75">
      <c r="A268" s="3"/>
      <c r="B268" s="3"/>
      <c r="C268" s="3"/>
    </row>
    <row r="269" spans="1:3" ht="12.75">
      <c r="A269" s="3"/>
      <c r="B269" s="3"/>
      <c r="C269" s="3"/>
    </row>
    <row r="270" spans="1:3" ht="12.75">
      <c r="A270" s="3"/>
      <c r="B270" s="3"/>
      <c r="C270" s="3"/>
    </row>
    <row r="271" spans="1:3" ht="12.75">
      <c r="A271" s="3"/>
      <c r="B271" s="3"/>
      <c r="C271" s="3"/>
    </row>
    <row r="272" spans="1:3" ht="12.75">
      <c r="A272" s="3"/>
      <c r="B272" s="3"/>
      <c r="C272" s="3"/>
    </row>
    <row r="273" spans="1:3" ht="12.75">
      <c r="A273" s="3"/>
      <c r="B273" s="3"/>
      <c r="C273" s="3"/>
    </row>
    <row r="274" spans="1:3" ht="12.75">
      <c r="A274" s="3"/>
      <c r="B274" s="3"/>
      <c r="C274" s="3"/>
    </row>
    <row r="275" spans="1:3" ht="12.75">
      <c r="A275" s="3"/>
      <c r="B275" s="3"/>
      <c r="C275" s="3"/>
    </row>
    <row r="276" spans="1:3" ht="12.75">
      <c r="A276" s="3"/>
      <c r="B276" s="3"/>
      <c r="C276" s="3"/>
    </row>
    <row r="277" spans="1:3" ht="12.75">
      <c r="A277" s="3"/>
      <c r="B277" s="3"/>
      <c r="C277" s="3"/>
    </row>
    <row r="278" spans="1:3" ht="12.75">
      <c r="A278" s="3"/>
      <c r="B278" s="3"/>
      <c r="C278" s="3"/>
    </row>
    <row r="279" spans="1:3" ht="12.75">
      <c r="A279" s="3"/>
      <c r="B279" s="3"/>
      <c r="C279" s="3"/>
    </row>
    <row r="280" spans="1:3" ht="12.75">
      <c r="A280" s="3"/>
      <c r="B280" s="3"/>
      <c r="C280" s="3"/>
    </row>
    <row r="281" spans="1:3" ht="12.75">
      <c r="A281" s="3"/>
      <c r="B281" s="3"/>
      <c r="C281" s="3"/>
    </row>
    <row r="282" spans="1:3" ht="12.75">
      <c r="A282" s="3"/>
      <c r="B282" s="3"/>
      <c r="C282" s="3"/>
    </row>
    <row r="283" spans="1:3" ht="12.75">
      <c r="A283" s="3"/>
      <c r="B283" s="3"/>
      <c r="C283" s="3"/>
    </row>
    <row r="284" spans="1:3" ht="12.75">
      <c r="A284" s="3"/>
      <c r="B284" s="3"/>
      <c r="C284" s="3"/>
    </row>
    <row r="285" spans="1:3" ht="12.75">
      <c r="A285" s="3"/>
      <c r="B285" s="3"/>
      <c r="C285" s="3"/>
    </row>
    <row r="286" spans="1:3" ht="12.75">
      <c r="A286" s="3"/>
      <c r="B286" s="3"/>
      <c r="C286" s="3"/>
    </row>
    <row r="287" spans="1:3" ht="12.75">
      <c r="A287" s="3"/>
      <c r="B287" s="3"/>
      <c r="C287" s="3"/>
    </row>
    <row r="288" spans="1:3" ht="12.75">
      <c r="A288" s="3"/>
      <c r="B288" s="3"/>
      <c r="C288" s="3"/>
    </row>
    <row r="289" spans="1:3" ht="12.75">
      <c r="A289" s="3"/>
      <c r="B289" s="3"/>
      <c r="C289" s="3"/>
    </row>
    <row r="290" spans="1:3" ht="12.75">
      <c r="A290" s="3"/>
      <c r="B290" s="3"/>
      <c r="C290" s="3"/>
    </row>
    <row r="291" spans="1:3" ht="12.75">
      <c r="A291" s="3"/>
      <c r="B291" s="3"/>
      <c r="C291" s="3"/>
    </row>
    <row r="292" spans="1:3" ht="12.75">
      <c r="A292" s="3"/>
      <c r="B292" s="3"/>
      <c r="C292" s="3"/>
    </row>
    <row r="293" spans="1:3" ht="12.75">
      <c r="A293" s="3"/>
      <c r="B293" s="3"/>
      <c r="C293" s="3"/>
    </row>
    <row r="294" spans="1:3" ht="12.75">
      <c r="A294" s="3"/>
      <c r="B294" s="3"/>
      <c r="C294" s="3"/>
    </row>
    <row r="295" spans="1:3" ht="12.75">
      <c r="A295" s="3"/>
      <c r="B295" s="3"/>
      <c r="C295" s="3"/>
    </row>
    <row r="296" spans="1:3" ht="12.75">
      <c r="A296" s="3"/>
      <c r="B296" s="3"/>
      <c r="C296" s="3"/>
    </row>
    <row r="297" spans="1:3" ht="12.75">
      <c r="A297" s="3"/>
      <c r="B297" s="3"/>
      <c r="C297" s="3"/>
    </row>
    <row r="298" spans="1:3" ht="12.75">
      <c r="A298" s="3"/>
      <c r="B298" s="3"/>
      <c r="C298" s="3"/>
    </row>
    <row r="299" spans="1:3" ht="12.75">
      <c r="A299" s="3"/>
      <c r="B299" s="3"/>
      <c r="C299" s="3"/>
    </row>
    <row r="300" spans="1:3" ht="12.75">
      <c r="A300" s="3"/>
      <c r="B300" s="3"/>
      <c r="C300" s="3"/>
    </row>
    <row r="301" spans="1:3" ht="12.75">
      <c r="A301" s="3"/>
      <c r="B301" s="3"/>
      <c r="C301" s="3"/>
    </row>
    <row r="302" spans="1:3" ht="12.75">
      <c r="A302" s="3"/>
      <c r="B302" s="3"/>
      <c r="C302" s="3"/>
    </row>
    <row r="303" spans="1:3" ht="12.75">
      <c r="A303" s="3"/>
      <c r="B303" s="3"/>
      <c r="C303" s="3"/>
    </row>
    <row r="304" spans="1:3" ht="12.75">
      <c r="A304" s="3"/>
      <c r="B304" s="3"/>
      <c r="C304" s="3"/>
    </row>
    <row r="305" spans="1:3" ht="12.75">
      <c r="A305" s="3"/>
      <c r="B305" s="3"/>
      <c r="C305" s="3"/>
    </row>
    <row r="306" spans="1:3" ht="12.75">
      <c r="A306" s="3"/>
      <c r="B306" s="3"/>
      <c r="C306" s="3"/>
    </row>
    <row r="307" spans="1:3" ht="12.75">
      <c r="A307" s="3"/>
      <c r="B307" s="3"/>
      <c r="C307" s="3"/>
    </row>
    <row r="308" spans="1:3" ht="12.75">
      <c r="A308" s="3"/>
      <c r="B308" s="3"/>
      <c r="C308" s="3"/>
    </row>
    <row r="309" spans="1:3" ht="12.75">
      <c r="A309" s="3"/>
      <c r="B309" s="3"/>
      <c r="C309" s="3"/>
    </row>
    <row r="310" spans="1:3" ht="12.75">
      <c r="A310" s="3"/>
      <c r="B310" s="3"/>
      <c r="C310" s="3"/>
    </row>
    <row r="311" spans="1:3" ht="12.75">
      <c r="A311" s="3"/>
      <c r="B311" s="3"/>
      <c r="C311" s="3"/>
    </row>
    <row r="312" spans="1:3" ht="12.75">
      <c r="A312" s="3"/>
      <c r="B312" s="3"/>
      <c r="C312" s="3"/>
    </row>
    <row r="313" spans="1:3" ht="12.75">
      <c r="A313" s="3"/>
      <c r="B313" s="3"/>
      <c r="C313" s="3"/>
    </row>
    <row r="314" spans="1:3" ht="12.75">
      <c r="A314" s="3"/>
      <c r="B314" s="3"/>
      <c r="C314" s="3"/>
    </row>
    <row r="315" spans="1:3" ht="12.75">
      <c r="A315" s="3"/>
      <c r="B315" s="3"/>
      <c r="C315" s="3"/>
    </row>
    <row r="316" spans="1:3" ht="12.75">
      <c r="A316" s="3"/>
      <c r="B316" s="3"/>
      <c r="C316" s="3"/>
    </row>
    <row r="317" spans="1:3" ht="12.75">
      <c r="A317" s="3"/>
      <c r="B317" s="3"/>
      <c r="C317" s="3"/>
    </row>
    <row r="318" spans="1:3" ht="12.75">
      <c r="A318" s="3"/>
      <c r="B318" s="3"/>
      <c r="C318" s="3"/>
    </row>
    <row r="319" spans="1:3" ht="12.75">
      <c r="A319" s="3"/>
      <c r="B319" s="3"/>
      <c r="C319" s="3"/>
    </row>
    <row r="320" spans="1:3" ht="12.75">
      <c r="A320" s="3"/>
      <c r="B320" s="3"/>
      <c r="C320" s="3"/>
    </row>
    <row r="321" spans="1:3" ht="12.75">
      <c r="A321" s="3"/>
      <c r="B321" s="3"/>
      <c r="C321" s="3"/>
    </row>
    <row r="322" spans="1:3" ht="12.75">
      <c r="A322" s="3"/>
      <c r="B322" s="3"/>
      <c r="C322" s="3"/>
    </row>
    <row r="323" spans="1:3" ht="12.75">
      <c r="A323" s="3"/>
      <c r="B323" s="3"/>
      <c r="C323" s="3"/>
    </row>
    <row r="324" spans="1:3" ht="12.75">
      <c r="A324" s="3"/>
      <c r="B324" s="3"/>
      <c r="C324" s="3"/>
    </row>
    <row r="325" spans="1:3" ht="12.75">
      <c r="A325" s="3"/>
      <c r="B325" s="3"/>
      <c r="C325" s="3"/>
    </row>
    <row r="326" spans="1:3" ht="12.75">
      <c r="A326" s="3"/>
      <c r="B326" s="3"/>
      <c r="C326" s="3"/>
    </row>
    <row r="327" spans="1:3" ht="12.75">
      <c r="A327" s="3"/>
      <c r="B327" s="3"/>
      <c r="C327" s="3"/>
    </row>
    <row r="328" spans="1:3" ht="12.75">
      <c r="A328" s="3"/>
      <c r="B328" s="3"/>
      <c r="C328" s="3"/>
    </row>
    <row r="329" spans="1:3" ht="12.75">
      <c r="A329" s="3"/>
      <c r="B329" s="3"/>
      <c r="C329" s="3"/>
    </row>
    <row r="330" spans="1:3" ht="12.75">
      <c r="A330" s="3"/>
      <c r="B330" s="3"/>
      <c r="C330" s="3"/>
    </row>
    <row r="331" spans="1:3" ht="12.75">
      <c r="A331" s="3"/>
      <c r="B331" s="3"/>
      <c r="C331" s="3"/>
    </row>
    <row r="332" spans="1:3" ht="12.75">
      <c r="A332" s="3"/>
      <c r="B332" s="3"/>
      <c r="C332" s="3"/>
    </row>
    <row r="333" spans="1:3" ht="12.75">
      <c r="A333" s="3"/>
      <c r="B333" s="3"/>
      <c r="C333" s="3"/>
    </row>
    <row r="334" spans="1:3" ht="12.75">
      <c r="A334" s="3"/>
      <c r="B334" s="3"/>
      <c r="C334" s="3"/>
    </row>
    <row r="335" spans="1:3" ht="12.75">
      <c r="A335" s="3"/>
      <c r="B335" s="3"/>
      <c r="C335" s="3"/>
    </row>
    <row r="336" spans="1:3" ht="12.75">
      <c r="A336" s="3"/>
      <c r="B336" s="3"/>
      <c r="C336" s="3"/>
    </row>
    <row r="337" spans="1:3" ht="12.75">
      <c r="A337" s="3"/>
      <c r="B337" s="3"/>
      <c r="C337" s="3"/>
    </row>
    <row r="338" spans="1:3" ht="12.75">
      <c r="A338" s="3"/>
      <c r="B338" s="3"/>
      <c r="C338" s="3"/>
    </row>
    <row r="339" spans="1:3" ht="12.75">
      <c r="A339" s="3"/>
      <c r="B339" s="3"/>
      <c r="C339" s="3"/>
    </row>
    <row r="340" spans="1:3" ht="12.75">
      <c r="A340" s="3"/>
      <c r="B340" s="3"/>
      <c r="C340" s="3"/>
    </row>
    <row r="341" spans="1:3" ht="12.75">
      <c r="A341" s="3"/>
      <c r="B341" s="3"/>
      <c r="C341" s="3"/>
    </row>
    <row r="342" spans="1:3" ht="12.75">
      <c r="A342" s="3"/>
      <c r="B342" s="3"/>
      <c r="C342" s="3"/>
    </row>
    <row r="343" spans="1:3" ht="12.75">
      <c r="A343" s="3"/>
      <c r="B343" s="3"/>
      <c r="C343" s="3"/>
    </row>
    <row r="344" spans="1:3" ht="12.75">
      <c r="A344" s="3"/>
      <c r="B344" s="3"/>
      <c r="C344" s="3"/>
    </row>
    <row r="345" spans="1:3" ht="12.75">
      <c r="A345" s="3"/>
      <c r="B345" s="3"/>
      <c r="C345" s="3"/>
    </row>
    <row r="346" spans="1:3" ht="12.75">
      <c r="A346" s="3"/>
      <c r="B346" s="3"/>
      <c r="C346" s="3"/>
    </row>
    <row r="347" spans="1:3" ht="12.75">
      <c r="A347" s="3"/>
      <c r="B347" s="3"/>
      <c r="C347" s="3"/>
    </row>
    <row r="348" spans="1:3" ht="12.75">
      <c r="A348" s="3"/>
      <c r="B348" s="3"/>
      <c r="C348" s="3"/>
    </row>
    <row r="349" spans="1:3" ht="12.75">
      <c r="A349" s="3"/>
      <c r="B349" s="3"/>
      <c r="C349" s="3"/>
    </row>
    <row r="350" spans="1:3" ht="12.75">
      <c r="A350" s="3"/>
      <c r="B350" s="3"/>
      <c r="C350" s="3"/>
    </row>
    <row r="351" spans="1:3" ht="12.75">
      <c r="A351" s="3"/>
      <c r="B351" s="3"/>
      <c r="C351" s="3"/>
    </row>
    <row r="352" spans="1:3" ht="12.75">
      <c r="A352" s="3"/>
      <c r="B352" s="3"/>
      <c r="C352" s="3"/>
    </row>
    <row r="353" spans="1:3" ht="12.75">
      <c r="A353" s="3"/>
      <c r="B353" s="3"/>
      <c r="C353" s="3"/>
    </row>
    <row r="354" spans="1:3" ht="12.75">
      <c r="A354" s="3"/>
      <c r="B354" s="3"/>
      <c r="C354" s="3"/>
    </row>
    <row r="355" spans="1:3" ht="12.75">
      <c r="A355" s="3"/>
      <c r="B355" s="3"/>
      <c r="C355" s="3"/>
    </row>
    <row r="356" spans="1:3" ht="12.75">
      <c r="A356" s="3"/>
      <c r="B356" s="3"/>
      <c r="C356" s="3"/>
    </row>
    <row r="357" spans="1:3" ht="12.75">
      <c r="A357" s="3"/>
      <c r="B357" s="3"/>
      <c r="C357" s="3"/>
    </row>
    <row r="358" spans="1:3" ht="12.75">
      <c r="A358" s="3"/>
      <c r="B358" s="3"/>
      <c r="C358" s="3"/>
    </row>
    <row r="359" spans="1:3" ht="12.75">
      <c r="A359" s="3"/>
      <c r="B359" s="3"/>
      <c r="C359" s="3"/>
    </row>
    <row r="360" spans="1:3" ht="12.75">
      <c r="A360" s="3"/>
      <c r="B360" s="3"/>
      <c r="C360" s="3"/>
    </row>
    <row r="361" spans="1:3" ht="12.75">
      <c r="A361" s="3"/>
      <c r="B361" s="3"/>
      <c r="C361" s="3"/>
    </row>
    <row r="362" spans="1:3" ht="12.75">
      <c r="A362" s="3"/>
      <c r="B362" s="3"/>
      <c r="C362" s="3"/>
    </row>
    <row r="363" spans="1:3" ht="12.75">
      <c r="A363" s="3"/>
      <c r="B363" s="3"/>
      <c r="C363" s="3"/>
    </row>
    <row r="364" spans="1:3" ht="12.75">
      <c r="A364" s="3"/>
      <c r="B364" s="3"/>
      <c r="C364" s="3"/>
    </row>
    <row r="365" spans="1:3" ht="12.75">
      <c r="A365" s="3"/>
      <c r="B365" s="3"/>
      <c r="C365" s="3"/>
    </row>
    <row r="366" spans="1:3" ht="12.75">
      <c r="A366" s="3"/>
      <c r="B366" s="3"/>
      <c r="C366" s="3"/>
    </row>
    <row r="367" spans="1:3" ht="12.75">
      <c r="A367" s="3"/>
      <c r="B367" s="3"/>
      <c r="C367" s="3"/>
    </row>
    <row r="368" spans="1:3" ht="12.75">
      <c r="A368" s="3"/>
      <c r="B368" s="3"/>
      <c r="C368" s="3"/>
    </row>
    <row r="369" spans="1:3" ht="12.75">
      <c r="A369" s="3"/>
      <c r="B369" s="3"/>
      <c r="C369" s="3"/>
    </row>
    <row r="370" spans="1:3" ht="12.75">
      <c r="A370" s="3"/>
      <c r="B370" s="3"/>
      <c r="C370" s="3"/>
    </row>
    <row r="371" spans="1:3" ht="12.75">
      <c r="A371" s="3"/>
      <c r="B371" s="3"/>
      <c r="C371" s="3"/>
    </row>
    <row r="372" spans="1:3" ht="12.75">
      <c r="A372" s="3"/>
      <c r="B372" s="3"/>
      <c r="C372" s="3"/>
    </row>
    <row r="373" spans="1:3" ht="12.75">
      <c r="A373" s="3"/>
      <c r="B373" s="3"/>
      <c r="C373" s="3"/>
    </row>
    <row r="374" spans="1:3" ht="12.75">
      <c r="A374" s="3"/>
      <c r="B374" s="3"/>
      <c r="C374" s="3"/>
    </row>
    <row r="375" spans="1:3" ht="12.75">
      <c r="A375" s="3"/>
      <c r="B375" s="3"/>
      <c r="C375" s="3"/>
    </row>
    <row r="376" spans="1:3" ht="12.75">
      <c r="A376" s="3"/>
      <c r="B376" s="3"/>
      <c r="C376" s="3"/>
    </row>
    <row r="377" spans="1:3" ht="12.75">
      <c r="A377" s="3"/>
      <c r="B377" s="3"/>
      <c r="C377" s="3"/>
    </row>
    <row r="378" spans="1:3" ht="12.75">
      <c r="A378" s="3"/>
      <c r="B378" s="3"/>
      <c r="C378" s="3"/>
    </row>
    <row r="379" spans="1:3" ht="12.75">
      <c r="A379" s="3"/>
      <c r="B379" s="3"/>
      <c r="C379" s="3"/>
    </row>
    <row r="380" spans="1:3" ht="12.75">
      <c r="A380" s="3"/>
      <c r="B380" s="3"/>
      <c r="C380" s="3"/>
    </row>
    <row r="381" spans="1:3" ht="12.75">
      <c r="A381" s="3"/>
      <c r="B381" s="3"/>
      <c r="C381" s="3"/>
    </row>
    <row r="382" spans="1:3" ht="12.75">
      <c r="A382" s="3"/>
      <c r="B382" s="3"/>
      <c r="C382" s="3"/>
    </row>
    <row r="383" spans="1:3" ht="12.75">
      <c r="A383" s="3"/>
      <c r="B383" s="3"/>
      <c r="C383" s="3"/>
    </row>
    <row r="384" spans="1:3" ht="12.75">
      <c r="A384" s="3"/>
      <c r="B384" s="3"/>
      <c r="C384" s="3"/>
    </row>
    <row r="385" spans="1:3" ht="12.75">
      <c r="A385" s="3"/>
      <c r="B385" s="3"/>
      <c r="C385" s="3"/>
    </row>
    <row r="386" spans="1:3" ht="12.75">
      <c r="A386" s="3"/>
      <c r="B386" s="3"/>
      <c r="C386" s="3"/>
    </row>
    <row r="387" spans="1:3" ht="12.75">
      <c r="A387" s="3"/>
      <c r="B387" s="3"/>
      <c r="C387" s="3"/>
    </row>
    <row r="388" spans="1:3" ht="12.75">
      <c r="A388" s="3"/>
      <c r="B388" s="3"/>
      <c r="C388" s="3"/>
    </row>
    <row r="389" spans="1:3" ht="12.75">
      <c r="A389" s="3"/>
      <c r="B389" s="3"/>
      <c r="C389" s="3"/>
    </row>
    <row r="390" spans="1:3" ht="12.75">
      <c r="A390" s="3"/>
      <c r="B390" s="3"/>
      <c r="C390" s="3"/>
    </row>
    <row r="391" spans="1:3" ht="12.75">
      <c r="A391" s="3"/>
      <c r="B391" s="3"/>
      <c r="C391" s="3"/>
    </row>
    <row r="392" spans="1:3" ht="12.75">
      <c r="A392" s="3"/>
      <c r="B392" s="3"/>
      <c r="C392" s="3"/>
    </row>
    <row r="393" spans="1:3" ht="12.75">
      <c r="A393" s="3"/>
      <c r="B393" s="3"/>
      <c r="C393" s="3"/>
    </row>
    <row r="394" spans="1:3" ht="12.75">
      <c r="A394" s="3"/>
      <c r="B394" s="3"/>
      <c r="C394" s="3"/>
    </row>
    <row r="395" spans="1:3" ht="12.75">
      <c r="A395" s="3"/>
      <c r="B395" s="3"/>
      <c r="C395" s="3"/>
    </row>
    <row r="396" spans="1:3" ht="12.75">
      <c r="A396" s="3"/>
      <c r="B396" s="3"/>
      <c r="C396" s="3"/>
    </row>
    <row r="397" spans="1:3" ht="12.75">
      <c r="A397" s="3"/>
      <c r="B397" s="3"/>
      <c r="C397" s="3"/>
    </row>
    <row r="398" spans="1:3" ht="12.75">
      <c r="A398" s="3"/>
      <c r="B398" s="3"/>
      <c r="C398" s="3"/>
    </row>
    <row r="399" spans="1:3" ht="12.75">
      <c r="A399" s="3"/>
      <c r="B399" s="3"/>
      <c r="C399" s="3"/>
    </row>
    <row r="400" spans="1:3" ht="12.75">
      <c r="A400" s="3"/>
      <c r="B400" s="3"/>
      <c r="C400" s="3"/>
    </row>
    <row r="401" spans="1:3" ht="12.75">
      <c r="A401" s="3"/>
      <c r="B401" s="3"/>
      <c r="C401" s="3"/>
    </row>
    <row r="402" spans="1:3" ht="12.75">
      <c r="A402" s="3"/>
      <c r="B402" s="3"/>
      <c r="C402" s="3"/>
    </row>
    <row r="403" spans="1:3" ht="12.75">
      <c r="A403" s="3"/>
      <c r="B403" s="3"/>
      <c r="C403" s="3"/>
    </row>
    <row r="404" spans="1:3" ht="12.75">
      <c r="A404" s="3"/>
      <c r="B404" s="3"/>
      <c r="C404" s="3"/>
    </row>
    <row r="405" spans="1:3" ht="12.75">
      <c r="A405" s="3"/>
      <c r="B405" s="3"/>
      <c r="C405" s="3"/>
    </row>
    <row r="406" spans="1:3" ht="12.75">
      <c r="A406" s="3"/>
      <c r="B406" s="3"/>
      <c r="C406" s="3"/>
    </row>
    <row r="407" spans="1:3" ht="12.75">
      <c r="A407" s="3"/>
      <c r="B407" s="3"/>
      <c r="C407" s="3"/>
    </row>
    <row r="408" spans="1:3" ht="12.75">
      <c r="A408" s="3"/>
      <c r="B408" s="3"/>
      <c r="C408" s="3"/>
    </row>
    <row r="409" spans="1:3" ht="12.75">
      <c r="A409" s="3"/>
      <c r="B409" s="3"/>
      <c r="C409" s="3"/>
    </row>
    <row r="410" spans="1:3" ht="12.75">
      <c r="A410" s="3"/>
      <c r="B410" s="3"/>
      <c r="C410" s="3"/>
    </row>
    <row r="411" spans="1:3" ht="12.75">
      <c r="A411" s="3"/>
      <c r="B411" s="3"/>
      <c r="C411" s="3"/>
    </row>
    <row r="412" spans="1:3" ht="12.75">
      <c r="A412" s="3"/>
      <c r="B412" s="3"/>
      <c r="C412" s="3"/>
    </row>
    <row r="413" spans="1:3" ht="12.75">
      <c r="A413" s="3"/>
      <c r="B413" s="3"/>
      <c r="C413" s="3"/>
    </row>
    <row r="414" spans="1:3" ht="12.75">
      <c r="A414" s="3"/>
      <c r="B414" s="3"/>
      <c r="C414" s="3"/>
    </row>
    <row r="415" spans="1:3" ht="12.75">
      <c r="A415" s="3"/>
      <c r="B415" s="3"/>
      <c r="C415" s="3"/>
    </row>
    <row r="416" spans="1:3" ht="12.75">
      <c r="A416" s="3"/>
      <c r="B416" s="3"/>
      <c r="C416" s="3"/>
    </row>
    <row r="417" spans="1:3" ht="12.75">
      <c r="A417" s="3"/>
      <c r="B417" s="3"/>
      <c r="C417" s="3"/>
    </row>
    <row r="418" spans="1:3" ht="12.75">
      <c r="A418" s="3"/>
      <c r="B418" s="3"/>
      <c r="C418" s="3"/>
    </row>
    <row r="419" spans="1:3" ht="12.75">
      <c r="A419" s="3"/>
      <c r="B419" s="3"/>
      <c r="C419" s="3"/>
    </row>
    <row r="420" spans="1:3" ht="12.75">
      <c r="A420" s="3"/>
      <c r="B420" s="3"/>
      <c r="C420" s="3"/>
    </row>
    <row r="421" spans="1:3" ht="12.75">
      <c r="A421" s="3"/>
      <c r="B421" s="3"/>
      <c r="C421" s="3"/>
    </row>
    <row r="422" spans="1:3" ht="12.75">
      <c r="A422" s="3"/>
      <c r="B422" s="3"/>
      <c r="C422" s="3"/>
    </row>
    <row r="423" spans="1:3" ht="12.75">
      <c r="A423" s="3"/>
      <c r="B423" s="3"/>
      <c r="C423" s="3"/>
    </row>
    <row r="424" spans="1:3" ht="12.75">
      <c r="A424" s="3"/>
      <c r="B424" s="3"/>
      <c r="C424" s="3"/>
    </row>
    <row r="425" spans="1:3" ht="12.75">
      <c r="A425" s="3"/>
      <c r="B425" s="3"/>
      <c r="C425" s="3"/>
    </row>
    <row r="426" spans="1:3" ht="12.75">
      <c r="A426" s="3"/>
      <c r="B426" s="3"/>
      <c r="C426" s="3"/>
    </row>
    <row r="427" spans="1:3" ht="12.75">
      <c r="A427" s="3"/>
      <c r="B427" s="3"/>
      <c r="C427" s="3"/>
    </row>
    <row r="428" spans="1:3" ht="12.75">
      <c r="A428" s="3"/>
      <c r="B428" s="3"/>
      <c r="C428" s="3"/>
    </row>
    <row r="429" spans="1:3" ht="12.75">
      <c r="A429" s="3"/>
      <c r="B429" s="3"/>
      <c r="C429" s="3"/>
    </row>
    <row r="430" spans="1:3" ht="12.75">
      <c r="A430" s="3"/>
      <c r="B430" s="3"/>
      <c r="C430" s="3"/>
    </row>
    <row r="431" spans="1:3" ht="12.75">
      <c r="A431" s="3"/>
      <c r="B431" s="3"/>
      <c r="C431" s="3"/>
    </row>
    <row r="432" spans="1:3" ht="12.75">
      <c r="A432" s="3"/>
      <c r="B432" s="3"/>
      <c r="C432" s="3"/>
    </row>
    <row r="433" spans="1:3" ht="12.75">
      <c r="A433" s="3"/>
      <c r="B433" s="3"/>
      <c r="C433" s="3"/>
    </row>
    <row r="434" spans="1:3" ht="12.75">
      <c r="A434" s="3"/>
      <c r="B434" s="3"/>
      <c r="C434" s="3"/>
    </row>
    <row r="435" spans="1:3" ht="12.75">
      <c r="A435" s="3"/>
      <c r="B435" s="3"/>
      <c r="C435" s="3"/>
    </row>
    <row r="436" spans="1:3" ht="12.75">
      <c r="A436" s="3"/>
      <c r="B436" s="3"/>
      <c r="C436" s="3"/>
    </row>
    <row r="437" spans="1:3" ht="12.75">
      <c r="A437" s="3"/>
      <c r="B437" s="3"/>
      <c r="C437" s="3"/>
    </row>
    <row r="438" spans="1:3" ht="12.75">
      <c r="A438" s="3"/>
      <c r="B438" s="3"/>
      <c r="C438" s="3"/>
    </row>
    <row r="439" spans="1:3" ht="12.75">
      <c r="A439" s="3"/>
      <c r="B439" s="3"/>
      <c r="C439" s="3"/>
    </row>
    <row r="440" spans="1:3" ht="12.75">
      <c r="A440" s="3"/>
      <c r="B440" s="3"/>
      <c r="C440" s="3"/>
    </row>
    <row r="441" spans="1:3" ht="12.75">
      <c r="A441" s="3"/>
      <c r="B441" s="3"/>
      <c r="C441" s="3"/>
    </row>
    <row r="442" spans="1:3" ht="12.75">
      <c r="A442" s="3"/>
      <c r="B442" s="3"/>
      <c r="C442" s="3"/>
    </row>
    <row r="443" spans="1:3" ht="12.75">
      <c r="A443" s="3"/>
      <c r="B443" s="3"/>
      <c r="C443" s="3"/>
    </row>
    <row r="444" spans="1:3" ht="12.75">
      <c r="A444" s="3"/>
      <c r="B444" s="3"/>
      <c r="C444" s="3"/>
    </row>
    <row r="445" spans="1:3" ht="12.75">
      <c r="A445" s="3"/>
      <c r="B445" s="3"/>
      <c r="C445" s="3"/>
    </row>
    <row r="446" spans="1:3" ht="12.75">
      <c r="A446" s="3"/>
      <c r="B446" s="3"/>
      <c r="C446" s="3"/>
    </row>
    <row r="447" spans="1:3" ht="12.75">
      <c r="A447" s="3"/>
      <c r="B447" s="3"/>
      <c r="C447" s="3"/>
    </row>
    <row r="448" spans="1:3" ht="12.75">
      <c r="A448" s="3"/>
      <c r="B448" s="3"/>
      <c r="C448" s="3"/>
    </row>
    <row r="449" spans="1:3" ht="12.75">
      <c r="A449" s="3"/>
      <c r="B449" s="3"/>
      <c r="C449" s="3"/>
    </row>
    <row r="450" spans="1:3" ht="12.75">
      <c r="A450" s="3"/>
      <c r="B450" s="3"/>
      <c r="C450" s="3"/>
    </row>
    <row r="451" spans="1:3" ht="12.75">
      <c r="A451" s="3"/>
      <c r="B451" s="3"/>
      <c r="C451" s="3"/>
    </row>
    <row r="452" spans="1:3" ht="12.75">
      <c r="A452" s="3"/>
      <c r="B452" s="3"/>
      <c r="C452" s="3"/>
    </row>
    <row r="453" spans="1:3" ht="12.75">
      <c r="A453" s="3"/>
      <c r="B453" s="3"/>
      <c r="C453" s="3"/>
    </row>
    <row r="454" spans="1:3" ht="12.75">
      <c r="A454" s="3"/>
      <c r="B454" s="3"/>
      <c r="C454" s="3"/>
    </row>
    <row r="455" spans="1:3" ht="12.75">
      <c r="A455" s="3"/>
      <c r="B455" s="3"/>
      <c r="C455" s="3"/>
    </row>
    <row r="456" spans="1:3" ht="12.75">
      <c r="A456" s="3"/>
      <c r="B456" s="3"/>
      <c r="C456" s="3"/>
    </row>
    <row r="457" spans="1:3" ht="12.75">
      <c r="A457" s="3"/>
      <c r="B457" s="3"/>
      <c r="C457" s="3"/>
    </row>
    <row r="458" spans="1:3" ht="12.75">
      <c r="A458" s="3"/>
      <c r="B458" s="3"/>
      <c r="C458" s="3"/>
    </row>
    <row r="459" spans="1:3" ht="12.75">
      <c r="A459" s="3"/>
      <c r="B459" s="3"/>
      <c r="C459" s="3"/>
    </row>
    <row r="460" spans="1:3" ht="12.75">
      <c r="A460" s="3"/>
      <c r="B460" s="3"/>
      <c r="C460" s="3"/>
    </row>
    <row r="461" spans="1:3" ht="12.75">
      <c r="A461" s="3"/>
      <c r="B461" s="3"/>
      <c r="C461" s="3"/>
    </row>
    <row r="462" spans="1:3" ht="12.75">
      <c r="A462" s="3"/>
      <c r="B462" s="3"/>
      <c r="C462" s="3"/>
    </row>
    <row r="463" spans="1:3" ht="12.75">
      <c r="A463" s="3"/>
      <c r="B463" s="3"/>
      <c r="C463" s="3"/>
    </row>
    <row r="464" spans="1:3" ht="12.75">
      <c r="A464" s="3"/>
      <c r="B464" s="3"/>
      <c r="C464" s="3"/>
    </row>
    <row r="465" spans="1:3" ht="12.75">
      <c r="A465" s="3"/>
      <c r="B465" s="3"/>
      <c r="C465" s="3"/>
    </row>
    <row r="466" spans="1:3" ht="12.75">
      <c r="A466" s="3"/>
      <c r="B466" s="3"/>
      <c r="C466" s="3"/>
    </row>
    <row r="467" spans="1:3" ht="12.75">
      <c r="A467" s="3"/>
      <c r="B467" s="3"/>
      <c r="C467" s="3"/>
    </row>
    <row r="468" spans="1:3" ht="12.75">
      <c r="A468" s="3"/>
      <c r="B468" s="3"/>
      <c r="C468" s="3"/>
    </row>
    <row r="469" spans="1:3" ht="12.75">
      <c r="A469" s="3"/>
      <c r="B469" s="3"/>
      <c r="C469" s="3"/>
    </row>
    <row r="470" spans="1:3" ht="12.75">
      <c r="A470" s="3"/>
      <c r="B470" s="3"/>
      <c r="C470" s="3"/>
    </row>
    <row r="471" spans="1:3" ht="12.75">
      <c r="A471" s="3"/>
      <c r="B471" s="3"/>
      <c r="C471" s="3"/>
    </row>
    <row r="472" spans="1:3" ht="12.75">
      <c r="A472" s="3"/>
      <c r="B472" s="3"/>
      <c r="C472" s="3"/>
    </row>
    <row r="473" spans="1:3" ht="12.75">
      <c r="A473" s="3"/>
      <c r="B473" s="3"/>
      <c r="C473" s="3"/>
    </row>
    <row r="474" spans="1:3" ht="12.75">
      <c r="A474" s="3"/>
      <c r="B474" s="3"/>
      <c r="C474" s="3"/>
    </row>
    <row r="475" spans="1:3" ht="12.75">
      <c r="A475" s="3"/>
      <c r="B475" s="3"/>
      <c r="C475" s="3"/>
    </row>
    <row r="476" spans="1:3" ht="12.75">
      <c r="A476" s="3"/>
      <c r="B476" s="3"/>
      <c r="C476" s="3"/>
    </row>
    <row r="477" spans="1:3" ht="12.75">
      <c r="A477" s="3"/>
      <c r="B477" s="3"/>
      <c r="C477" s="3"/>
    </row>
    <row r="478" spans="1:3" ht="12.75">
      <c r="A478" s="3"/>
      <c r="B478" s="3"/>
      <c r="C478" s="3"/>
    </row>
    <row r="479" spans="1:3" ht="12.75">
      <c r="A479" s="3"/>
      <c r="B479" s="3"/>
      <c r="C479" s="3"/>
    </row>
    <row r="480" spans="1:3" ht="12.75">
      <c r="A480" s="3"/>
      <c r="B480" s="3"/>
      <c r="C480" s="3"/>
    </row>
    <row r="481" spans="1:3" ht="12.75">
      <c r="A481" s="3"/>
      <c r="B481" s="3"/>
      <c r="C481" s="3"/>
    </row>
    <row r="482" spans="1:3" ht="12.75">
      <c r="A482" s="3"/>
      <c r="B482" s="3"/>
      <c r="C482" s="3"/>
    </row>
    <row r="483" spans="1:3" ht="12.75">
      <c r="A483" s="3"/>
      <c r="B483" s="3"/>
      <c r="C483" s="3"/>
    </row>
    <row r="484" spans="1:3" ht="12.75">
      <c r="A484" s="3"/>
      <c r="B484" s="3"/>
      <c r="C484" s="3"/>
    </row>
    <row r="485" spans="1:3" ht="12.75">
      <c r="A485" s="3"/>
      <c r="B485" s="3"/>
      <c r="C485" s="3"/>
    </row>
    <row r="486" spans="1:3" ht="12.75">
      <c r="A486" s="3"/>
      <c r="B486" s="3"/>
      <c r="C486" s="3"/>
    </row>
    <row r="487" spans="1:3" ht="12.75">
      <c r="A487" s="3"/>
      <c r="B487" s="3"/>
      <c r="C487" s="3"/>
    </row>
    <row r="488" spans="1:3" ht="12.75">
      <c r="A488" s="3"/>
      <c r="B488" s="3"/>
      <c r="C488" s="3"/>
    </row>
    <row r="489" spans="1:3" ht="12.75">
      <c r="A489" s="3"/>
      <c r="B489" s="3"/>
      <c r="C489" s="3"/>
    </row>
    <row r="490" spans="1:3" ht="12.75">
      <c r="A490" s="3"/>
      <c r="B490" s="3"/>
      <c r="C490" s="3"/>
    </row>
    <row r="491" spans="1:3" ht="12.75">
      <c r="A491" s="3"/>
      <c r="B491" s="3"/>
      <c r="C491" s="3"/>
    </row>
    <row r="492" spans="1:3" ht="12.75">
      <c r="A492" s="3"/>
      <c r="B492" s="3"/>
      <c r="C492" s="3"/>
    </row>
    <row r="493" spans="1:3" ht="12.75">
      <c r="A493" s="3"/>
      <c r="B493" s="3"/>
      <c r="C493" s="3"/>
    </row>
    <row r="494" spans="1:3" ht="12.75">
      <c r="A494" s="3"/>
      <c r="B494" s="3"/>
      <c r="C494" s="3"/>
    </row>
    <row r="495" spans="1:3" ht="12.75">
      <c r="A495" s="3"/>
      <c r="B495" s="3"/>
      <c r="C495" s="3"/>
    </row>
    <row r="496" spans="1:3" ht="12.75">
      <c r="A496" s="3"/>
      <c r="B496" s="3"/>
      <c r="C496" s="3"/>
    </row>
    <row r="497" spans="1:3" ht="12.75">
      <c r="A497" s="3"/>
      <c r="B497" s="3"/>
      <c r="C497" s="3"/>
    </row>
    <row r="498" spans="1:3" ht="12.75">
      <c r="A498" s="3"/>
      <c r="B498" s="3"/>
      <c r="C498" s="3"/>
    </row>
    <row r="499" spans="1:3" ht="12.75">
      <c r="A499" s="3"/>
      <c r="B499" s="3"/>
      <c r="C499" s="3"/>
    </row>
    <row r="500" spans="1:3" ht="12.75">
      <c r="A500" s="3"/>
      <c r="B500" s="3"/>
      <c r="C500" s="3"/>
    </row>
    <row r="501" spans="1:3" ht="12.75">
      <c r="A501" s="3"/>
      <c r="B501" s="3"/>
      <c r="C501" s="3"/>
    </row>
    <row r="502" spans="1:3" ht="12.75">
      <c r="A502" s="3"/>
      <c r="B502" s="3"/>
      <c r="C502" s="3"/>
    </row>
    <row r="503" spans="1:3" ht="12.75">
      <c r="A503" s="3"/>
      <c r="B503" s="3"/>
      <c r="C503" s="3"/>
    </row>
    <row r="504" spans="1:3" ht="12.75">
      <c r="A504" s="3"/>
      <c r="B504" s="3"/>
      <c r="C504" s="3"/>
    </row>
    <row r="505" spans="1:3" ht="12.75">
      <c r="A505" s="3"/>
      <c r="B505" s="3"/>
      <c r="C505" s="3"/>
    </row>
    <row r="506" spans="1:3" ht="12.75">
      <c r="A506" s="3"/>
      <c r="B506" s="3"/>
      <c r="C506" s="3"/>
    </row>
    <row r="507" spans="1:3" ht="12.75">
      <c r="A507" s="3"/>
      <c r="B507" s="3"/>
      <c r="C507" s="3"/>
    </row>
    <row r="508" spans="1:3" ht="12.75">
      <c r="A508" s="3"/>
      <c r="B508" s="3"/>
      <c r="C508" s="3"/>
    </row>
    <row r="509" spans="1:3" ht="12.75">
      <c r="A509" s="3"/>
      <c r="B509" s="3"/>
      <c r="C509" s="3"/>
    </row>
    <row r="510" spans="1:3" ht="12.75">
      <c r="A510" s="3"/>
      <c r="B510" s="3"/>
      <c r="C510" s="3"/>
    </row>
    <row r="511" spans="1:3" ht="12.75">
      <c r="A511" s="3"/>
      <c r="B511" s="3"/>
      <c r="C511" s="3"/>
    </row>
    <row r="512" spans="1:3" ht="12.75">
      <c r="A512" s="3"/>
      <c r="B512" s="3"/>
      <c r="C512" s="3"/>
    </row>
    <row r="513" spans="1:3" ht="12.75">
      <c r="A513" s="3"/>
      <c r="B513" s="3"/>
      <c r="C513" s="3"/>
    </row>
    <row r="514" spans="1:3" ht="12.75">
      <c r="A514" s="3"/>
      <c r="B514" s="3"/>
      <c r="C514" s="3"/>
    </row>
    <row r="515" spans="1:3" ht="12.75">
      <c r="A515" s="3"/>
      <c r="B515" s="3"/>
      <c r="C515" s="3"/>
    </row>
    <row r="516" spans="1:3" ht="12.75">
      <c r="A516" s="3"/>
      <c r="B516" s="3"/>
      <c r="C516" s="3"/>
    </row>
    <row r="517" spans="1:3" ht="12.75">
      <c r="A517" s="3"/>
      <c r="B517" s="3"/>
      <c r="C517" s="3"/>
    </row>
    <row r="518" spans="1:3" ht="12.75">
      <c r="A518" s="3"/>
      <c r="B518" s="3"/>
      <c r="C518" s="3"/>
    </row>
    <row r="519" spans="1:3" ht="12.75">
      <c r="A519" s="3"/>
      <c r="B519" s="3"/>
      <c r="C519" s="3"/>
    </row>
    <row r="520" spans="1:3" ht="12.75">
      <c r="A520" s="3"/>
      <c r="B520" s="3"/>
      <c r="C520" s="3"/>
    </row>
    <row r="521" spans="1:3" ht="12.75">
      <c r="A521" s="3"/>
      <c r="B521" s="3"/>
      <c r="C521" s="3"/>
    </row>
    <row r="522" spans="1:3" ht="12.75">
      <c r="A522" s="3"/>
      <c r="B522" s="3"/>
      <c r="C522" s="3"/>
    </row>
    <row r="523" spans="1:3" ht="12.75">
      <c r="A523" s="3"/>
      <c r="B523" s="3"/>
      <c r="C523" s="3"/>
    </row>
    <row r="524" spans="1:3" ht="12.75">
      <c r="A524" s="3"/>
      <c r="B524" s="3"/>
      <c r="C524" s="3"/>
    </row>
    <row r="525" spans="1:3" ht="12.75">
      <c r="A525" s="3"/>
      <c r="B525" s="3"/>
      <c r="C525" s="3"/>
    </row>
    <row r="526" spans="1:3" ht="12.75">
      <c r="A526" s="3"/>
      <c r="B526" s="3"/>
      <c r="C526" s="3"/>
    </row>
    <row r="527" spans="1:3" ht="12.75">
      <c r="A527" s="3"/>
      <c r="B527" s="3"/>
      <c r="C527" s="3"/>
    </row>
    <row r="528" spans="1:3" ht="12.75">
      <c r="A528" s="3"/>
      <c r="B528" s="3"/>
      <c r="C528" s="3"/>
    </row>
    <row r="529" spans="1:3" ht="12.75">
      <c r="A529" s="3"/>
      <c r="B529" s="3"/>
      <c r="C529" s="3"/>
    </row>
    <row r="530" spans="1:3" ht="12.75">
      <c r="A530" s="3"/>
      <c r="B530" s="3"/>
      <c r="C530" s="3"/>
    </row>
    <row r="531" spans="1:3" ht="12.75">
      <c r="A531" s="3"/>
      <c r="B531" s="3"/>
      <c r="C531" s="3"/>
    </row>
    <row r="532" spans="1:3" ht="12.75">
      <c r="A532" s="3"/>
      <c r="B532" s="3"/>
      <c r="C532" s="3"/>
    </row>
    <row r="533" spans="1:3" ht="12.75">
      <c r="A533" s="3"/>
      <c r="B533" s="3"/>
      <c r="C533" s="3"/>
    </row>
    <row r="534" spans="1:3" ht="12.75">
      <c r="A534" s="3"/>
      <c r="B534" s="3"/>
      <c r="C534" s="3"/>
    </row>
    <row r="535" spans="1:3" ht="12.75">
      <c r="A535" s="3"/>
      <c r="B535" s="3"/>
      <c r="C535" s="3"/>
    </row>
    <row r="536" spans="1:3" ht="12.75">
      <c r="A536" s="3"/>
      <c r="B536" s="3"/>
      <c r="C536" s="3"/>
    </row>
    <row r="537" spans="1:3" ht="12.75">
      <c r="A537" s="3"/>
      <c r="B537" s="3"/>
      <c r="C537" s="3"/>
    </row>
    <row r="538" spans="1:3" ht="12.75">
      <c r="A538" s="3"/>
      <c r="B538" s="3"/>
      <c r="C538" s="3"/>
    </row>
    <row r="539" spans="1:3" ht="12.75">
      <c r="A539" s="3"/>
      <c r="B539" s="3"/>
      <c r="C539" s="3"/>
    </row>
    <row r="540" spans="1:3" ht="12.75">
      <c r="A540" s="3"/>
      <c r="B540" s="3"/>
      <c r="C540" s="3"/>
    </row>
    <row r="541" spans="1:3" ht="12.75">
      <c r="A541" s="3"/>
      <c r="B541" s="3"/>
      <c r="C541" s="3"/>
    </row>
    <row r="542" spans="1:3" ht="12.75">
      <c r="A542" s="3"/>
      <c r="B542" s="3"/>
      <c r="C542" s="3"/>
    </row>
    <row r="543" spans="1:3" ht="12.75">
      <c r="A543" s="3"/>
      <c r="B543" s="3"/>
      <c r="C543" s="3"/>
    </row>
    <row r="544" spans="1:3" ht="12.75">
      <c r="A544" s="3"/>
      <c r="B544" s="3"/>
      <c r="C544" s="3"/>
    </row>
    <row r="545" spans="1:3" ht="12.75">
      <c r="A545" s="3"/>
      <c r="B545" s="3"/>
      <c r="C545" s="3"/>
    </row>
    <row r="546" spans="1:3" ht="12.75">
      <c r="A546" s="3"/>
      <c r="B546" s="3"/>
      <c r="C546" s="3"/>
    </row>
    <row r="547" spans="1:3" ht="12.75">
      <c r="A547" s="3"/>
      <c r="B547" s="3"/>
      <c r="C547" s="3"/>
    </row>
    <row r="548" spans="1:3" ht="12.75">
      <c r="A548" s="3"/>
      <c r="B548" s="3"/>
      <c r="C548" s="3"/>
    </row>
    <row r="549" spans="1:3" ht="12.75">
      <c r="A549" s="3"/>
      <c r="B549" s="3"/>
      <c r="C549" s="3"/>
    </row>
    <row r="550" spans="1:3" ht="12.75">
      <c r="A550" s="3"/>
      <c r="B550" s="3"/>
      <c r="C550" s="3"/>
    </row>
    <row r="551" spans="1:3" ht="12.75">
      <c r="A551" s="3"/>
      <c r="B551" s="3"/>
      <c r="C551" s="3"/>
    </row>
    <row r="552" spans="1:3" ht="12.75">
      <c r="A552" s="3"/>
      <c r="B552" s="3"/>
      <c r="C552" s="3"/>
    </row>
    <row r="553" spans="1:3" ht="12.75">
      <c r="A553" s="3"/>
      <c r="B553" s="3"/>
      <c r="C553" s="3"/>
    </row>
    <row r="554" spans="1:3" ht="12.75">
      <c r="A554" s="3"/>
      <c r="B554" s="3"/>
      <c r="C554" s="3"/>
    </row>
    <row r="555" spans="1:3" ht="12.75">
      <c r="A555" s="3"/>
      <c r="B555" s="3"/>
      <c r="C555" s="3"/>
    </row>
    <row r="556" spans="1:3" ht="12.75">
      <c r="A556" s="3"/>
      <c r="B556" s="3"/>
      <c r="C556" s="3"/>
    </row>
    <row r="557" spans="1:3" ht="12.75">
      <c r="A557" s="3"/>
      <c r="B557" s="3"/>
      <c r="C557" s="3"/>
    </row>
    <row r="558" spans="1:3" ht="12.75">
      <c r="A558" s="3"/>
      <c r="B558" s="3"/>
      <c r="C558" s="3"/>
    </row>
    <row r="559" spans="1:3" ht="12.75">
      <c r="A559" s="3"/>
      <c r="B559" s="3"/>
      <c r="C559" s="3"/>
    </row>
    <row r="560" spans="1:3" ht="12.75">
      <c r="A560" s="3"/>
      <c r="B560" s="3"/>
      <c r="C560" s="3"/>
    </row>
    <row r="561" spans="1:3" ht="12.75">
      <c r="A561" s="3"/>
      <c r="B561" s="3"/>
      <c r="C561" s="3"/>
    </row>
    <row r="562" spans="1:3" ht="12.75">
      <c r="A562" s="3"/>
      <c r="B562" s="3"/>
      <c r="C562" s="3"/>
    </row>
    <row r="563" spans="1:3" ht="12.75">
      <c r="A563" s="3"/>
      <c r="B563" s="3"/>
      <c r="C563" s="3"/>
    </row>
    <row r="564" spans="1:3" ht="12.75">
      <c r="A564" s="3"/>
      <c r="B564" s="3"/>
      <c r="C564" s="3"/>
    </row>
    <row r="565" spans="1:3" ht="12.75">
      <c r="A565" s="3"/>
      <c r="B565" s="3"/>
      <c r="C565" s="3"/>
    </row>
    <row r="566" spans="1:3" ht="12.75">
      <c r="A566" s="3"/>
      <c r="B566" s="3"/>
      <c r="C566" s="3"/>
    </row>
    <row r="567" spans="1:3" ht="12.75">
      <c r="A567" s="3"/>
      <c r="B567" s="3"/>
      <c r="C567" s="3"/>
    </row>
    <row r="568" spans="1:3" ht="12.75">
      <c r="A568" s="3"/>
      <c r="B568" s="3"/>
      <c r="C568" s="3"/>
    </row>
    <row r="569" spans="1:3" ht="12.75">
      <c r="A569" s="3"/>
      <c r="B569" s="3"/>
      <c r="C569" s="3"/>
    </row>
    <row r="570" spans="1:3" ht="12.75">
      <c r="A570" s="3"/>
      <c r="B570" s="3"/>
      <c r="C570" s="3"/>
    </row>
    <row r="571" spans="1:3" ht="12.75">
      <c r="A571" s="3"/>
      <c r="B571" s="3"/>
      <c r="C571" s="3"/>
    </row>
    <row r="572" spans="1:3" ht="12.75">
      <c r="A572" s="3"/>
      <c r="B572" s="3"/>
      <c r="C572" s="3"/>
    </row>
    <row r="573" spans="1:3" ht="12.75">
      <c r="A573" s="3"/>
      <c r="B573" s="3"/>
      <c r="C573" s="3"/>
    </row>
    <row r="574" spans="1:3" ht="12.75">
      <c r="A574" s="3"/>
      <c r="B574" s="3"/>
      <c r="C574" s="3"/>
    </row>
    <row r="575" spans="1:3" ht="12.75">
      <c r="A575" s="3"/>
      <c r="B575" s="3"/>
      <c r="C575" s="3"/>
    </row>
    <row r="576" spans="1:3" ht="12.75">
      <c r="A576" s="3"/>
      <c r="B576" s="3"/>
      <c r="C576" s="3"/>
    </row>
    <row r="577" spans="1:3" ht="12.75">
      <c r="A577" s="3"/>
      <c r="B577" s="3"/>
      <c r="C577" s="3"/>
    </row>
    <row r="578" spans="1:3" ht="12.75">
      <c r="A578" s="3"/>
      <c r="B578" s="3"/>
      <c r="C578" s="3"/>
    </row>
    <row r="579" spans="1:3" ht="12.75">
      <c r="A579" s="3"/>
      <c r="B579" s="3"/>
      <c r="C579" s="3"/>
    </row>
    <row r="580" spans="1:3" ht="12.75">
      <c r="A580" s="3"/>
      <c r="B580" s="3"/>
      <c r="C580" s="3"/>
    </row>
    <row r="581" spans="1:3" ht="12.75">
      <c r="A581" s="3"/>
      <c r="B581" s="3"/>
      <c r="C581" s="3"/>
    </row>
    <row r="582" spans="1:3" ht="12.75">
      <c r="A582" s="3"/>
      <c r="B582" s="3"/>
      <c r="C582" s="3"/>
    </row>
    <row r="583" spans="1:3" ht="12.75">
      <c r="A583" s="3"/>
      <c r="B583" s="3"/>
      <c r="C583" s="3"/>
    </row>
    <row r="584" spans="1:3" ht="12.75">
      <c r="A584" s="3"/>
      <c r="B584" s="3"/>
      <c r="C584" s="3"/>
    </row>
    <row r="585" spans="1:3" ht="12.75">
      <c r="A585" s="3"/>
      <c r="B585" s="3"/>
      <c r="C585" s="3"/>
    </row>
    <row r="586" spans="1:3" ht="12.75">
      <c r="A586" s="3"/>
      <c r="B586" s="3"/>
      <c r="C586" s="3"/>
    </row>
    <row r="587" spans="1:3" ht="12.75">
      <c r="A587" s="3"/>
      <c r="B587" s="3"/>
      <c r="C587" s="3"/>
    </row>
    <row r="588" spans="1:3" ht="12.75">
      <c r="A588" s="3"/>
      <c r="B588" s="3"/>
      <c r="C588" s="3"/>
    </row>
    <row r="589" spans="1:3" ht="12.75">
      <c r="A589" s="3"/>
      <c r="B589" s="3"/>
      <c r="C589" s="3"/>
    </row>
    <row r="590" spans="1:3" ht="12.75">
      <c r="A590" s="3"/>
      <c r="B590" s="3"/>
      <c r="C590" s="3"/>
    </row>
    <row r="591" spans="1:3" ht="12.75">
      <c r="A591" s="3"/>
      <c r="B591" s="3"/>
      <c r="C591" s="3"/>
    </row>
    <row r="592" spans="1:3" ht="12.75">
      <c r="A592" s="3"/>
      <c r="B592" s="3"/>
      <c r="C592" s="3"/>
    </row>
    <row r="593" spans="1:3" ht="12.75">
      <c r="A593" s="3"/>
      <c r="B593" s="3"/>
      <c r="C593" s="3"/>
    </row>
    <row r="594" spans="1:3" ht="12.75">
      <c r="A594" s="3"/>
      <c r="B594" s="3"/>
      <c r="C594" s="3"/>
    </row>
    <row r="595" spans="1:3" ht="12.75">
      <c r="A595" s="3"/>
      <c r="B595" s="3"/>
      <c r="C595" s="3"/>
    </row>
    <row r="596" spans="1:3" ht="12.75">
      <c r="A596" s="3"/>
      <c r="B596" s="3"/>
      <c r="C596" s="3"/>
    </row>
    <row r="597" spans="1:3" ht="12.75">
      <c r="A597" s="3"/>
      <c r="B597" s="3"/>
      <c r="C597" s="3"/>
    </row>
    <row r="598" spans="1:3" ht="12.75">
      <c r="A598" s="3"/>
      <c r="B598" s="3"/>
      <c r="C598" s="3"/>
    </row>
    <row r="599" spans="1:3" ht="12.75">
      <c r="A599" s="3"/>
      <c r="B599" s="3"/>
      <c r="C599" s="3"/>
    </row>
    <row r="600" spans="1:3" ht="12.75">
      <c r="A600" s="3"/>
      <c r="B600" s="3"/>
      <c r="C600" s="3"/>
    </row>
    <row r="601" spans="1:3" ht="12.75">
      <c r="A601" s="3"/>
      <c r="B601" s="3"/>
      <c r="C601" s="3"/>
    </row>
    <row r="602" spans="1:3" ht="12.75">
      <c r="A602" s="3"/>
      <c r="B602" s="3"/>
      <c r="C602" s="3"/>
    </row>
    <row r="603" spans="1:3" ht="12.75">
      <c r="A603" s="3"/>
      <c r="B603" s="3"/>
      <c r="C603" s="3"/>
    </row>
    <row r="604" spans="1:3" ht="12.75">
      <c r="A604" s="3"/>
      <c r="B604" s="3"/>
      <c r="C604" s="3"/>
    </row>
    <row r="605" spans="1:3" ht="12.75">
      <c r="A605" s="3"/>
      <c r="B605" s="3"/>
      <c r="C605" s="3"/>
    </row>
    <row r="606" spans="1:3" ht="12.75">
      <c r="A606" s="3"/>
      <c r="B606" s="3"/>
      <c r="C606" s="3"/>
    </row>
    <row r="607" spans="1:3" ht="12.75">
      <c r="A607" s="3"/>
      <c r="B607" s="3"/>
      <c r="C607" s="3"/>
    </row>
    <row r="608" spans="1:3" ht="12.75">
      <c r="A608" s="3"/>
      <c r="B608" s="3"/>
      <c r="C608" s="3"/>
    </row>
    <row r="609" spans="1:3" ht="12.75">
      <c r="A609" s="3"/>
      <c r="B609" s="3"/>
      <c r="C609" s="3"/>
    </row>
    <row r="610" spans="1:3" ht="12.75">
      <c r="A610" s="3"/>
      <c r="B610" s="3"/>
      <c r="C610" s="3"/>
    </row>
    <row r="611" spans="1:3" ht="12.75">
      <c r="A611" s="3"/>
      <c r="B611" s="3"/>
      <c r="C611" s="3"/>
    </row>
    <row r="612" spans="1:3" ht="12.75">
      <c r="A612" s="3"/>
      <c r="B612" s="3"/>
      <c r="C612" s="3"/>
    </row>
    <row r="613" spans="1:3" ht="12.75">
      <c r="A613" s="3"/>
      <c r="B613" s="3"/>
      <c r="C613" s="3"/>
    </row>
    <row r="614" spans="1:3" ht="12.75">
      <c r="A614" s="3"/>
      <c r="B614" s="3"/>
      <c r="C614" s="3"/>
    </row>
    <row r="615" spans="1:3" ht="12.75">
      <c r="A615" s="3"/>
      <c r="B615" s="3"/>
      <c r="C615" s="3"/>
    </row>
    <row r="616" spans="1:3" ht="12.75">
      <c r="A616" s="3"/>
      <c r="B616" s="3"/>
      <c r="C616" s="3"/>
    </row>
    <row r="617" spans="1:3" ht="12.75">
      <c r="A617" s="3"/>
      <c r="B617" s="3"/>
      <c r="C617" s="3"/>
    </row>
    <row r="618" spans="1:3" ht="12.75">
      <c r="A618" s="3"/>
      <c r="B618" s="3"/>
      <c r="C618" s="3"/>
    </row>
    <row r="619" spans="1:3" ht="12.75">
      <c r="A619" s="3"/>
      <c r="B619" s="3"/>
      <c r="C619" s="3"/>
    </row>
    <row r="620" spans="1:3" ht="12.75">
      <c r="A620" s="3"/>
      <c r="B620" s="3"/>
      <c r="C620" s="3"/>
    </row>
    <row r="621" spans="1:3" ht="12.75">
      <c r="A621" s="3"/>
      <c r="B621" s="3"/>
      <c r="C621" s="3"/>
    </row>
    <row r="622" spans="1:3" ht="12.75">
      <c r="A622" s="3"/>
      <c r="B622" s="3"/>
      <c r="C622" s="3"/>
    </row>
    <row r="623" spans="1:3" ht="12.75">
      <c r="A623" s="3"/>
      <c r="B623" s="3"/>
      <c r="C623" s="3"/>
    </row>
    <row r="624" spans="1:3" ht="12.75">
      <c r="A624" s="3"/>
      <c r="B624" s="3"/>
      <c r="C624" s="3"/>
    </row>
    <row r="625" spans="1:3" ht="12.75">
      <c r="A625" s="3"/>
      <c r="B625" s="3"/>
      <c r="C625" s="3"/>
    </row>
    <row r="626" spans="1:3" ht="12.75">
      <c r="A626" s="3"/>
      <c r="B626" s="3"/>
      <c r="C626" s="3"/>
    </row>
    <row r="627" spans="1:3" ht="12.75">
      <c r="A627" s="3"/>
      <c r="B627" s="3"/>
      <c r="C627" s="3"/>
    </row>
    <row r="628" spans="1:3" ht="12.75">
      <c r="A628" s="3"/>
      <c r="B628" s="3"/>
      <c r="C628" s="3"/>
    </row>
    <row r="629" spans="1:3" ht="12.75">
      <c r="A629" s="3"/>
      <c r="B629" s="3"/>
      <c r="C629" s="3"/>
    </row>
    <row r="630" spans="1:3" ht="12.75">
      <c r="A630" s="3"/>
      <c r="B630" s="3"/>
      <c r="C630" s="3"/>
    </row>
    <row r="631" spans="1:3" ht="12.75">
      <c r="A631" s="3"/>
      <c r="B631" s="3"/>
      <c r="C631" s="3"/>
    </row>
    <row r="632" spans="1:3" ht="12.75">
      <c r="A632" s="3"/>
      <c r="B632" s="3"/>
      <c r="C632" s="3"/>
    </row>
    <row r="633" spans="1:3" ht="12.75">
      <c r="A633" s="3"/>
      <c r="B633" s="3"/>
      <c r="C633" s="3"/>
    </row>
    <row r="634" spans="1:3" ht="12.75">
      <c r="A634" s="3"/>
      <c r="B634" s="3"/>
      <c r="C634" s="3"/>
    </row>
    <row r="635" spans="1:3" ht="12.75">
      <c r="A635" s="3"/>
      <c r="B635" s="3"/>
      <c r="C635" s="3"/>
    </row>
    <row r="636" spans="1:3" ht="12.75">
      <c r="A636" s="3"/>
      <c r="B636" s="3"/>
      <c r="C636" s="3"/>
    </row>
    <row r="637" spans="1:3" ht="12.75">
      <c r="A637" s="3"/>
      <c r="B637" s="3"/>
      <c r="C637" s="3"/>
    </row>
    <row r="638" spans="1:3" ht="12.75">
      <c r="A638" s="3"/>
      <c r="B638" s="3"/>
      <c r="C638" s="3"/>
    </row>
    <row r="639" spans="1:3" ht="12.75">
      <c r="A639" s="3"/>
      <c r="B639" s="3"/>
      <c r="C639" s="3"/>
    </row>
    <row r="640" spans="1:3" ht="12.75">
      <c r="A640" s="3"/>
      <c r="B640" s="3"/>
      <c r="C640" s="3"/>
    </row>
    <row r="641" spans="1:3" ht="12.75">
      <c r="A641" s="3"/>
      <c r="B641" s="3"/>
      <c r="C641" s="3"/>
    </row>
    <row r="642" spans="1:3" ht="12.75">
      <c r="A642" s="3"/>
      <c r="B642" s="3"/>
      <c r="C642" s="3"/>
    </row>
    <row r="643" spans="1:3" ht="12.75">
      <c r="A643" s="3"/>
      <c r="B643" s="3"/>
      <c r="C643" s="3"/>
    </row>
    <row r="644" spans="1:3" ht="12.75">
      <c r="A644" s="3"/>
      <c r="B644" s="3"/>
      <c r="C644" s="3"/>
    </row>
    <row r="645" spans="1:3" ht="12.75">
      <c r="A645" s="3"/>
      <c r="B645" s="3"/>
      <c r="C645" s="3"/>
    </row>
    <row r="646" spans="1:3" ht="12.75">
      <c r="A646" s="3"/>
      <c r="B646" s="3"/>
      <c r="C646" s="3"/>
    </row>
    <row r="647" spans="1:3" ht="12.75">
      <c r="A647" s="3"/>
      <c r="B647" s="3"/>
      <c r="C647" s="3"/>
    </row>
    <row r="648" spans="1:3" ht="12.75">
      <c r="A648" s="3"/>
      <c r="B648" s="3"/>
      <c r="C648" s="3"/>
    </row>
    <row r="649" spans="1:3" ht="12.75">
      <c r="A649" s="3"/>
      <c r="B649" s="3"/>
      <c r="C649" s="3"/>
    </row>
    <row r="650" spans="1:3" ht="12.75">
      <c r="A650" s="3"/>
      <c r="B650" s="3"/>
      <c r="C650" s="3"/>
    </row>
    <row r="651" spans="1:3" ht="12.75">
      <c r="A651" s="3"/>
      <c r="B651" s="3"/>
      <c r="C651" s="3"/>
    </row>
    <row r="652" spans="1:3" ht="12.75">
      <c r="A652" s="3"/>
      <c r="B652" s="3"/>
      <c r="C652" s="3"/>
    </row>
    <row r="653" spans="1:3" ht="12.75">
      <c r="A653" s="3"/>
      <c r="B653" s="3"/>
      <c r="C653" s="3"/>
    </row>
    <row r="654" spans="1:3" ht="12.75">
      <c r="A654" s="3"/>
      <c r="B654" s="3"/>
      <c r="C654" s="3"/>
    </row>
    <row r="655" spans="1:3" ht="12.75">
      <c r="A655" s="3"/>
      <c r="B655" s="3"/>
      <c r="C655" s="3"/>
    </row>
    <row r="656" spans="1:3" ht="12.75">
      <c r="A656" s="3"/>
      <c r="B656" s="3"/>
      <c r="C656" s="3"/>
    </row>
    <row r="657" spans="1:3" ht="12.75">
      <c r="A657" s="3"/>
      <c r="B657" s="3"/>
      <c r="C657" s="3"/>
    </row>
    <row r="658" spans="1:3" ht="12.75">
      <c r="A658" s="3"/>
      <c r="B658" s="3"/>
      <c r="C658" s="3"/>
    </row>
    <row r="659" spans="1:3" ht="12.75">
      <c r="A659" s="3"/>
      <c r="B659" s="3"/>
      <c r="C659" s="3"/>
    </row>
    <row r="660" spans="1:3" ht="12.75">
      <c r="A660" s="3"/>
      <c r="B660" s="3"/>
      <c r="C660" s="3"/>
    </row>
    <row r="661" spans="1:3" ht="12.75">
      <c r="A661" s="3"/>
      <c r="B661" s="3"/>
      <c r="C661" s="3"/>
    </row>
    <row r="662" spans="1:3" ht="12.75">
      <c r="A662" s="3"/>
      <c r="B662" s="3"/>
      <c r="C662" s="3"/>
    </row>
    <row r="663" spans="1:3" ht="12.75">
      <c r="A663" s="3"/>
      <c r="B663" s="3"/>
      <c r="C663" s="3"/>
    </row>
    <row r="664" spans="1:3" ht="12.75">
      <c r="A664" s="3"/>
      <c r="B664" s="3"/>
      <c r="C664" s="3"/>
    </row>
    <row r="665" spans="1:3" ht="12.75">
      <c r="A665" s="3"/>
      <c r="B665" s="3"/>
      <c r="C665" s="3"/>
    </row>
    <row r="666" spans="1:3" ht="12.75">
      <c r="A666" s="3"/>
      <c r="B666" s="3"/>
      <c r="C666" s="3"/>
    </row>
    <row r="667" spans="1:3" ht="12.75">
      <c r="A667" s="3"/>
      <c r="B667" s="3"/>
      <c r="C667" s="3"/>
    </row>
    <row r="668" spans="1:3" ht="12.75">
      <c r="A668" s="3"/>
      <c r="B668" s="3"/>
      <c r="C668" s="3"/>
    </row>
    <row r="669" spans="1:3" ht="12.75">
      <c r="A669" s="3"/>
      <c r="B669" s="3"/>
      <c r="C669" s="3"/>
    </row>
    <row r="670" spans="1:3" ht="12.75">
      <c r="A670" s="3"/>
      <c r="B670" s="3"/>
      <c r="C670" s="3"/>
    </row>
    <row r="671" spans="1:3" ht="12.75">
      <c r="A671" s="3"/>
      <c r="B671" s="3"/>
      <c r="C671" s="3"/>
    </row>
    <row r="672" spans="1:3" ht="12.75">
      <c r="A672" s="3"/>
      <c r="B672" s="3"/>
      <c r="C672" s="3"/>
    </row>
    <row r="673" spans="1:3" ht="12.75">
      <c r="A673" s="3"/>
      <c r="B673" s="3"/>
      <c r="C673" s="3"/>
    </row>
    <row r="674" spans="1:3" ht="12.75">
      <c r="A674" s="3"/>
      <c r="B674" s="3"/>
      <c r="C674" s="3"/>
    </row>
    <row r="675" spans="1:3" ht="12.75">
      <c r="A675" s="3"/>
      <c r="B675" s="3"/>
      <c r="C675" s="3"/>
    </row>
    <row r="676" spans="1:3" ht="12.75">
      <c r="A676" s="3"/>
      <c r="B676" s="3"/>
      <c r="C676" s="3"/>
    </row>
    <row r="677" spans="1:3" ht="12.75">
      <c r="A677" s="3"/>
      <c r="B677" s="3"/>
      <c r="C677" s="3"/>
    </row>
    <row r="678" spans="1:3" ht="12.75">
      <c r="A678" s="3"/>
      <c r="B678" s="3"/>
      <c r="C678" s="3"/>
    </row>
    <row r="679" spans="1:3" ht="12.75">
      <c r="A679" s="3"/>
      <c r="B679" s="3"/>
      <c r="C679" s="3"/>
    </row>
    <row r="680" spans="1:3" ht="12.75">
      <c r="A680" s="3"/>
      <c r="B680" s="3"/>
      <c r="C680" s="3"/>
    </row>
    <row r="681" spans="1:3" ht="12.75">
      <c r="A681" s="3"/>
      <c r="B681" s="3"/>
      <c r="C681" s="3"/>
    </row>
    <row r="682" spans="1:3" ht="12.75">
      <c r="A682" s="3"/>
      <c r="B682" s="3"/>
      <c r="C682" s="3"/>
    </row>
    <row r="683" spans="1:3" ht="12.75">
      <c r="A683" s="3"/>
      <c r="B683" s="3"/>
      <c r="C683" s="3"/>
    </row>
    <row r="684" spans="1:3" ht="12.75">
      <c r="A684" s="3"/>
      <c r="B684" s="3"/>
      <c r="C684" s="3"/>
    </row>
    <row r="685" spans="1:3" ht="12.75">
      <c r="A685" s="3"/>
      <c r="B685" s="3"/>
      <c r="C685" s="3"/>
    </row>
    <row r="686" spans="1:3" ht="12.75">
      <c r="A686" s="3"/>
      <c r="B686" s="3"/>
      <c r="C686" s="3"/>
    </row>
    <row r="687" spans="1:3" ht="12.75">
      <c r="A687" s="3"/>
      <c r="B687" s="3"/>
      <c r="C687" s="3"/>
    </row>
    <row r="688" spans="1:3" ht="12.75">
      <c r="A688" s="3"/>
      <c r="B688" s="3"/>
      <c r="C688" s="3"/>
    </row>
    <row r="689" spans="1:3" ht="12.75">
      <c r="A689" s="3"/>
      <c r="B689" s="3"/>
      <c r="C689" s="3"/>
    </row>
    <row r="690" spans="1:3" ht="12.75">
      <c r="A690" s="3"/>
      <c r="B690" s="3"/>
      <c r="C690" s="3"/>
    </row>
    <row r="691" spans="1:3" ht="12.75">
      <c r="A691" s="3"/>
      <c r="B691" s="3"/>
      <c r="C691" s="3"/>
    </row>
    <row r="692" spans="1:3" ht="12.75">
      <c r="A692" s="3"/>
      <c r="B692" s="3"/>
      <c r="C692" s="3"/>
    </row>
    <row r="693" spans="1:3" ht="12.75">
      <c r="A693" s="3"/>
      <c r="B693" s="3"/>
      <c r="C693" s="3"/>
    </row>
    <row r="694" spans="1:3" ht="12.75">
      <c r="A694" s="3"/>
      <c r="B694" s="3"/>
      <c r="C694" s="3"/>
    </row>
    <row r="695" spans="1:3" ht="12.75">
      <c r="A695" s="3"/>
      <c r="B695" s="3"/>
      <c r="C695" s="3"/>
    </row>
    <row r="696" spans="1:3" ht="12.75">
      <c r="A696" s="3"/>
      <c r="B696" s="3"/>
      <c r="C696" s="3"/>
    </row>
    <row r="697" spans="1:3" ht="12.75">
      <c r="A697" s="3"/>
      <c r="B697" s="3"/>
      <c r="C697" s="3"/>
    </row>
    <row r="698" spans="1:3" ht="12.75">
      <c r="A698" s="3"/>
      <c r="B698" s="3"/>
      <c r="C698" s="3"/>
    </row>
    <row r="699" spans="1:3" ht="12.75">
      <c r="A699" s="3"/>
      <c r="B699" s="3"/>
      <c r="C699" s="3"/>
    </row>
    <row r="700" spans="1:3" ht="12.75">
      <c r="A700" s="3"/>
      <c r="B700" s="3"/>
      <c r="C700" s="3"/>
    </row>
    <row r="701" spans="1:3" ht="12.75">
      <c r="A701" s="3"/>
      <c r="B701" s="3"/>
      <c r="C701" s="3"/>
    </row>
    <row r="702" spans="1:3" ht="12.75">
      <c r="A702" s="3"/>
      <c r="B702" s="3"/>
      <c r="C702" s="3"/>
    </row>
    <row r="703" spans="1:3" ht="12.75">
      <c r="A703" s="3"/>
      <c r="B703" s="3"/>
      <c r="C703" s="3"/>
    </row>
    <row r="704" spans="1:3" ht="12.75">
      <c r="A704" s="3"/>
      <c r="B704" s="3"/>
      <c r="C704" s="3"/>
    </row>
    <row r="705" spans="1:3" ht="12.75">
      <c r="A705" s="3"/>
      <c r="B705" s="3"/>
      <c r="C705" s="3"/>
    </row>
    <row r="706" spans="1:3" ht="12.75">
      <c r="A706" s="3"/>
      <c r="B706" s="3"/>
      <c r="C706" s="3"/>
    </row>
    <row r="707" spans="1:3" ht="12.75">
      <c r="A707" s="3"/>
      <c r="B707" s="3"/>
      <c r="C707" s="3"/>
    </row>
    <row r="708" spans="1:3" ht="12.75">
      <c r="A708" s="3"/>
      <c r="B708" s="3"/>
      <c r="C708" s="3"/>
    </row>
    <row r="709" spans="1:3" ht="12.75">
      <c r="A709" s="3"/>
      <c r="B709" s="3"/>
      <c r="C709" s="3"/>
    </row>
    <row r="710" spans="1:3" ht="12.75">
      <c r="A710" s="3"/>
      <c r="B710" s="3"/>
      <c r="C710" s="3"/>
    </row>
    <row r="711" spans="1:3" ht="12.75">
      <c r="A711" s="3"/>
      <c r="B711" s="3"/>
      <c r="C711" s="3"/>
    </row>
    <row r="712" spans="1:3" ht="12.75">
      <c r="A712" s="3"/>
      <c r="B712" s="3"/>
      <c r="C712" s="3"/>
    </row>
    <row r="713" spans="1:3" ht="12.75">
      <c r="A713" s="3"/>
      <c r="B713" s="3"/>
      <c r="C713" s="3"/>
    </row>
    <row r="714" spans="1:3" ht="12.75">
      <c r="A714" s="3"/>
      <c r="B714" s="3"/>
      <c r="C714" s="3"/>
    </row>
    <row r="715" spans="1:3" ht="12.75">
      <c r="A715" s="3"/>
      <c r="B715" s="3"/>
      <c r="C715" s="3"/>
    </row>
    <row r="716" spans="1:3" ht="12.75">
      <c r="A716" s="3"/>
      <c r="B716" s="3"/>
      <c r="C716" s="3"/>
    </row>
    <row r="717" spans="1:3" ht="12.75">
      <c r="A717" s="3"/>
      <c r="B717" s="3"/>
      <c r="C717" s="3"/>
    </row>
    <row r="718" spans="1:3" ht="12.75">
      <c r="A718" s="3"/>
      <c r="B718" s="3"/>
      <c r="C718" s="3"/>
    </row>
    <row r="719" spans="1:3" ht="12.75">
      <c r="A719" s="3"/>
      <c r="B719" s="3"/>
      <c r="C719" s="3"/>
    </row>
    <row r="720" spans="1:3" ht="12.75">
      <c r="A720" s="3"/>
      <c r="B720" s="3"/>
      <c r="C720" s="3"/>
    </row>
    <row r="721" spans="1:3" ht="12.75">
      <c r="A721" s="3"/>
      <c r="B721" s="3"/>
      <c r="C721" s="3"/>
    </row>
    <row r="722" spans="1:3" ht="12.75">
      <c r="A722" s="3"/>
      <c r="B722" s="3"/>
      <c r="C722" s="3"/>
    </row>
    <row r="723" spans="1:3" ht="12.75">
      <c r="A723" s="3"/>
      <c r="B723" s="3"/>
      <c r="C723" s="3"/>
    </row>
    <row r="724" spans="1:3" ht="12.75">
      <c r="A724" s="3"/>
      <c r="B724" s="3"/>
      <c r="C724" s="3"/>
    </row>
    <row r="725" spans="1:3" ht="12.75">
      <c r="A725" s="3"/>
      <c r="B725" s="3"/>
      <c r="C725" s="3"/>
    </row>
    <row r="726" spans="1:3" ht="12.75">
      <c r="A726" s="3"/>
      <c r="B726" s="3"/>
      <c r="C726" s="3"/>
    </row>
    <row r="727" spans="1:3" ht="12.75">
      <c r="A727" s="3"/>
      <c r="B727" s="3"/>
      <c r="C727" s="3"/>
    </row>
    <row r="728" spans="1:3" ht="12.75">
      <c r="A728" s="3"/>
      <c r="B728" s="3"/>
      <c r="C728" s="3"/>
    </row>
    <row r="729" spans="1:3" ht="12.75">
      <c r="A729" s="3"/>
      <c r="B729" s="3"/>
      <c r="C729" s="3"/>
    </row>
    <row r="730" spans="1:3" ht="12.75">
      <c r="A730" s="3"/>
      <c r="B730" s="3"/>
      <c r="C730" s="3"/>
    </row>
    <row r="731" spans="1:3" ht="12.75">
      <c r="A731" s="3"/>
      <c r="B731" s="3"/>
      <c r="C731" s="3"/>
    </row>
    <row r="732" spans="1:3" ht="12.75">
      <c r="A732" s="3"/>
      <c r="B732" s="3"/>
      <c r="C732" s="3"/>
    </row>
    <row r="733" spans="1:3" ht="12.75">
      <c r="A733" s="3"/>
      <c r="B733" s="3"/>
      <c r="C733" s="3"/>
    </row>
    <row r="734" spans="1:3" ht="12.75">
      <c r="A734" s="3"/>
      <c r="B734" s="3"/>
      <c r="C734" s="3"/>
    </row>
    <row r="735" spans="1:3" ht="12.75">
      <c r="A735" s="3"/>
      <c r="B735" s="3"/>
      <c r="C735" s="3"/>
    </row>
    <row r="736" spans="1:3" ht="12.75">
      <c r="A736" s="3"/>
      <c r="B736" s="3"/>
      <c r="C736" s="3"/>
    </row>
    <row r="737" spans="1:3" ht="12.75">
      <c r="A737" s="3"/>
      <c r="B737" s="3"/>
      <c r="C737" s="3"/>
    </row>
    <row r="738" spans="1:3" ht="12.75">
      <c r="A738" s="3"/>
      <c r="B738" s="3"/>
      <c r="C738" s="3"/>
    </row>
    <row r="739" spans="1:3" ht="12.75">
      <c r="A739" s="3"/>
      <c r="B739" s="3"/>
      <c r="C739" s="3"/>
    </row>
    <row r="740" spans="1:3" ht="12.75">
      <c r="A740" s="3"/>
      <c r="B740" s="3"/>
      <c r="C740" s="3"/>
    </row>
    <row r="741" spans="1:3" ht="12.75">
      <c r="A741" s="3"/>
      <c r="B741" s="3"/>
      <c r="C741" s="3"/>
    </row>
    <row r="742" spans="1:3" ht="12.75">
      <c r="A742" s="3"/>
      <c r="B742" s="3"/>
      <c r="C742" s="3"/>
    </row>
    <row r="743" spans="1:3" ht="12.75">
      <c r="A743" s="3"/>
      <c r="B743" s="3"/>
      <c r="C743" s="3"/>
    </row>
    <row r="744" spans="1:3" ht="12.75">
      <c r="A744" s="3"/>
      <c r="B744" s="3"/>
      <c r="C744" s="3"/>
    </row>
    <row r="745" spans="1:3" ht="12.75">
      <c r="A745" s="3"/>
      <c r="B745" s="3"/>
      <c r="C745" s="3"/>
    </row>
    <row r="746" spans="1:3" ht="12.75">
      <c r="A746" s="3"/>
      <c r="B746" s="3"/>
      <c r="C746" s="3"/>
    </row>
    <row r="747" spans="1:3" ht="12.75">
      <c r="A747" s="3"/>
      <c r="B747" s="3"/>
      <c r="C747" s="3"/>
    </row>
    <row r="748" spans="1:3" ht="12.75">
      <c r="A748" s="3"/>
      <c r="B748" s="3"/>
      <c r="C748" s="3"/>
    </row>
    <row r="749" spans="1:3" ht="12.75">
      <c r="A749" s="3"/>
      <c r="B749" s="3"/>
      <c r="C749" s="3"/>
    </row>
    <row r="750" spans="1:3" ht="12.75">
      <c r="A750" s="3"/>
      <c r="B750" s="3"/>
      <c r="C750" s="3"/>
    </row>
    <row r="751" spans="1:3" ht="12.75">
      <c r="A751" s="3"/>
      <c r="B751" s="3"/>
      <c r="C751" s="3"/>
    </row>
    <row r="752" spans="1:3" ht="12.75">
      <c r="A752" s="3"/>
      <c r="B752" s="3"/>
      <c r="C752" s="3"/>
    </row>
    <row r="753" spans="1:3" ht="12.75">
      <c r="A753" s="3"/>
      <c r="B753" s="3"/>
      <c r="C753" s="3"/>
    </row>
    <row r="754" spans="1:3" ht="12.75">
      <c r="A754" s="3"/>
      <c r="B754" s="3"/>
      <c r="C754" s="3"/>
    </row>
    <row r="755" spans="1:3" ht="12.75">
      <c r="A755" s="3"/>
      <c r="B755" s="3"/>
      <c r="C755" s="3"/>
    </row>
    <row r="756" spans="1:3" ht="12.75">
      <c r="A756" s="3"/>
      <c r="B756" s="3"/>
      <c r="C756" s="3"/>
    </row>
    <row r="757" spans="1:3" ht="12.75">
      <c r="A757" s="3"/>
      <c r="B757" s="3"/>
      <c r="C757" s="3"/>
    </row>
    <row r="758" spans="1:3" ht="12.75">
      <c r="A758" s="3"/>
      <c r="B758" s="3"/>
      <c r="C758" s="3"/>
    </row>
    <row r="759" spans="1:3" ht="12.75">
      <c r="A759" s="3"/>
      <c r="B759" s="3"/>
      <c r="C759" s="3"/>
    </row>
    <row r="760" spans="1:3" ht="12.75">
      <c r="A760" s="3"/>
      <c r="B760" s="3"/>
      <c r="C760" s="3"/>
    </row>
    <row r="761" spans="1:3" ht="12.75">
      <c r="A761" s="3"/>
      <c r="B761" s="3"/>
      <c r="C761" s="3"/>
    </row>
    <row r="762" spans="1:3" ht="12.75">
      <c r="A762" s="3"/>
      <c r="B762" s="3"/>
      <c r="C762" s="3"/>
    </row>
    <row r="763" spans="1:3" ht="12.75">
      <c r="A763" s="3"/>
      <c r="B763" s="3"/>
      <c r="C763" s="3"/>
    </row>
    <row r="764" spans="1:3" ht="12.75">
      <c r="A764" s="3"/>
      <c r="B764" s="3"/>
      <c r="C764" s="3"/>
    </row>
    <row r="765" spans="1:3" ht="12.75">
      <c r="A765" s="3"/>
      <c r="B765" s="3"/>
      <c r="C765" s="3"/>
    </row>
    <row r="766" spans="1:3" ht="12.75">
      <c r="A766" s="3"/>
      <c r="B766" s="3"/>
      <c r="C766" s="3"/>
    </row>
    <row r="767" spans="1:3" ht="12.75">
      <c r="A767" s="3"/>
      <c r="B767" s="3"/>
      <c r="C767" s="3"/>
    </row>
    <row r="768" spans="1:3" ht="12.75">
      <c r="A768" s="3"/>
      <c r="B768" s="3"/>
      <c r="C768" s="3"/>
    </row>
    <row r="769" spans="1:3" ht="12.75">
      <c r="A769" s="3"/>
      <c r="B769" s="3"/>
      <c r="C769" s="3"/>
    </row>
    <row r="770" spans="1:3" ht="12.75">
      <c r="A770" s="3"/>
      <c r="B770" s="3"/>
      <c r="C770" s="3"/>
    </row>
    <row r="771" spans="1:3" ht="12.75">
      <c r="A771" s="3"/>
      <c r="B771" s="3"/>
      <c r="C771" s="3"/>
    </row>
    <row r="772" spans="1:3" ht="12.75">
      <c r="A772" s="3"/>
      <c r="B772" s="3"/>
      <c r="C772" s="3"/>
    </row>
    <row r="773" spans="1:3" ht="12.75">
      <c r="A773" s="3"/>
      <c r="B773" s="3"/>
      <c r="C773" s="3"/>
    </row>
    <row r="774" spans="1:3" ht="12.75">
      <c r="A774" s="3"/>
      <c r="B774" s="3"/>
      <c r="C774" s="3"/>
    </row>
    <row r="775" spans="1:3" ht="12.75">
      <c r="A775" s="3"/>
      <c r="B775" s="3"/>
      <c r="C775" s="3"/>
    </row>
    <row r="776" spans="1:3" ht="12.75">
      <c r="A776" s="3"/>
      <c r="B776" s="3"/>
      <c r="C776" s="3"/>
    </row>
    <row r="777" spans="1:3" ht="12.75">
      <c r="A777" s="3"/>
      <c r="B777" s="3"/>
      <c r="C777" s="3"/>
    </row>
    <row r="778" spans="1:3" ht="12.75">
      <c r="A778" s="3"/>
      <c r="B778" s="3"/>
      <c r="C778" s="3"/>
    </row>
    <row r="779" spans="1:3" ht="12.75">
      <c r="A779" s="3"/>
      <c r="B779" s="3"/>
      <c r="C779" s="3"/>
    </row>
    <row r="780" spans="1:3" ht="12.75">
      <c r="A780" s="3"/>
      <c r="B780" s="3"/>
      <c r="C780" s="3"/>
    </row>
    <row r="781" spans="1:3" ht="12.75">
      <c r="A781" s="3"/>
      <c r="B781" s="3"/>
      <c r="C781" s="3"/>
    </row>
    <row r="782" spans="1:3" ht="12.75">
      <c r="A782" s="3"/>
      <c r="B782" s="3"/>
      <c r="C782" s="3"/>
    </row>
    <row r="783" spans="1:3" ht="12.75">
      <c r="A783" s="3"/>
      <c r="B783" s="3"/>
      <c r="C783" s="3"/>
    </row>
    <row r="784" spans="1:3" ht="12.75">
      <c r="A784" s="3"/>
      <c r="B784" s="3"/>
      <c r="C784" s="3"/>
    </row>
    <row r="785" spans="1:3" ht="12.75">
      <c r="A785" s="3"/>
      <c r="B785" s="3"/>
      <c r="C785" s="3"/>
    </row>
    <row r="786" spans="1:3" ht="12.75">
      <c r="A786" s="3"/>
      <c r="B786" s="3"/>
      <c r="C786" s="3"/>
    </row>
    <row r="787" spans="1:3" ht="12.75">
      <c r="A787" s="3"/>
      <c r="B787" s="3"/>
      <c r="C787" s="3"/>
    </row>
    <row r="788" spans="1:3" ht="12.75">
      <c r="A788" s="3"/>
      <c r="B788" s="3"/>
      <c r="C788" s="3"/>
    </row>
    <row r="789" spans="1:3" ht="12.75">
      <c r="A789" s="3"/>
      <c r="B789" s="3"/>
      <c r="C789" s="3"/>
    </row>
    <row r="790" spans="1:3" ht="12.75">
      <c r="A790" s="3"/>
      <c r="B790" s="3"/>
      <c r="C790" s="3"/>
    </row>
    <row r="791" spans="1:3" ht="12.75">
      <c r="A791" s="3"/>
      <c r="B791" s="3"/>
      <c r="C791" s="3"/>
    </row>
    <row r="792" spans="1:3" ht="12.75">
      <c r="A792" s="3"/>
      <c r="B792" s="3"/>
      <c r="C792" s="3"/>
    </row>
    <row r="793" spans="1:3" ht="12.75">
      <c r="A793" s="3"/>
      <c r="B793" s="3"/>
      <c r="C793" s="3"/>
    </row>
    <row r="794" spans="1:3" ht="12.75">
      <c r="A794" s="3"/>
      <c r="B794" s="3"/>
      <c r="C794" s="3"/>
    </row>
    <row r="795" spans="1:3" ht="12.75">
      <c r="A795" s="3"/>
      <c r="B795" s="3"/>
      <c r="C795" s="3"/>
    </row>
    <row r="796" spans="1:3" ht="12.75">
      <c r="A796" s="3"/>
      <c r="B796" s="3"/>
      <c r="C796" s="3"/>
    </row>
    <row r="797" spans="1:3" ht="12.75">
      <c r="A797" s="3"/>
      <c r="B797" s="3"/>
      <c r="C797" s="3"/>
    </row>
    <row r="798" spans="1:3" ht="12.75">
      <c r="A798" s="3"/>
      <c r="B798" s="3"/>
      <c r="C798" s="3"/>
    </row>
    <row r="799" spans="1:3" ht="12.75">
      <c r="A799" s="3"/>
      <c r="B799" s="3"/>
      <c r="C799" s="3"/>
    </row>
    <row r="800" spans="1:3" ht="12.75">
      <c r="A800" s="3"/>
      <c r="B800" s="3"/>
      <c r="C800" s="3"/>
    </row>
    <row r="801" spans="1:3" ht="12.75">
      <c r="A801" s="3"/>
      <c r="B801" s="3"/>
      <c r="C801" s="3"/>
    </row>
    <row r="802" spans="1:3" ht="12.75">
      <c r="A802" s="3"/>
      <c r="B802" s="3"/>
      <c r="C802" s="3"/>
    </row>
    <row r="803" spans="1:3" ht="12.75">
      <c r="A803" s="3"/>
      <c r="B803" s="3"/>
      <c r="C803" s="3"/>
    </row>
    <row r="804" spans="1:3" ht="12.75">
      <c r="A804" s="3"/>
      <c r="B804" s="3"/>
      <c r="C804" s="3"/>
    </row>
    <row r="805" spans="1:3" ht="12.75">
      <c r="A805" s="3"/>
      <c r="B805" s="3"/>
      <c r="C805" s="3"/>
    </row>
    <row r="806" spans="1:3" ht="12.75">
      <c r="A806" s="3"/>
      <c r="B806" s="3"/>
      <c r="C806" s="3"/>
    </row>
    <row r="807" spans="1:3" ht="12.75">
      <c r="A807" s="3"/>
      <c r="B807" s="3"/>
      <c r="C807" s="3"/>
    </row>
    <row r="808" spans="1:3" ht="12.75">
      <c r="A808" s="3"/>
      <c r="B808" s="3"/>
      <c r="C808" s="3"/>
    </row>
    <row r="809" spans="1:3" ht="12.75">
      <c r="A809" s="3"/>
      <c r="B809" s="3"/>
      <c r="C809" s="3"/>
    </row>
    <row r="810" spans="1:3" ht="12.75">
      <c r="A810" s="3"/>
      <c r="B810" s="3"/>
      <c r="C810" s="3"/>
    </row>
    <row r="811" spans="1:3" ht="12.75">
      <c r="A811" s="3"/>
      <c r="B811" s="3"/>
      <c r="C811" s="3"/>
    </row>
    <row r="812" spans="1:3" ht="12.75">
      <c r="A812" s="3"/>
      <c r="B812" s="3"/>
      <c r="C812" s="3"/>
    </row>
    <row r="813" spans="1:3" ht="12.75">
      <c r="A813" s="3"/>
      <c r="B813" s="3"/>
      <c r="C813" s="3"/>
    </row>
    <row r="814" spans="1:3" ht="12.75">
      <c r="A814" s="3"/>
      <c r="B814" s="3"/>
      <c r="C814" s="3"/>
    </row>
    <row r="815" spans="1:3" ht="12.75">
      <c r="A815" s="3"/>
      <c r="B815" s="3"/>
      <c r="C815" s="3"/>
    </row>
    <row r="816" spans="1:3" ht="12.75">
      <c r="A816" s="3"/>
      <c r="B816" s="3"/>
      <c r="C816" s="3"/>
    </row>
    <row r="817" spans="1:3" ht="12.75">
      <c r="A817" s="3"/>
      <c r="B817" s="3"/>
      <c r="C817" s="3"/>
    </row>
    <row r="818" spans="1:3" ht="12.75">
      <c r="A818" s="3"/>
      <c r="B818" s="3"/>
      <c r="C818" s="3"/>
    </row>
    <row r="819" spans="1:3" ht="12.75">
      <c r="A819" s="3"/>
      <c r="B819" s="3"/>
      <c r="C819" s="3"/>
    </row>
    <row r="820" spans="1:3" ht="12.75">
      <c r="A820" s="3"/>
      <c r="B820" s="3"/>
      <c r="C820" s="3"/>
    </row>
    <row r="821" spans="1:3" ht="12.75">
      <c r="A821" s="3"/>
      <c r="B821" s="3"/>
      <c r="C821" s="3"/>
    </row>
    <row r="822" spans="1:3" ht="12.75">
      <c r="A822" s="3"/>
      <c r="B822" s="3"/>
      <c r="C822" s="3"/>
    </row>
    <row r="823" spans="1:3" ht="12.75">
      <c r="A823" s="3"/>
      <c r="B823" s="3"/>
      <c r="C823" s="3"/>
    </row>
    <row r="824" spans="1:3" ht="12.75">
      <c r="A824" s="3"/>
      <c r="B824" s="3"/>
      <c r="C824" s="3"/>
    </row>
    <row r="825" spans="1:3" ht="12.75">
      <c r="A825" s="3"/>
      <c r="B825" s="3"/>
      <c r="C825" s="3"/>
    </row>
    <row r="826" spans="1:3" ht="12.75">
      <c r="A826" s="3"/>
      <c r="B826" s="3"/>
      <c r="C826" s="3"/>
    </row>
    <row r="827" spans="1:3" ht="12.75">
      <c r="A827" s="3"/>
      <c r="B827" s="3"/>
      <c r="C827" s="3"/>
    </row>
    <row r="828" spans="1:3" ht="12.75">
      <c r="A828" s="3"/>
      <c r="B828" s="3"/>
      <c r="C828" s="3"/>
    </row>
    <row r="829" spans="1:3" ht="12.75">
      <c r="A829" s="3"/>
      <c r="B829" s="3"/>
      <c r="C829" s="3"/>
    </row>
    <row r="830" spans="1:3" ht="12.75">
      <c r="A830" s="3"/>
      <c r="B830" s="3"/>
      <c r="C830" s="3"/>
    </row>
    <row r="831" spans="1:3" ht="12.75">
      <c r="A831" s="3"/>
      <c r="B831" s="3"/>
      <c r="C831" s="3"/>
    </row>
    <row r="832" spans="1:3" ht="12.75">
      <c r="A832" s="3"/>
      <c r="B832" s="3"/>
      <c r="C832" s="3"/>
    </row>
    <row r="833" spans="1:3" ht="12.75">
      <c r="A833" s="3"/>
      <c r="B833" s="3"/>
      <c r="C833" s="3"/>
    </row>
    <row r="834" spans="1:3" ht="12.75">
      <c r="A834" s="3"/>
      <c r="B834" s="3"/>
      <c r="C834" s="3"/>
    </row>
    <row r="835" spans="1:3" ht="12.75">
      <c r="A835" s="3"/>
      <c r="B835" s="3"/>
      <c r="C835" s="3"/>
    </row>
    <row r="836" spans="1:3" ht="12.75">
      <c r="A836" s="3"/>
      <c r="B836" s="3"/>
      <c r="C836" s="3"/>
    </row>
    <row r="837" spans="1:3" ht="12.75">
      <c r="A837" s="3"/>
      <c r="B837" s="3"/>
      <c r="C837" s="3"/>
    </row>
    <row r="838" spans="1:3" ht="12.75">
      <c r="A838" s="3"/>
      <c r="B838" s="3"/>
      <c r="C838" s="3"/>
    </row>
    <row r="839" spans="1:3" ht="12.75">
      <c r="A839" s="3"/>
      <c r="B839" s="3"/>
      <c r="C839" s="3"/>
    </row>
    <row r="840" spans="1:3" ht="12.75">
      <c r="A840" s="3"/>
      <c r="B840" s="3"/>
      <c r="C840" s="3"/>
    </row>
    <row r="841" spans="1:3" ht="12.75">
      <c r="A841" s="3"/>
      <c r="B841" s="3"/>
      <c r="C841" s="3"/>
    </row>
    <row r="842" spans="1:3" ht="12.75">
      <c r="A842" s="3"/>
      <c r="B842" s="3"/>
      <c r="C842" s="3"/>
    </row>
    <row r="843" spans="1:3" ht="12.75">
      <c r="A843" s="3"/>
      <c r="B843" s="3"/>
      <c r="C843" s="3"/>
    </row>
    <row r="844" spans="1:3" ht="12.75">
      <c r="A844" s="3"/>
      <c r="B844" s="3"/>
      <c r="C844" s="3"/>
    </row>
    <row r="845" spans="1:3" ht="12.75">
      <c r="A845" s="3"/>
      <c r="B845" s="3"/>
      <c r="C845" s="3"/>
    </row>
    <row r="846" spans="1:3" ht="12.75">
      <c r="A846" s="3"/>
      <c r="B846" s="3"/>
      <c r="C846" s="3"/>
    </row>
    <row r="847" spans="1:3" ht="12.75">
      <c r="A847" s="3"/>
      <c r="B847" s="3"/>
      <c r="C847" s="3"/>
    </row>
    <row r="848" spans="1:3" ht="12.75">
      <c r="A848" s="3"/>
      <c r="B848" s="3"/>
      <c r="C848" s="3"/>
    </row>
    <row r="849" spans="1:3" ht="12.75">
      <c r="A849" s="3"/>
      <c r="B849" s="3"/>
      <c r="C849" s="3"/>
    </row>
    <row r="850" spans="1:3" ht="12.75">
      <c r="A850" s="3"/>
      <c r="B850" s="3"/>
      <c r="C850" s="3"/>
    </row>
    <row r="851" spans="1:3" ht="12.75">
      <c r="A851" s="3"/>
      <c r="B851" s="3"/>
      <c r="C851" s="3"/>
    </row>
    <row r="852" spans="1:3" ht="12.75">
      <c r="A852" s="3"/>
      <c r="B852" s="3"/>
      <c r="C852" s="3"/>
    </row>
    <row r="853" spans="1:3" ht="12.75">
      <c r="A853" s="3"/>
      <c r="B853" s="3"/>
      <c r="C853" s="3"/>
    </row>
    <row r="854" spans="1:3" ht="12.75">
      <c r="A854" s="3"/>
      <c r="B854" s="3"/>
      <c r="C854" s="3"/>
    </row>
    <row r="855" spans="1:3" ht="12.75">
      <c r="A855" s="3"/>
      <c r="B855" s="3"/>
      <c r="C855" s="3"/>
    </row>
    <row r="856" spans="1:3" ht="12.75">
      <c r="A856" s="3"/>
      <c r="B856" s="3"/>
      <c r="C856" s="3"/>
    </row>
    <row r="857" spans="1:3" ht="12.75">
      <c r="A857" s="3"/>
      <c r="B857" s="3"/>
      <c r="C857" s="3"/>
    </row>
    <row r="858" spans="1:3" ht="12.75">
      <c r="A858" s="3"/>
      <c r="B858" s="3"/>
      <c r="C858" s="3"/>
    </row>
    <row r="859" spans="1:3" ht="12.75">
      <c r="A859" s="3"/>
      <c r="B859" s="3"/>
      <c r="C859" s="3"/>
    </row>
    <row r="860" spans="1:3" ht="12.75">
      <c r="A860" s="3"/>
      <c r="B860" s="3"/>
      <c r="C860" s="3"/>
    </row>
    <row r="861" spans="1:3" ht="12.75">
      <c r="A861" s="3"/>
      <c r="B861" s="3"/>
      <c r="C861" s="3"/>
    </row>
    <row r="862" spans="1:3" ht="12.75">
      <c r="A862" s="3"/>
      <c r="B862" s="3"/>
      <c r="C862" s="3"/>
    </row>
    <row r="863" spans="1:3" ht="12.75">
      <c r="A863" s="3"/>
      <c r="B863" s="3"/>
      <c r="C863" s="3"/>
    </row>
    <row r="864" spans="1:3" ht="12.75">
      <c r="A864" s="3"/>
      <c r="B864" s="3"/>
      <c r="C864" s="3"/>
    </row>
    <row r="865" spans="1:3" ht="12.75">
      <c r="A865" s="3"/>
      <c r="B865" s="3"/>
      <c r="C865" s="3"/>
    </row>
    <row r="866" spans="1:3" ht="12.75">
      <c r="A866" s="3"/>
      <c r="B866" s="3"/>
      <c r="C866" s="3"/>
    </row>
    <row r="867" spans="1:3" ht="12.75">
      <c r="A867" s="3"/>
      <c r="B867" s="3"/>
      <c r="C867" s="3"/>
    </row>
    <row r="868" spans="1:3" ht="12.75">
      <c r="A868" s="3"/>
      <c r="B868" s="3"/>
      <c r="C868" s="3"/>
    </row>
    <row r="869" spans="1:3" ht="12.75">
      <c r="A869" s="3"/>
      <c r="B869" s="3"/>
      <c r="C869" s="3"/>
    </row>
    <row r="870" spans="1:3" ht="12.75">
      <c r="A870" s="3"/>
      <c r="B870" s="3"/>
      <c r="C870" s="3"/>
    </row>
    <row r="871" spans="1:3" ht="12.75">
      <c r="A871" s="3"/>
      <c r="B871" s="3"/>
      <c r="C871" s="3"/>
    </row>
    <row r="872" spans="1:3" ht="12.75">
      <c r="A872" s="3"/>
      <c r="B872" s="3"/>
      <c r="C872" s="3"/>
    </row>
    <row r="873" spans="1:3" ht="12.75">
      <c r="A873" s="3"/>
      <c r="B873" s="3"/>
      <c r="C873" s="3"/>
    </row>
    <row r="874" spans="1:3" ht="12.75">
      <c r="A874" s="3"/>
      <c r="B874" s="3"/>
      <c r="C874" s="3"/>
    </row>
    <row r="875" spans="1:3" ht="12.75">
      <c r="A875" s="3"/>
      <c r="B875" s="3"/>
      <c r="C875" s="3"/>
    </row>
    <row r="876" spans="1:3" ht="12.75">
      <c r="A876" s="3"/>
      <c r="B876" s="3"/>
      <c r="C876" s="3"/>
    </row>
    <row r="877" spans="1:3" ht="12.75">
      <c r="A877" s="3"/>
      <c r="B877" s="3"/>
      <c r="C877" s="3"/>
    </row>
    <row r="878" spans="1:3" ht="12.75">
      <c r="A878" s="3"/>
      <c r="B878" s="3"/>
      <c r="C878" s="3"/>
    </row>
    <row r="879" spans="1:3" ht="12.75">
      <c r="A879" s="3"/>
      <c r="B879" s="3"/>
      <c r="C879" s="3"/>
    </row>
    <row r="880" spans="1:3" ht="12.75">
      <c r="A880" s="3"/>
      <c r="B880" s="3"/>
      <c r="C880" s="3"/>
    </row>
    <row r="881" spans="1:3" ht="12.75">
      <c r="A881" s="3"/>
      <c r="B881" s="3"/>
      <c r="C881" s="3"/>
    </row>
    <row r="882" spans="1:3" ht="12.75">
      <c r="A882" s="3"/>
      <c r="B882" s="3"/>
      <c r="C882" s="3"/>
    </row>
    <row r="883" spans="1:3" ht="12.75">
      <c r="A883" s="3"/>
      <c r="B883" s="3"/>
      <c r="C883" s="3"/>
    </row>
    <row r="884" spans="1:3" ht="12.75">
      <c r="A884" s="3"/>
      <c r="B884" s="3"/>
      <c r="C884" s="3"/>
    </row>
    <row r="885" spans="1:3" ht="12.75">
      <c r="A885" s="3"/>
      <c r="B885" s="3"/>
      <c r="C885" s="3"/>
    </row>
    <row r="886" spans="1:3" ht="12.75">
      <c r="A886" s="3"/>
      <c r="B886" s="3"/>
      <c r="C886" s="3"/>
    </row>
    <row r="887" spans="1:3" ht="12.75">
      <c r="A887" s="3"/>
      <c r="B887" s="3"/>
      <c r="C887" s="3"/>
    </row>
    <row r="888" spans="1:3" ht="12.75">
      <c r="A888" s="3"/>
      <c r="B888" s="3"/>
      <c r="C888" s="3"/>
    </row>
    <row r="889" spans="1:3" ht="12.75">
      <c r="A889" s="3"/>
      <c r="B889" s="3"/>
      <c r="C889" s="3"/>
    </row>
    <row r="890" spans="1:3" ht="12.75">
      <c r="A890" s="3"/>
      <c r="B890" s="3"/>
      <c r="C890" s="3"/>
    </row>
    <row r="891" spans="1:3" ht="12.75">
      <c r="A891" s="3"/>
      <c r="B891" s="3"/>
      <c r="C891" s="3"/>
    </row>
    <row r="892" spans="1:3" ht="12.75">
      <c r="A892" s="3"/>
      <c r="B892" s="3"/>
      <c r="C892" s="3"/>
    </row>
    <row r="893" spans="1:3" ht="12.75">
      <c r="A893" s="3"/>
      <c r="B893" s="3"/>
      <c r="C893" s="3"/>
    </row>
    <row r="894" spans="1:3" ht="12.75">
      <c r="A894" s="3"/>
      <c r="B894" s="3"/>
      <c r="C894" s="3"/>
    </row>
    <row r="895" spans="1:3" ht="12.75">
      <c r="A895" s="3"/>
      <c r="B895" s="3"/>
      <c r="C895" s="3"/>
    </row>
    <row r="896" spans="1:3" ht="12.75">
      <c r="A896" s="3"/>
      <c r="B896" s="3"/>
      <c r="C896" s="3"/>
    </row>
    <row r="897" spans="1:3" ht="12.75">
      <c r="A897" s="3"/>
      <c r="B897" s="3"/>
      <c r="C897" s="3"/>
    </row>
    <row r="898" spans="1:3" ht="12.75">
      <c r="A898" s="3"/>
      <c r="B898" s="3"/>
      <c r="C898" s="3"/>
    </row>
    <row r="899" spans="1:3" ht="12.75">
      <c r="A899" s="3"/>
      <c r="B899" s="3"/>
      <c r="C899" s="3"/>
    </row>
    <row r="900" spans="1:3" ht="12.75">
      <c r="A900" s="3"/>
      <c r="B900" s="3"/>
      <c r="C900" s="3"/>
    </row>
    <row r="901" spans="1:3" ht="12.75">
      <c r="A901" s="3"/>
      <c r="B901" s="3"/>
      <c r="C901" s="3"/>
    </row>
    <row r="902" spans="1:3" ht="12.75">
      <c r="A902" s="3"/>
      <c r="B902" s="3"/>
      <c r="C902" s="3"/>
    </row>
    <row r="903" spans="1:3" ht="12.75">
      <c r="A903" s="3"/>
      <c r="B903" s="3"/>
      <c r="C903" s="3"/>
    </row>
    <row r="904" spans="1:3" ht="12.75">
      <c r="A904" s="3"/>
      <c r="B904" s="3"/>
      <c r="C904" s="3"/>
    </row>
    <row r="905" spans="1:3" ht="12.75">
      <c r="A905" s="3"/>
      <c r="B905" s="3"/>
      <c r="C905" s="3"/>
    </row>
    <row r="906" spans="1:3" ht="12.75">
      <c r="A906" s="3"/>
      <c r="B906" s="3"/>
      <c r="C906" s="3"/>
    </row>
    <row r="907" spans="1:3" ht="12.75">
      <c r="A907" s="3"/>
      <c r="B907" s="3"/>
      <c r="C907" s="3"/>
    </row>
    <row r="908" spans="1:3" ht="12.75">
      <c r="A908" s="3"/>
      <c r="B908" s="3"/>
      <c r="C908" s="3"/>
    </row>
    <row r="909" spans="1:3" ht="12.75">
      <c r="A909" s="3"/>
      <c r="B909" s="3"/>
      <c r="C909" s="3"/>
    </row>
    <row r="910" spans="1:3" ht="12.75">
      <c r="A910" s="3"/>
      <c r="B910" s="3"/>
      <c r="C910" s="3"/>
    </row>
    <row r="911" spans="1:3" ht="12.75">
      <c r="A911" s="3"/>
      <c r="B911" s="3"/>
      <c r="C911" s="3"/>
    </row>
    <row r="912" spans="1:3" ht="12.75">
      <c r="A912" s="3"/>
      <c r="B912" s="3"/>
      <c r="C912" s="3"/>
    </row>
    <row r="913" spans="1:3" ht="12.75">
      <c r="A913" s="3"/>
      <c r="B913" s="3"/>
      <c r="C913" s="3"/>
    </row>
    <row r="914" spans="1:3" ht="12.75">
      <c r="A914" s="3"/>
      <c r="B914" s="3"/>
      <c r="C914" s="3"/>
    </row>
    <row r="915" spans="1:3" ht="12.75">
      <c r="A915" s="3"/>
      <c r="B915" s="3"/>
      <c r="C915" s="3"/>
    </row>
    <row r="916" spans="1:3" ht="12.75">
      <c r="A916" s="3"/>
      <c r="B916" s="3"/>
      <c r="C916" s="3"/>
    </row>
    <row r="917" spans="1:3" ht="12.75">
      <c r="A917" s="3"/>
      <c r="B917" s="3"/>
      <c r="C917" s="3"/>
    </row>
    <row r="918" spans="1:3" ht="12.75">
      <c r="A918" s="3"/>
      <c r="B918" s="3"/>
      <c r="C918" s="3"/>
    </row>
    <row r="919" spans="1:3" ht="12.75">
      <c r="A919" s="3"/>
      <c r="B919" s="3"/>
      <c r="C919" s="3"/>
    </row>
    <row r="920" spans="1:3" ht="12.75">
      <c r="A920" s="3"/>
      <c r="B920" s="3"/>
      <c r="C920" s="3"/>
    </row>
    <row r="921" spans="1:3" ht="12.75">
      <c r="A921" s="3"/>
      <c r="B921" s="3"/>
      <c r="C921" s="3"/>
    </row>
    <row r="922" spans="1:3" ht="12.75">
      <c r="A922" s="3"/>
      <c r="B922" s="3"/>
      <c r="C922" s="3"/>
    </row>
    <row r="923" spans="1:3" ht="12.75">
      <c r="A923" s="3"/>
      <c r="B923" s="3"/>
      <c r="C923" s="3"/>
    </row>
    <row r="924" spans="1:3" ht="12.75">
      <c r="A924" s="3"/>
      <c r="B924" s="3"/>
      <c r="C924" s="3"/>
    </row>
    <row r="925" spans="1:3" ht="12.75">
      <c r="A925" s="3"/>
      <c r="B925" s="3"/>
      <c r="C925" s="3"/>
    </row>
    <row r="926" spans="1:3" ht="12.75">
      <c r="A926" s="3"/>
      <c r="B926" s="3"/>
      <c r="C926" s="3"/>
    </row>
    <row r="927" spans="1:3" ht="12.75">
      <c r="A927" s="3"/>
      <c r="B927" s="3"/>
      <c r="C927" s="3"/>
    </row>
    <row r="928" spans="1:3" ht="12.75">
      <c r="A928" s="3"/>
      <c r="B928" s="3"/>
      <c r="C928" s="3"/>
    </row>
    <row r="929" spans="1:3" ht="12.75">
      <c r="A929" s="3"/>
      <c r="B929" s="3"/>
      <c r="C929" s="3"/>
    </row>
    <row r="930" spans="1:3" ht="12.75">
      <c r="A930" s="3"/>
      <c r="B930" s="3"/>
      <c r="C930" s="3"/>
    </row>
    <row r="931" spans="1:3" ht="12.75">
      <c r="A931" s="3"/>
      <c r="B931" s="3"/>
      <c r="C931" s="3"/>
    </row>
    <row r="932" spans="1:3" ht="12.75">
      <c r="A932" s="3"/>
      <c r="B932" s="3"/>
      <c r="C932" s="3"/>
    </row>
    <row r="933" spans="1:3" ht="12.75">
      <c r="A933" s="3"/>
      <c r="B933" s="3"/>
      <c r="C933" s="3"/>
    </row>
    <row r="934" spans="1:3" ht="12.75">
      <c r="A934" s="3"/>
      <c r="B934" s="3"/>
      <c r="C934" s="3"/>
    </row>
    <row r="935" spans="1:3" ht="12.75">
      <c r="A935" s="3"/>
      <c r="B935" s="3"/>
      <c r="C935" s="3"/>
    </row>
    <row r="936" spans="1:3" ht="12.75">
      <c r="A936" s="3"/>
      <c r="B936" s="3"/>
      <c r="C936" s="3"/>
    </row>
    <row r="937" spans="1:3" ht="12.75">
      <c r="A937" s="3"/>
      <c r="B937" s="3"/>
      <c r="C937" s="3"/>
    </row>
    <row r="938" spans="1:3" ht="12.75">
      <c r="A938" s="3"/>
      <c r="B938" s="3"/>
      <c r="C938" s="3"/>
    </row>
    <row r="939" spans="1:3" ht="12.75">
      <c r="A939" s="3"/>
      <c r="B939" s="3"/>
      <c r="C939" s="3"/>
    </row>
    <row r="940" spans="1:3" ht="12.75">
      <c r="A940" s="3"/>
      <c r="B940" s="3"/>
      <c r="C940" s="3"/>
    </row>
    <row r="941" spans="1:3" ht="12.75">
      <c r="A941" s="3"/>
      <c r="B941" s="3"/>
      <c r="C941" s="3"/>
    </row>
    <row r="942" spans="1:3" ht="12.75">
      <c r="A942" s="3"/>
      <c r="B942" s="3"/>
      <c r="C942" s="3"/>
    </row>
    <row r="943" spans="1:3" ht="12.75">
      <c r="A943" s="3"/>
      <c r="B943" s="3"/>
      <c r="C943" s="3"/>
    </row>
    <row r="944" spans="1:3" ht="12.75">
      <c r="A944" s="3"/>
      <c r="B944" s="3"/>
      <c r="C944" s="3"/>
    </row>
    <row r="945" spans="1:3" ht="12.75">
      <c r="A945" s="3"/>
      <c r="B945" s="3"/>
      <c r="C945" s="3"/>
    </row>
    <row r="946" spans="1:3" ht="12.75">
      <c r="A946" s="3"/>
      <c r="B946" s="3"/>
      <c r="C946" s="3"/>
    </row>
    <row r="947" spans="1:3" ht="12.75">
      <c r="A947" s="3"/>
      <c r="B947" s="3"/>
      <c r="C947" s="3"/>
    </row>
    <row r="948" spans="1:3" ht="12.75">
      <c r="A948" s="3"/>
      <c r="B948" s="3"/>
      <c r="C948" s="3"/>
    </row>
    <row r="949" spans="1:3" ht="12.75">
      <c r="A949" s="3"/>
      <c r="B949" s="3"/>
      <c r="C949" s="3"/>
    </row>
    <row r="950" spans="1:3" ht="12.75">
      <c r="A950" s="3"/>
      <c r="B950" s="3"/>
      <c r="C950" s="3"/>
    </row>
    <row r="951" spans="1:3" ht="12.75">
      <c r="A951" s="3"/>
      <c r="B951" s="3"/>
      <c r="C951" s="3"/>
    </row>
    <row r="952" spans="1:3" ht="12.75">
      <c r="A952" s="3"/>
      <c r="B952" s="3"/>
      <c r="C952" s="3"/>
    </row>
    <row r="953" spans="1:3" ht="12.75">
      <c r="A953" s="3"/>
      <c r="B953" s="3"/>
      <c r="C953" s="3"/>
    </row>
    <row r="954" spans="1:3" ht="12.75">
      <c r="A954" s="3"/>
      <c r="B954" s="3"/>
      <c r="C954" s="3"/>
    </row>
    <row r="955" spans="1:3" ht="12.75">
      <c r="A955" s="3"/>
      <c r="B955" s="3"/>
      <c r="C955" s="3"/>
    </row>
    <row r="956" spans="1:3" ht="12.75">
      <c r="A956" s="3"/>
      <c r="B956" s="3"/>
      <c r="C956" s="3"/>
    </row>
    <row r="957" spans="1:3" ht="12.75">
      <c r="A957" s="3"/>
      <c r="B957" s="3"/>
      <c r="C957" s="3"/>
    </row>
    <row r="958" spans="1:3" ht="12.75">
      <c r="A958" s="3"/>
      <c r="B958" s="3"/>
      <c r="C958" s="3"/>
    </row>
    <row r="959" spans="1:3" ht="12.75">
      <c r="A959" s="3"/>
      <c r="B959" s="3"/>
      <c r="C959" s="3"/>
    </row>
    <row r="960" spans="1:3" ht="12.75">
      <c r="A960" s="3"/>
      <c r="B960" s="3"/>
      <c r="C960" s="3"/>
    </row>
    <row r="961" spans="1:3" ht="12.75">
      <c r="A961" s="3"/>
      <c r="B961" s="3"/>
      <c r="C961" s="3"/>
    </row>
    <row r="962" spans="1:3" ht="12.75">
      <c r="A962" s="3"/>
      <c r="B962" s="3"/>
      <c r="C962" s="3"/>
    </row>
    <row r="963" spans="1:3" ht="12.75">
      <c r="A963" s="3"/>
      <c r="B963" s="3"/>
      <c r="C963" s="3"/>
    </row>
    <row r="964" spans="1:3" ht="12.75">
      <c r="A964" s="3"/>
      <c r="B964" s="3"/>
      <c r="C964" s="3"/>
    </row>
    <row r="965" spans="1:3" ht="12.75">
      <c r="A965" s="3"/>
      <c r="B965" s="3"/>
      <c r="C965" s="3"/>
    </row>
    <row r="966" spans="1:3" ht="12.75">
      <c r="A966" s="3"/>
      <c r="B966" s="3"/>
      <c r="C966" s="3"/>
    </row>
    <row r="967" spans="1:3" ht="12.75">
      <c r="A967" s="3"/>
      <c r="B967" s="3"/>
      <c r="C967" s="3"/>
    </row>
    <row r="968" spans="1:3" ht="12.75">
      <c r="A968" s="3"/>
      <c r="B968" s="3"/>
      <c r="C968" s="3"/>
    </row>
    <row r="969" spans="1:3" ht="12.75">
      <c r="A969" s="3"/>
      <c r="B969" s="3"/>
      <c r="C969" s="3"/>
    </row>
    <row r="970" spans="1:3" ht="12.75">
      <c r="A970" s="3"/>
      <c r="B970" s="3"/>
      <c r="C970" s="3"/>
    </row>
    <row r="971" spans="1:3" ht="12.75">
      <c r="A971" s="3"/>
      <c r="B971" s="3"/>
      <c r="C971" s="3"/>
    </row>
    <row r="972" spans="1:3" ht="12.75">
      <c r="A972" s="3"/>
      <c r="B972" s="3"/>
      <c r="C972" s="3"/>
    </row>
    <row r="973" spans="1:3" ht="12.75">
      <c r="A973" s="3"/>
      <c r="B973" s="3"/>
      <c r="C973" s="3"/>
    </row>
    <row r="974" spans="1:3" ht="12.75">
      <c r="A974" s="3"/>
      <c r="B974" s="3"/>
      <c r="C974" s="3"/>
    </row>
    <row r="975" spans="1:3" ht="12.75">
      <c r="A975" s="3"/>
      <c r="B975" s="3"/>
      <c r="C975" s="3"/>
    </row>
    <row r="976" spans="1:3" ht="12.75">
      <c r="A976" s="3"/>
      <c r="B976" s="3"/>
      <c r="C976" s="3"/>
    </row>
    <row r="977" spans="1:3" ht="12.75">
      <c r="A977" s="3"/>
      <c r="B977" s="3"/>
      <c r="C977" s="3"/>
    </row>
    <row r="978" spans="1:3" ht="12.75">
      <c r="A978" s="3"/>
      <c r="B978" s="3"/>
      <c r="C978" s="3"/>
    </row>
    <row r="979" spans="1:3" ht="12.75">
      <c r="A979" s="3"/>
      <c r="B979" s="3"/>
      <c r="C979" s="3"/>
    </row>
    <row r="980" spans="1:3" ht="12.75">
      <c r="A980" s="3"/>
      <c r="B980" s="3"/>
      <c r="C980" s="3"/>
    </row>
    <row r="981" spans="1:3" ht="12.75">
      <c r="A981" s="3"/>
      <c r="B981" s="3"/>
      <c r="C981" s="3"/>
    </row>
    <row r="982" spans="1:3" ht="12.75">
      <c r="A982" s="3"/>
      <c r="B982" s="3"/>
      <c r="C982" s="3"/>
    </row>
    <row r="983" spans="1:3" ht="12.75">
      <c r="A983" s="3"/>
      <c r="B983" s="3"/>
      <c r="C983" s="3"/>
    </row>
    <row r="984" spans="1:3" ht="12.75">
      <c r="A984" s="3"/>
      <c r="B984" s="3"/>
      <c r="C984" s="3"/>
    </row>
    <row r="985" spans="1:3" ht="12.75">
      <c r="A985" s="3"/>
      <c r="B985" s="3"/>
      <c r="C985" s="3"/>
    </row>
    <row r="986" spans="1:3" ht="12.75">
      <c r="A986" s="3"/>
      <c r="B986" s="3"/>
      <c r="C986" s="3"/>
    </row>
    <row r="987" spans="1:3" ht="12.75">
      <c r="A987" s="3"/>
      <c r="B987" s="3"/>
      <c r="C987" s="3"/>
    </row>
    <row r="988" spans="1:3" ht="12.75">
      <c r="A988" s="3"/>
      <c r="B988" s="3"/>
      <c r="C988" s="3"/>
    </row>
    <row r="989" spans="1:3" ht="12.75">
      <c r="A989" s="3"/>
      <c r="B989" s="3"/>
      <c r="C989" s="3"/>
    </row>
    <row r="990" spans="1:3" ht="12.75">
      <c r="A990" s="3"/>
      <c r="B990" s="3"/>
      <c r="C990" s="3"/>
    </row>
    <row r="991" spans="1:3" ht="12.75">
      <c r="A991" s="3"/>
      <c r="B991" s="3"/>
      <c r="C991" s="3"/>
    </row>
    <row r="992" spans="1:3" ht="12.75">
      <c r="A992" s="3"/>
      <c r="B992" s="3"/>
      <c r="C992" s="3"/>
    </row>
    <row r="993" spans="1:3" ht="12.75">
      <c r="A993" s="3"/>
      <c r="B993" s="3"/>
      <c r="C993" s="3"/>
    </row>
    <row r="994" spans="1:3" ht="12.75">
      <c r="A994" s="3"/>
      <c r="B994" s="3"/>
      <c r="C994" s="3"/>
    </row>
    <row r="995" spans="1:3" ht="12.75">
      <c r="A995" s="3"/>
      <c r="B995" s="3"/>
      <c r="C995" s="3"/>
    </row>
    <row r="996" spans="1:3" ht="12.75">
      <c r="A996" s="3"/>
      <c r="B996" s="3"/>
      <c r="C996" s="3"/>
    </row>
    <row r="997" spans="1:3" ht="12.75">
      <c r="A997" s="3"/>
      <c r="B997" s="3"/>
      <c r="C997" s="3"/>
    </row>
    <row r="998" spans="1:3" ht="12.75">
      <c r="A998" s="3"/>
      <c r="B998" s="3"/>
      <c r="C998" s="3"/>
    </row>
    <row r="999" spans="1:3" ht="12.75">
      <c r="A999" s="3"/>
      <c r="B999" s="3"/>
      <c r="C999" s="3"/>
    </row>
    <row r="1000" spans="1:3" ht="12.75">
      <c r="A1000" s="3"/>
      <c r="B1000" s="3"/>
      <c r="C1000" s="3"/>
    </row>
  </sheetData>
  <autoFilter ref="A1:C1000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15"/>
  <sheetViews>
    <sheetView workbookViewId="0"/>
  </sheetViews>
  <sheetFormatPr baseColWidth="10" defaultColWidth="12.5703125" defaultRowHeight="15.75" customHeight="1"/>
  <cols>
    <col min="1" max="1" width="13.7109375" customWidth="1"/>
  </cols>
  <sheetData>
    <row r="1" spans="1:1">
      <c r="A1" s="83" t="s">
        <v>4</v>
      </c>
    </row>
    <row r="2" spans="1:1">
      <c r="A2" s="83" t="s">
        <v>149</v>
      </c>
    </row>
    <row r="3" spans="1:1">
      <c r="A3" s="83" t="s">
        <v>67</v>
      </c>
    </row>
    <row r="4" spans="1:1">
      <c r="A4" s="83" t="s">
        <v>46</v>
      </c>
    </row>
    <row r="5" spans="1:1">
      <c r="A5" s="83" t="s">
        <v>38</v>
      </c>
    </row>
    <row r="6" spans="1:1">
      <c r="A6" s="83" t="s">
        <v>90</v>
      </c>
    </row>
    <row r="7" spans="1:1">
      <c r="A7" s="83" t="s">
        <v>27</v>
      </c>
    </row>
    <row r="8" spans="1:1">
      <c r="A8" s="83" t="s">
        <v>595</v>
      </c>
    </row>
    <row r="9" spans="1:1">
      <c r="A9" s="83" t="s">
        <v>11</v>
      </c>
    </row>
    <row r="10" spans="1:1">
      <c r="A10" s="83" t="s">
        <v>604</v>
      </c>
    </row>
    <row r="11" spans="1:1">
      <c r="A11" s="83" t="s">
        <v>2290</v>
      </c>
    </row>
    <row r="12" spans="1:1">
      <c r="A12" s="83" t="s">
        <v>137</v>
      </c>
    </row>
    <row r="13" spans="1:1">
      <c r="A13" s="83" t="s">
        <v>47</v>
      </c>
    </row>
    <row r="14" spans="1:1">
      <c r="A14" s="83" t="s">
        <v>2008</v>
      </c>
    </row>
    <row r="15" spans="1:1">
      <c r="A15" s="83" t="s">
        <v>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8"/>
  <sheetViews>
    <sheetView workbookViewId="0"/>
  </sheetViews>
  <sheetFormatPr baseColWidth="10" defaultColWidth="12.5703125" defaultRowHeight="15.75" customHeight="1"/>
  <cols>
    <col min="1" max="1" width="22.85546875" customWidth="1"/>
  </cols>
  <sheetData>
    <row r="1" spans="1:1">
      <c r="A1" s="94" t="s">
        <v>2214</v>
      </c>
    </row>
    <row r="2" spans="1:1">
      <c r="A2" s="95" t="s">
        <v>2215</v>
      </c>
    </row>
    <row r="3" spans="1:1">
      <c r="A3" s="95" t="s">
        <v>129</v>
      </c>
    </row>
    <row r="4" spans="1:1">
      <c r="A4" s="96" t="s">
        <v>2294</v>
      </c>
    </row>
    <row r="5" spans="1:1">
      <c r="A5" s="96" t="s">
        <v>2295</v>
      </c>
    </row>
    <row r="6" spans="1:1">
      <c r="A6" s="95" t="s">
        <v>2296</v>
      </c>
    </row>
    <row r="7" spans="1:1">
      <c r="A7" s="95" t="s">
        <v>2297</v>
      </c>
    </row>
    <row r="8" spans="1:1">
      <c r="A8" s="95" t="s">
        <v>2298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9"/>
  <sheetViews>
    <sheetView workbookViewId="0"/>
  </sheetViews>
  <sheetFormatPr baseColWidth="10" defaultColWidth="12.5703125" defaultRowHeight="15.75" customHeight="1"/>
  <sheetData>
    <row r="1" spans="1:1">
      <c r="A1" s="83" t="s">
        <v>2188</v>
      </c>
    </row>
    <row r="2" spans="1:1">
      <c r="A2" s="83" t="s">
        <v>28</v>
      </c>
    </row>
    <row r="3" spans="1:1">
      <c r="A3" s="83" t="s">
        <v>30</v>
      </c>
    </row>
    <row r="4" spans="1:1">
      <c r="A4" s="83" t="s">
        <v>97</v>
      </c>
    </row>
    <row r="5" spans="1:1">
      <c r="A5" s="83" t="s">
        <v>716</v>
      </c>
    </row>
    <row r="6" spans="1:1">
      <c r="A6" s="83" t="s">
        <v>48</v>
      </c>
    </row>
    <row r="7" spans="1:1">
      <c r="A7" s="83" t="s">
        <v>502</v>
      </c>
    </row>
    <row r="8" spans="1:1">
      <c r="A8" s="83" t="s">
        <v>1148</v>
      </c>
    </row>
    <row r="9" spans="1:1">
      <c r="A9" s="83" t="s">
        <v>950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4"/>
  <sheetViews>
    <sheetView workbookViewId="0"/>
  </sheetViews>
  <sheetFormatPr baseColWidth="10" defaultColWidth="12.5703125" defaultRowHeight="15.75" customHeight="1"/>
  <cols>
    <col min="1" max="1" width="18.42578125" customWidth="1"/>
  </cols>
  <sheetData>
    <row r="1" spans="1:1">
      <c r="A1" s="98" t="s">
        <v>2305</v>
      </c>
    </row>
    <row r="2" spans="1:1">
      <c r="A2" s="83" t="s">
        <v>15</v>
      </c>
    </row>
    <row r="3" spans="1:1">
      <c r="A3" s="83" t="s">
        <v>12</v>
      </c>
    </row>
    <row r="4" spans="1:1">
      <c r="A4" s="8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999"/>
  <sheetViews>
    <sheetView showGridLines="0" workbookViewId="0"/>
  </sheetViews>
  <sheetFormatPr baseColWidth="10" defaultColWidth="12.5703125" defaultRowHeight="15.75" customHeight="1"/>
  <cols>
    <col min="2" max="2" width="18.42578125" customWidth="1"/>
    <col min="3" max="3" width="24" customWidth="1"/>
  </cols>
  <sheetData>
    <row r="1" spans="1:3">
      <c r="A1" s="99" t="s">
        <v>2309</v>
      </c>
      <c r="B1" s="99" t="s">
        <v>2310</v>
      </c>
      <c r="C1" s="99" t="s">
        <v>2305</v>
      </c>
    </row>
    <row r="2" spans="1:3" ht="15.75" customHeight="1">
      <c r="A2" s="5">
        <f ca="1">IFERROR(__xludf.DUMMYFUNCTION("FILTER(LOCKERES!$A:$A,LOCKERES!$D:$D=""LOCKERT DISPONIBLE"")"),16)</f>
        <v>16</v>
      </c>
      <c r="B2" s="82" t="str">
        <f ca="1">IFERROR(__xludf.DUMMYFUNCTION("FILTER(LOCKERES!$B:$B,LOCKERES!$D:$D=""LOCKERT DISPONIBLE"")"),"ADM")</f>
        <v>ADM</v>
      </c>
      <c r="C2" s="100" t="str">
        <f ca="1">IFERROR(__xludf.DUMMYFUNCTION("FILTER(LOCKERES!$C:$C,LOCKERES!$D:$D=""LOCKERT DISPONIBLE"")"),"ADMINISTRACION")</f>
        <v>ADMINISTRACION</v>
      </c>
    </row>
    <row r="3" spans="1:3" ht="15.75" customHeight="1">
      <c r="A3" s="5">
        <f ca="1">IFERROR(__xludf.DUMMYFUNCTION("""COMPUTED_VALUE"""),27)</f>
        <v>27</v>
      </c>
      <c r="B3" s="82" t="str">
        <f ca="1">IFERROR(__xludf.DUMMYFUNCTION("""COMPUTED_VALUE"""),"ADM")</f>
        <v>ADM</v>
      </c>
      <c r="C3" s="100" t="str">
        <f ca="1">IFERROR(__xludf.DUMMYFUNCTION("""COMPUTED_VALUE"""),"ADMINISTRACION")</f>
        <v>ADMINISTRACION</v>
      </c>
    </row>
    <row r="4" spans="1:3" ht="15.75" customHeight="1">
      <c r="A4" s="5">
        <f ca="1">IFERROR(__xludf.DUMMYFUNCTION("""COMPUTED_VALUE"""),1)</f>
        <v>1</v>
      </c>
      <c r="B4" s="82" t="str">
        <f ca="1">IFERROR(__xludf.DUMMYFUNCTION("""COMPUTED_VALUE"""),"ASUR")</f>
        <v>ASUR</v>
      </c>
      <c r="C4" s="100" t="str">
        <f ca="1">IFERROR(__xludf.DUMMYFUNCTION("""COMPUTED_VALUE"""),"ADMINISTRACION")</f>
        <v>ADMINISTRACION</v>
      </c>
    </row>
    <row r="5" spans="1:3" ht="15.75" customHeight="1">
      <c r="A5" s="5">
        <f ca="1">IFERROR(__xludf.DUMMYFUNCTION("""COMPUTED_VALUE"""),5)</f>
        <v>5</v>
      </c>
      <c r="B5" s="82" t="str">
        <f ca="1">IFERROR(__xludf.DUMMYFUNCTION("""COMPUTED_VALUE"""),"ASUR")</f>
        <v>ASUR</v>
      </c>
      <c r="C5" s="100" t="str">
        <f ca="1">IFERROR(__xludf.DUMMYFUNCTION("""COMPUTED_VALUE"""),"VESTIDOR MUJERES")</f>
        <v>VESTIDOR MUJERES</v>
      </c>
    </row>
    <row r="6" spans="1:3" ht="15.75" customHeight="1">
      <c r="A6" s="5">
        <f ca="1">IFERROR(__xludf.DUMMYFUNCTION("""COMPUTED_VALUE"""),3)</f>
        <v>3</v>
      </c>
      <c r="B6" s="82" t="str">
        <f ca="1">IFERROR(__xludf.DUMMYFUNCTION("""COMPUTED_VALUE"""),"CAL")</f>
        <v>CAL</v>
      </c>
      <c r="C6" s="100" t="str">
        <f ca="1">IFERROR(__xludf.DUMMYFUNCTION("""COMPUTED_VALUE"""),"ADMINISTRACION")</f>
        <v>ADMINISTRACION</v>
      </c>
    </row>
    <row r="7" spans="1:3" ht="15.75" customHeight="1">
      <c r="A7" s="5">
        <f ca="1">IFERROR(__xludf.DUMMYFUNCTION("""COMPUTED_VALUE"""),4)</f>
        <v>4</v>
      </c>
      <c r="B7" s="82" t="str">
        <f ca="1">IFERROR(__xludf.DUMMYFUNCTION("""COMPUTED_VALUE"""),"CAL")</f>
        <v>CAL</v>
      </c>
      <c r="C7" s="100" t="str">
        <f ca="1">IFERROR(__xludf.DUMMYFUNCTION("""COMPUTED_VALUE"""),"VESTIDOR MUJERES")</f>
        <v>VESTIDOR MUJERES</v>
      </c>
    </row>
    <row r="8" spans="1:3" ht="15.75" customHeight="1">
      <c r="A8" s="5">
        <f ca="1">IFERROR(__xludf.DUMMYFUNCTION("""COMPUTED_VALUE"""),14)</f>
        <v>14</v>
      </c>
      <c r="B8" s="82" t="str">
        <f ca="1">IFERROR(__xludf.DUMMYFUNCTION("""COMPUTED_VALUE"""),"CAL")</f>
        <v>CAL</v>
      </c>
      <c r="C8" s="100" t="str">
        <f ca="1">IFERROR(__xludf.DUMMYFUNCTION("""COMPUTED_VALUE"""),"ADMINISTRACION")</f>
        <v>ADMINISTRACION</v>
      </c>
    </row>
    <row r="9" spans="1:3" ht="15.75" customHeight="1">
      <c r="A9" s="5">
        <f ca="1">IFERROR(__xludf.DUMMYFUNCTION("""COMPUTED_VALUE"""),24)</f>
        <v>24</v>
      </c>
      <c r="B9" s="82" t="str">
        <f ca="1">IFERROR(__xludf.DUMMYFUNCTION("""COMPUTED_VALUE"""),"GG")</f>
        <v>GG</v>
      </c>
      <c r="C9" s="100" t="str">
        <f ca="1">IFERROR(__xludf.DUMMYFUNCTION("""COMPUTED_VALUE"""),"ADMINISTRACION")</f>
        <v>ADMINISTRACION</v>
      </c>
    </row>
    <row r="10" spans="1:3" ht="15.75" customHeight="1">
      <c r="A10" s="5" t="str">
        <f ca="1">IFERROR(__xludf.DUMMYFUNCTION("""COMPUTED_VALUE"""),"20")</f>
        <v>20</v>
      </c>
      <c r="B10" s="82" t="str">
        <f ca="1">IFERROR(__xludf.DUMMYFUNCTION("""COMPUTED_VALUE"""),"CAL")</f>
        <v>CAL</v>
      </c>
      <c r="C10" s="100" t="str">
        <f ca="1">IFERROR(__xludf.DUMMYFUNCTION("""COMPUTED_VALUE"""),"VESTIDOR MUJERES")</f>
        <v>VESTIDOR MUJERES</v>
      </c>
    </row>
    <row r="11" spans="1:3" ht="15.75" customHeight="1">
      <c r="A11" s="5">
        <f ca="1">IFERROR(__xludf.DUMMYFUNCTION("""COMPUTED_VALUE"""),4)</f>
        <v>4</v>
      </c>
      <c r="B11" s="82" t="str">
        <f ca="1">IFERROR(__xludf.DUMMYFUNCTION("""COMPUTED_VALUE"""),"EXT")</f>
        <v>EXT</v>
      </c>
      <c r="C11" s="100" t="str">
        <f ca="1">IFERROR(__xludf.DUMMYFUNCTION("""COMPUTED_VALUE"""),"ADMINISTRACION")</f>
        <v>ADMINISTRACION</v>
      </c>
    </row>
    <row r="12" spans="1:3" ht="15.75" customHeight="1">
      <c r="A12" s="5">
        <f ca="1">IFERROR(__xludf.DUMMYFUNCTION("""COMPUTED_VALUE"""),11)</f>
        <v>11</v>
      </c>
      <c r="B12" s="82" t="str">
        <f ca="1">IFERROR(__xludf.DUMMYFUNCTION("""COMPUTED_VALUE"""),"EXT")</f>
        <v>EXT</v>
      </c>
      <c r="C12" s="100" t="str">
        <f ca="1">IFERROR(__xludf.DUMMYFUNCTION("""COMPUTED_VALUE"""),"ADMINISTRACION")</f>
        <v>ADMINISTRACION</v>
      </c>
    </row>
    <row r="13" spans="1:3" ht="15.75" customHeight="1">
      <c r="A13" s="5">
        <f ca="1">IFERROR(__xludf.DUMMYFUNCTION("""COMPUTED_VALUE"""),23)</f>
        <v>23</v>
      </c>
      <c r="B13" s="82" t="str">
        <f ca="1">IFERROR(__xludf.DUMMYFUNCTION("""COMPUTED_VALUE"""),"GG")</f>
        <v>GG</v>
      </c>
      <c r="C13" s="100" t="str">
        <f ca="1">IFERROR(__xludf.DUMMYFUNCTION("""COMPUTED_VALUE"""),"ADMINISTRACION")</f>
        <v>ADMINISTRACION</v>
      </c>
    </row>
    <row r="14" spans="1:3" ht="15.75" customHeight="1">
      <c r="A14" s="5">
        <f ca="1">IFERROR(__xludf.DUMMYFUNCTION("""COMPUTED_VALUE"""),13)</f>
        <v>13</v>
      </c>
      <c r="B14" s="82" t="str">
        <f ca="1">IFERROR(__xludf.DUMMYFUNCTION("""COMPUTED_VALUE"""),"LN")</f>
        <v>LN</v>
      </c>
      <c r="C14" s="100" t="str">
        <f ca="1">IFERROR(__xludf.DUMMYFUNCTION("""COMPUTED_VALUE"""),"VESTIDOR HOMBRES")</f>
        <v>VESTIDOR HOMBRES</v>
      </c>
    </row>
    <row r="15" spans="1:3" ht="15.75" customHeight="1">
      <c r="A15" s="5">
        <f ca="1">IFERROR(__xludf.DUMMYFUNCTION("""COMPUTED_VALUE"""),23)</f>
        <v>23</v>
      </c>
      <c r="B15" s="82" t="str">
        <f ca="1">IFERROR(__xludf.DUMMYFUNCTION("""COMPUTED_VALUE"""),"LN")</f>
        <v>LN</v>
      </c>
      <c r="C15" s="100" t="str">
        <f ca="1">IFERROR(__xludf.DUMMYFUNCTION("""COMPUTED_VALUE"""),"VESTIDOR HOMBRES")</f>
        <v>VESTIDOR HOMBRES</v>
      </c>
    </row>
    <row r="16" spans="1:3" ht="15.75" customHeight="1">
      <c r="A16" s="5">
        <f ca="1">IFERROR(__xludf.DUMMYFUNCTION("""COMPUTED_VALUE"""),54)</f>
        <v>54</v>
      </c>
      <c r="B16" s="3" t="str">
        <f ca="1">IFERROR(__xludf.DUMMYFUNCTION("""COMPUTED_VALUE"""),"LN")</f>
        <v>LN</v>
      </c>
      <c r="C16" s="100" t="str">
        <f ca="1">IFERROR(__xludf.DUMMYFUNCTION("""COMPUTED_VALUE"""),"VESTIDOR HOMBRES")</f>
        <v>VESTIDOR HOMBRES</v>
      </c>
    </row>
    <row r="17" spans="1:3" ht="15.75" customHeight="1">
      <c r="A17" s="5">
        <f ca="1">IFERROR(__xludf.DUMMYFUNCTION("""COMPUTED_VALUE"""),59)</f>
        <v>59</v>
      </c>
      <c r="B17" s="3" t="str">
        <f ca="1">IFERROR(__xludf.DUMMYFUNCTION("""COMPUTED_VALUE"""),"LN")</f>
        <v>LN</v>
      </c>
      <c r="C17" s="100" t="str">
        <f ca="1">IFERROR(__xludf.DUMMYFUNCTION("""COMPUTED_VALUE"""),"VESTIDOR HOMBRES")</f>
        <v>VESTIDOR HOMBRES</v>
      </c>
    </row>
    <row r="18" spans="1:3" ht="15.75" customHeight="1">
      <c r="A18" s="5">
        <f ca="1">IFERROR(__xludf.DUMMYFUNCTION("""COMPUTED_VALUE"""),60)</f>
        <v>60</v>
      </c>
      <c r="B18" s="3" t="str">
        <f ca="1">IFERROR(__xludf.DUMMYFUNCTION("""COMPUTED_VALUE"""),"LN")</f>
        <v>LN</v>
      </c>
      <c r="C18" s="100" t="str">
        <f ca="1">IFERROR(__xludf.DUMMYFUNCTION("""COMPUTED_VALUE"""),"VESTIDOR HOMBRES")</f>
        <v>VESTIDOR HOMBRES</v>
      </c>
    </row>
    <row r="19" spans="1:3" ht="15.75" customHeight="1">
      <c r="A19" s="5">
        <f ca="1">IFERROR(__xludf.DUMMYFUNCTION("""COMPUTED_VALUE"""),61)</f>
        <v>61</v>
      </c>
      <c r="B19" s="3" t="str">
        <f ca="1">IFERROR(__xludf.DUMMYFUNCTION("""COMPUTED_VALUE"""),"LN")</f>
        <v>LN</v>
      </c>
      <c r="C19" s="100" t="str">
        <f ca="1">IFERROR(__xludf.DUMMYFUNCTION("""COMPUTED_VALUE"""),"VESTIDOR HOMBRES")</f>
        <v>VESTIDOR HOMBRES</v>
      </c>
    </row>
    <row r="20" spans="1:3" ht="15.75" customHeight="1">
      <c r="A20" s="5">
        <f ca="1">IFERROR(__xludf.DUMMYFUNCTION("""COMPUTED_VALUE"""),62)</f>
        <v>62</v>
      </c>
      <c r="B20" s="3" t="str">
        <f ca="1">IFERROR(__xludf.DUMMYFUNCTION("""COMPUTED_VALUE"""),"LN")</f>
        <v>LN</v>
      </c>
      <c r="C20" s="100" t="str">
        <f ca="1">IFERROR(__xludf.DUMMYFUNCTION("""COMPUTED_VALUE"""),"VESTIDOR HOMBRES")</f>
        <v>VESTIDOR HOMBRES</v>
      </c>
    </row>
    <row r="21" spans="1:3" ht="15.75" customHeight="1">
      <c r="A21" s="5">
        <f ca="1">IFERROR(__xludf.DUMMYFUNCTION("""COMPUTED_VALUE"""),63)</f>
        <v>63</v>
      </c>
      <c r="B21" s="3" t="str">
        <f ca="1">IFERROR(__xludf.DUMMYFUNCTION("""COMPUTED_VALUE"""),"LN")</f>
        <v>LN</v>
      </c>
      <c r="C21" s="100" t="str">
        <f ca="1">IFERROR(__xludf.DUMMYFUNCTION("""COMPUTED_VALUE"""),"VESTIDOR HOMBRES")</f>
        <v>VESTIDOR HOMBRES</v>
      </c>
    </row>
    <row r="22" spans="1:3" ht="23.25">
      <c r="A22" s="5">
        <f ca="1">IFERROR(__xludf.DUMMYFUNCTION("""COMPUTED_VALUE"""),1)</f>
        <v>1</v>
      </c>
      <c r="B22" s="3" t="str">
        <f ca="1">IFERROR(__xludf.DUMMYFUNCTION("""COMPUTED_VALUE"""),"LOG")</f>
        <v>LOG</v>
      </c>
      <c r="C22" s="100" t="str">
        <f ca="1">IFERROR(__xludf.DUMMYFUNCTION("""COMPUTED_VALUE"""),"VESTIDOR HOMBRES")</f>
        <v>VESTIDOR HOMBRES</v>
      </c>
    </row>
    <row r="23" spans="1:3" ht="23.25">
      <c r="A23" s="5">
        <f ca="1">IFERROR(__xludf.DUMMYFUNCTION("""COMPUTED_VALUE"""),7)</f>
        <v>7</v>
      </c>
      <c r="B23" s="3" t="str">
        <f ca="1">IFERROR(__xludf.DUMMYFUNCTION("""COMPUTED_VALUE"""),"LOG")</f>
        <v>LOG</v>
      </c>
      <c r="C23" s="100" t="str">
        <f ca="1">IFERROR(__xludf.DUMMYFUNCTION("""COMPUTED_VALUE"""),"ADMINISTRACION")</f>
        <v>ADMINISTRACION</v>
      </c>
    </row>
    <row r="24" spans="1:3" ht="23.25">
      <c r="A24" s="5">
        <f ca="1">IFERROR(__xludf.DUMMYFUNCTION("""COMPUTED_VALUE"""),17)</f>
        <v>17</v>
      </c>
      <c r="B24" s="3" t="str">
        <f ca="1">IFERROR(__xludf.DUMMYFUNCTION("""COMPUTED_VALUE"""),"LOG")</f>
        <v>LOG</v>
      </c>
      <c r="C24" s="100" t="str">
        <f ca="1">IFERROR(__xludf.DUMMYFUNCTION("""COMPUTED_VALUE"""),"VESTIDOR HOMBRES")</f>
        <v>VESTIDOR HOMBRES</v>
      </c>
    </row>
    <row r="25" spans="1:3" ht="23.25">
      <c r="A25" s="5">
        <f ca="1">IFERROR(__xludf.DUMMYFUNCTION("""COMPUTED_VALUE"""),24)</f>
        <v>24</v>
      </c>
      <c r="B25" s="3" t="str">
        <f ca="1">IFERROR(__xludf.DUMMYFUNCTION("""COMPUTED_VALUE"""),"LOG")</f>
        <v>LOG</v>
      </c>
      <c r="C25" s="100" t="str">
        <f ca="1">IFERROR(__xludf.DUMMYFUNCTION("""COMPUTED_VALUE"""),"VESTIDOR MUJERES")</f>
        <v>VESTIDOR MUJERES</v>
      </c>
    </row>
    <row r="26" spans="1:3" ht="23.25">
      <c r="A26" s="5">
        <f ca="1">IFERROR(__xludf.DUMMYFUNCTION("""COMPUTED_VALUE"""),11)</f>
        <v>11</v>
      </c>
      <c r="B26" s="3" t="str">
        <f ca="1">IFERROR(__xludf.DUMMYFUNCTION("""COMPUTED_VALUE"""),"LYD")</f>
        <v>LYD</v>
      </c>
      <c r="C26" s="100" t="str">
        <f ca="1">IFERROR(__xludf.DUMMYFUNCTION("""COMPUTED_VALUE"""),"VESTIDOR MUJERES")</f>
        <v>VESTIDOR MUJERES</v>
      </c>
    </row>
    <row r="27" spans="1:3" ht="23.25">
      <c r="A27" s="5">
        <f ca="1">IFERROR(__xludf.DUMMYFUNCTION("""COMPUTED_VALUE"""),17)</f>
        <v>17</v>
      </c>
      <c r="B27" s="3" t="str">
        <f ca="1">IFERROR(__xludf.DUMMYFUNCTION("""COMPUTED_VALUE"""),"LYD")</f>
        <v>LYD</v>
      </c>
      <c r="C27" s="100" t="str">
        <f ca="1">IFERROR(__xludf.DUMMYFUNCTION("""COMPUTED_VALUE"""),"ADMINISTRACION")</f>
        <v>ADMINISTRACION</v>
      </c>
    </row>
    <row r="28" spans="1:3" ht="23.25">
      <c r="A28" s="5">
        <f ca="1">IFERROR(__xludf.DUMMYFUNCTION("""COMPUTED_VALUE"""),19)</f>
        <v>19</v>
      </c>
      <c r="B28" s="3" t="str">
        <f ca="1">IFERROR(__xludf.DUMMYFUNCTION("""COMPUTED_VALUE"""),"LYD")</f>
        <v>LYD</v>
      </c>
      <c r="C28" s="100" t="str">
        <f ca="1">IFERROR(__xludf.DUMMYFUNCTION("""COMPUTED_VALUE"""),"VESTIDOR HOMBRES")</f>
        <v>VESTIDOR HOMBRES</v>
      </c>
    </row>
    <row r="29" spans="1:3" ht="23.25">
      <c r="A29" s="5">
        <f ca="1">IFERROR(__xludf.DUMMYFUNCTION("""COMPUTED_VALUE"""),22)</f>
        <v>22</v>
      </c>
      <c r="B29" s="3" t="str">
        <f ca="1">IFERROR(__xludf.DUMMYFUNCTION("""COMPUTED_VALUE"""),"LYD")</f>
        <v>LYD</v>
      </c>
      <c r="C29" s="100" t="str">
        <f ca="1">IFERROR(__xludf.DUMMYFUNCTION("""COMPUTED_VALUE"""),"VESTIDOR HOMBRES")</f>
        <v>VESTIDOR HOMBRES</v>
      </c>
    </row>
    <row r="30" spans="1:3" ht="23.25">
      <c r="A30" s="5">
        <f ca="1">IFERROR(__xludf.DUMMYFUNCTION("""COMPUTED_VALUE"""),5)</f>
        <v>5</v>
      </c>
      <c r="B30" s="3" t="str">
        <f ca="1">IFERROR(__xludf.DUMMYFUNCTION("""COMPUTED_VALUE"""),"PCC")</f>
        <v>PCC</v>
      </c>
      <c r="C30" s="100" t="str">
        <f ca="1">IFERROR(__xludf.DUMMYFUNCTION("""COMPUTED_VALUE"""),"VESTIDOR HOMBRES")</f>
        <v>VESTIDOR HOMBRES</v>
      </c>
    </row>
    <row r="31" spans="1:3" ht="23.25">
      <c r="A31" s="5">
        <f ca="1">IFERROR(__xludf.DUMMYFUNCTION("""COMPUTED_VALUE"""),6)</f>
        <v>6</v>
      </c>
      <c r="B31" s="3" t="str">
        <f ca="1">IFERROR(__xludf.DUMMYFUNCTION("""COMPUTED_VALUE"""),"PCC")</f>
        <v>PCC</v>
      </c>
      <c r="C31" s="100" t="str">
        <f ca="1">IFERROR(__xludf.DUMMYFUNCTION("""COMPUTED_VALUE"""),"VESTIDOR MUJERES")</f>
        <v>VESTIDOR MUJERES</v>
      </c>
    </row>
    <row r="32" spans="1:3" ht="23.25">
      <c r="A32" s="5">
        <f ca="1">IFERROR(__xludf.DUMMYFUNCTION("""COMPUTED_VALUE"""),7)</f>
        <v>7</v>
      </c>
      <c r="B32" s="3" t="str">
        <f ca="1">IFERROR(__xludf.DUMMYFUNCTION("""COMPUTED_VALUE"""),"PCC")</f>
        <v>PCC</v>
      </c>
      <c r="C32" s="100" t="str">
        <f ca="1">IFERROR(__xludf.DUMMYFUNCTION("""COMPUTED_VALUE"""),"VESTIDOR HOMBRES")</f>
        <v>VESTIDOR HOMBRES</v>
      </c>
    </row>
    <row r="33" spans="1:3" ht="23.25">
      <c r="A33" s="5">
        <f ca="1">IFERROR(__xludf.DUMMYFUNCTION("""COMPUTED_VALUE"""),10)</f>
        <v>10</v>
      </c>
      <c r="B33" s="3" t="str">
        <f ca="1">IFERROR(__xludf.DUMMYFUNCTION("""COMPUTED_VALUE"""),"PCC")</f>
        <v>PCC</v>
      </c>
      <c r="C33" s="100" t="str">
        <f ca="1">IFERROR(__xludf.DUMMYFUNCTION("""COMPUTED_VALUE"""),"VESTIDOR HOMBRES")</f>
        <v>VESTIDOR HOMBRES</v>
      </c>
    </row>
    <row r="34" spans="1:3" ht="23.25">
      <c r="A34" s="5">
        <f ca="1">IFERROR(__xludf.DUMMYFUNCTION("""COMPUTED_VALUE"""),18)</f>
        <v>18</v>
      </c>
      <c r="B34" s="3" t="str">
        <f ca="1">IFERROR(__xludf.DUMMYFUNCTION("""COMPUTED_VALUE"""),"PCC")</f>
        <v>PCC</v>
      </c>
      <c r="C34" s="100" t="str">
        <f ca="1">IFERROR(__xludf.DUMMYFUNCTION("""COMPUTED_VALUE"""),"ADMINISTRACION")</f>
        <v>ADMINISTRACION</v>
      </c>
    </row>
    <row r="35" spans="1:3" ht="23.25">
      <c r="A35" s="5">
        <f ca="1">IFERROR(__xludf.DUMMYFUNCTION("""COMPUTED_VALUE"""),26)</f>
        <v>26</v>
      </c>
      <c r="B35" s="3" t="str">
        <f ca="1">IFERROR(__xludf.DUMMYFUNCTION("""COMPUTED_VALUE"""),"PCC")</f>
        <v>PCC</v>
      </c>
      <c r="C35" s="100" t="str">
        <f ca="1">IFERROR(__xludf.DUMMYFUNCTION("""COMPUTED_VALUE"""),"VESTIDOR HOMBRES")</f>
        <v>VESTIDOR HOMBRES</v>
      </c>
    </row>
    <row r="36" spans="1:3" ht="23.25">
      <c r="A36" s="5">
        <f ca="1">IFERROR(__xludf.DUMMYFUNCTION("""COMPUTED_VALUE"""),51)</f>
        <v>51</v>
      </c>
      <c r="B36" s="3" t="str">
        <f ca="1">IFERROR(__xludf.DUMMYFUNCTION("""COMPUTED_VALUE"""),"PCC")</f>
        <v>PCC</v>
      </c>
      <c r="C36" s="100" t="str">
        <f ca="1">IFERROR(__xludf.DUMMYFUNCTION("""COMPUTED_VALUE"""),"VESTIDOR HOMBRES")</f>
        <v>VESTIDOR HOMBRES</v>
      </c>
    </row>
    <row r="37" spans="1:3" ht="23.25">
      <c r="A37" s="5">
        <f ca="1">IFERROR(__xludf.DUMMYFUNCTION("""COMPUTED_VALUE"""),52)</f>
        <v>52</v>
      </c>
      <c r="B37" s="3" t="str">
        <f ca="1">IFERROR(__xludf.DUMMYFUNCTION("""COMPUTED_VALUE"""),"PCC")</f>
        <v>PCC</v>
      </c>
      <c r="C37" s="100" t="str">
        <f ca="1">IFERROR(__xludf.DUMMYFUNCTION("""COMPUTED_VALUE"""),"VESTIDOR HOMBRES")</f>
        <v>VESTIDOR HOMBRES</v>
      </c>
    </row>
    <row r="38" spans="1:3" ht="23.25">
      <c r="A38" s="5">
        <f ca="1">IFERROR(__xludf.DUMMYFUNCTION("""COMPUTED_VALUE"""),55)</f>
        <v>55</v>
      </c>
      <c r="B38" s="3" t="str">
        <f ca="1">IFERROR(__xludf.DUMMYFUNCTION("""COMPUTED_VALUE"""),"PCC")</f>
        <v>PCC</v>
      </c>
      <c r="C38" s="100" t="str">
        <f ca="1">IFERROR(__xludf.DUMMYFUNCTION("""COMPUTED_VALUE"""),"VESTIDOR HOMBRES")</f>
        <v>VESTIDOR HOMBRES</v>
      </c>
    </row>
    <row r="39" spans="1:3" ht="23.25">
      <c r="A39" s="5">
        <f ca="1">IFERROR(__xludf.DUMMYFUNCTION("""COMPUTED_VALUE"""),57)</f>
        <v>57</v>
      </c>
      <c r="B39" s="3" t="str">
        <f ca="1">IFERROR(__xludf.DUMMYFUNCTION("""COMPUTED_VALUE"""),"PCC")</f>
        <v>PCC</v>
      </c>
      <c r="C39" s="100" t="str">
        <f ca="1">IFERROR(__xludf.DUMMYFUNCTION("""COMPUTED_VALUE"""),"VESTIDOR HOMBRES")</f>
        <v>VESTIDOR HOMBRES</v>
      </c>
    </row>
    <row r="40" spans="1:3" ht="23.25">
      <c r="A40" s="5">
        <f ca="1">IFERROR(__xludf.DUMMYFUNCTION("""COMPUTED_VALUE"""),2)</f>
        <v>2</v>
      </c>
      <c r="B40" s="3" t="str">
        <f ca="1">IFERROR(__xludf.DUMMYFUNCTION("""COMPUTED_VALUE"""),"SEG")</f>
        <v>SEG</v>
      </c>
      <c r="C40" s="100" t="str">
        <f ca="1">IFERROR(__xludf.DUMMYFUNCTION("""COMPUTED_VALUE"""),"ADMINISTRACION")</f>
        <v>ADMINISTRACION</v>
      </c>
    </row>
    <row r="41" spans="1:3" ht="23.25">
      <c r="A41" s="5">
        <f ca="1">IFERROR(__xludf.DUMMYFUNCTION("""COMPUTED_VALUE"""),7)</f>
        <v>7</v>
      </c>
      <c r="B41" s="3" t="str">
        <f ca="1">IFERROR(__xludf.DUMMYFUNCTION("""COMPUTED_VALUE"""),"SST")</f>
        <v>SST</v>
      </c>
      <c r="C41" s="100" t="str">
        <f ca="1">IFERROR(__xludf.DUMMYFUNCTION("""COMPUTED_VALUE"""),"VESTIDOR MUJERES")</f>
        <v>VESTIDOR MUJERES</v>
      </c>
    </row>
    <row r="42" spans="1:3" ht="23.25">
      <c r="A42" s="5">
        <f ca="1">IFERROR(__xludf.DUMMYFUNCTION("""COMPUTED_VALUE"""),10)</f>
        <v>10</v>
      </c>
      <c r="B42" s="3" t="str">
        <f ca="1">IFERROR(__xludf.DUMMYFUNCTION("""COMPUTED_VALUE"""),"SST")</f>
        <v>SST</v>
      </c>
      <c r="C42" s="100" t="str">
        <f ca="1">IFERROR(__xludf.DUMMYFUNCTION("""COMPUTED_VALUE"""),"VESTIDOR MUJERES")</f>
        <v>VESTIDOR MUJERES</v>
      </c>
    </row>
    <row r="43" spans="1:3" ht="23.25">
      <c r="A43" s="5">
        <f ca="1">IFERROR(__xludf.DUMMYFUNCTION("""COMPUTED_VALUE"""),12)</f>
        <v>12</v>
      </c>
      <c r="B43" s="3" t="str">
        <f ca="1">IFERROR(__xludf.DUMMYFUNCTION("""COMPUTED_VALUE"""),"SST")</f>
        <v>SST</v>
      </c>
      <c r="C43" s="100" t="str">
        <f ca="1">IFERROR(__xludf.DUMMYFUNCTION("""COMPUTED_VALUE"""),"ADMINISTRACION")</f>
        <v>ADMINISTRACION</v>
      </c>
    </row>
    <row r="44" spans="1:3" ht="23.25">
      <c r="A44" s="5">
        <f ca="1">IFERROR(__xludf.DUMMYFUNCTION("""COMPUTED_VALUE"""),8)</f>
        <v>8</v>
      </c>
      <c r="B44" s="3" t="str">
        <f ca="1">IFERROR(__xludf.DUMMYFUNCTION("""COMPUTED_VALUE"""),"TIC")</f>
        <v>TIC</v>
      </c>
      <c r="C44" s="100" t="str">
        <f ca="1">IFERROR(__xludf.DUMMYFUNCTION("""COMPUTED_VALUE"""),"ADMINISTRACION")</f>
        <v>ADMINISTRACION</v>
      </c>
    </row>
    <row r="45" spans="1:3" ht="23.25">
      <c r="A45" s="5"/>
      <c r="B45" s="3"/>
    </row>
    <row r="46" spans="1:3" ht="23.25">
      <c r="A46" s="5"/>
      <c r="B46" s="3"/>
    </row>
    <row r="47" spans="1:3" ht="23.25">
      <c r="A47" s="5"/>
      <c r="B47" s="3"/>
    </row>
    <row r="48" spans="1:3" ht="23.25">
      <c r="A48" s="5"/>
      <c r="B48" s="3"/>
    </row>
    <row r="49" spans="1:2" ht="23.25">
      <c r="A49" s="5"/>
      <c r="B49" s="3"/>
    </row>
    <row r="50" spans="1:2" ht="23.25">
      <c r="A50" s="5"/>
      <c r="B50" s="3"/>
    </row>
    <row r="51" spans="1:2" ht="23.25">
      <c r="A51" s="5"/>
      <c r="B51" s="3"/>
    </row>
    <row r="52" spans="1:2" ht="23.25">
      <c r="A52" s="5"/>
      <c r="B52" s="3"/>
    </row>
    <row r="53" spans="1:2" ht="23.25">
      <c r="A53" s="5"/>
      <c r="B53" s="3"/>
    </row>
    <row r="54" spans="1:2" ht="23.25">
      <c r="A54" s="5"/>
      <c r="B54" s="3"/>
    </row>
    <row r="55" spans="1:2" ht="23.25">
      <c r="A55" s="5"/>
      <c r="B55" s="3"/>
    </row>
    <row r="56" spans="1:2" ht="23.25">
      <c r="A56" s="5"/>
      <c r="B56" s="3"/>
    </row>
    <row r="57" spans="1:2" ht="23.25">
      <c r="A57" s="5"/>
      <c r="B57" s="3"/>
    </row>
    <row r="58" spans="1:2" ht="23.25">
      <c r="A58" s="5"/>
      <c r="B58" s="3"/>
    </row>
    <row r="59" spans="1:2" ht="23.25">
      <c r="A59" s="5"/>
      <c r="B59" s="3"/>
    </row>
    <row r="60" spans="1:2" ht="23.25">
      <c r="A60" s="5"/>
      <c r="B60" s="3"/>
    </row>
    <row r="61" spans="1:2" ht="23.25">
      <c r="A61" s="5"/>
      <c r="B61" s="3"/>
    </row>
    <row r="62" spans="1:2" ht="23.25">
      <c r="A62" s="5"/>
      <c r="B62" s="3"/>
    </row>
    <row r="63" spans="1:2" ht="23.25">
      <c r="A63" s="5"/>
      <c r="B63" s="3"/>
    </row>
    <row r="64" spans="1:2" ht="23.25">
      <c r="A64" s="5"/>
      <c r="B64" s="3"/>
    </row>
    <row r="65" spans="1:2" ht="23.25">
      <c r="A65" s="5"/>
      <c r="B65" s="3"/>
    </row>
    <row r="66" spans="1:2" ht="23.25">
      <c r="A66" s="5"/>
      <c r="B66" s="3"/>
    </row>
    <row r="67" spans="1:2" ht="23.25">
      <c r="A67" s="5"/>
      <c r="B67" s="3"/>
    </row>
    <row r="68" spans="1:2" ht="23.25">
      <c r="A68" s="5"/>
      <c r="B68" s="3"/>
    </row>
    <row r="69" spans="1:2" ht="23.25">
      <c r="A69" s="5"/>
      <c r="B69" s="3"/>
    </row>
    <row r="70" spans="1:2" ht="23.25">
      <c r="A70" s="5"/>
      <c r="B70" s="3"/>
    </row>
    <row r="71" spans="1:2" ht="23.25">
      <c r="A71" s="5"/>
      <c r="B71" s="3"/>
    </row>
    <row r="72" spans="1:2" ht="23.25">
      <c r="A72" s="5"/>
      <c r="B72" s="3"/>
    </row>
    <row r="73" spans="1:2" ht="23.25">
      <c r="A73" s="5"/>
      <c r="B73" s="3"/>
    </row>
    <row r="74" spans="1:2" ht="23.25">
      <c r="A74" s="5"/>
      <c r="B74" s="3"/>
    </row>
    <row r="75" spans="1:2" ht="23.25">
      <c r="A75" s="5"/>
      <c r="B75" s="3"/>
    </row>
    <row r="76" spans="1:2" ht="23.25">
      <c r="A76" s="5"/>
      <c r="B76" s="3"/>
    </row>
    <row r="77" spans="1:2" ht="23.25">
      <c r="A77" s="5"/>
      <c r="B77" s="3"/>
    </row>
    <row r="78" spans="1:2" ht="23.25">
      <c r="A78" s="5"/>
      <c r="B78" s="3"/>
    </row>
    <row r="79" spans="1:2" ht="23.25">
      <c r="A79" s="5"/>
      <c r="B79" s="3"/>
    </row>
    <row r="80" spans="1:2" ht="23.25">
      <c r="A80" s="5"/>
      <c r="B80" s="3"/>
    </row>
    <row r="81" spans="1:2" ht="23.25">
      <c r="A81" s="5"/>
      <c r="B81" s="3"/>
    </row>
    <row r="82" spans="1:2" ht="23.25">
      <c r="A82" s="5"/>
      <c r="B82" s="3"/>
    </row>
    <row r="83" spans="1:2" ht="23.25">
      <c r="A83" s="5"/>
      <c r="B83" s="3"/>
    </row>
    <row r="84" spans="1:2" ht="23.25">
      <c r="A84" s="5"/>
      <c r="B84" s="3"/>
    </row>
    <row r="85" spans="1:2" ht="23.25">
      <c r="A85" s="5"/>
      <c r="B85" s="3"/>
    </row>
    <row r="86" spans="1:2" ht="23.25">
      <c r="A86" s="5"/>
      <c r="B86" s="3"/>
    </row>
    <row r="87" spans="1:2" ht="23.25">
      <c r="A87" s="5"/>
      <c r="B87" s="3"/>
    </row>
    <row r="88" spans="1:2" ht="23.25">
      <c r="A88" s="5"/>
      <c r="B88" s="3"/>
    </row>
    <row r="89" spans="1:2" ht="23.25">
      <c r="A89" s="5"/>
      <c r="B89" s="3"/>
    </row>
    <row r="90" spans="1:2" ht="23.25">
      <c r="A90" s="5"/>
      <c r="B90" s="3"/>
    </row>
    <row r="91" spans="1:2" ht="23.25">
      <c r="A91" s="5"/>
      <c r="B91" s="3"/>
    </row>
    <row r="92" spans="1:2" ht="23.25">
      <c r="A92" s="5"/>
      <c r="B92" s="3"/>
    </row>
    <row r="93" spans="1:2" ht="23.25">
      <c r="A93" s="5"/>
      <c r="B93" s="3"/>
    </row>
    <row r="94" spans="1:2" ht="23.25">
      <c r="A94" s="5"/>
      <c r="B94" s="3"/>
    </row>
    <row r="95" spans="1:2" ht="23.25">
      <c r="A95" s="5"/>
      <c r="B95" s="3"/>
    </row>
    <row r="96" spans="1:2" ht="23.25">
      <c r="A96" s="5"/>
      <c r="B96" s="3"/>
    </row>
    <row r="97" spans="1:2" ht="23.25">
      <c r="A97" s="5"/>
      <c r="B97" s="3"/>
    </row>
    <row r="98" spans="1:2" ht="23.25">
      <c r="A98" s="5"/>
      <c r="B98" s="3"/>
    </row>
    <row r="99" spans="1:2" ht="23.25">
      <c r="A99" s="5"/>
      <c r="B99" s="3"/>
    </row>
    <row r="100" spans="1:2" ht="23.25">
      <c r="A100" s="5"/>
      <c r="B100" s="3"/>
    </row>
    <row r="101" spans="1:2" ht="23.25">
      <c r="A101" s="5"/>
      <c r="B101" s="3"/>
    </row>
    <row r="102" spans="1:2" ht="23.25">
      <c r="A102" s="5"/>
      <c r="B102" s="3"/>
    </row>
    <row r="103" spans="1:2" ht="23.25">
      <c r="A103" s="5"/>
      <c r="B103" s="3"/>
    </row>
    <row r="104" spans="1:2" ht="23.25">
      <c r="A104" s="5"/>
      <c r="B104" s="3"/>
    </row>
    <row r="105" spans="1:2" ht="23.25">
      <c r="A105" s="5"/>
      <c r="B105" s="3"/>
    </row>
    <row r="106" spans="1:2" ht="23.25">
      <c r="A106" s="5"/>
      <c r="B106" s="3"/>
    </row>
    <row r="107" spans="1:2" ht="23.25">
      <c r="A107" s="5"/>
      <c r="B107" s="3"/>
    </row>
    <row r="108" spans="1:2" ht="23.25">
      <c r="A108" s="5"/>
      <c r="B108" s="3"/>
    </row>
    <row r="109" spans="1:2" ht="23.25">
      <c r="A109" s="5"/>
      <c r="B109" s="3"/>
    </row>
    <row r="110" spans="1:2" ht="23.25">
      <c r="A110" s="5"/>
      <c r="B110" s="3"/>
    </row>
    <row r="111" spans="1:2" ht="23.25">
      <c r="A111" s="5"/>
      <c r="B111" s="3"/>
    </row>
    <row r="112" spans="1:2" ht="23.25">
      <c r="A112" s="5"/>
      <c r="B112" s="3"/>
    </row>
    <row r="113" spans="1:2" ht="23.25">
      <c r="A113" s="5"/>
      <c r="B113" s="3"/>
    </row>
    <row r="114" spans="1:2" ht="23.25">
      <c r="A114" s="5"/>
      <c r="B114" s="3"/>
    </row>
    <row r="115" spans="1:2" ht="23.25">
      <c r="A115" s="5"/>
      <c r="B115" s="3"/>
    </row>
    <row r="116" spans="1:2" ht="23.25">
      <c r="A116" s="5"/>
      <c r="B116" s="3"/>
    </row>
    <row r="117" spans="1:2" ht="23.25">
      <c r="A117" s="5"/>
      <c r="B117" s="3"/>
    </row>
    <row r="118" spans="1:2" ht="23.25">
      <c r="A118" s="5"/>
      <c r="B118" s="3"/>
    </row>
    <row r="119" spans="1:2" ht="23.25">
      <c r="A119" s="5"/>
      <c r="B119" s="3"/>
    </row>
    <row r="120" spans="1:2" ht="23.25">
      <c r="A120" s="5"/>
      <c r="B120" s="3"/>
    </row>
    <row r="121" spans="1:2" ht="23.25">
      <c r="A121" s="5"/>
      <c r="B121" s="3"/>
    </row>
    <row r="122" spans="1:2" ht="23.25">
      <c r="A122" s="5"/>
      <c r="B122" s="3"/>
    </row>
    <row r="123" spans="1:2" ht="23.25">
      <c r="A123" s="5"/>
      <c r="B123" s="3"/>
    </row>
    <row r="124" spans="1:2" ht="12.75">
      <c r="A124" s="3"/>
      <c r="B124" s="3"/>
    </row>
    <row r="125" spans="1:2" ht="12.75">
      <c r="A125" s="3"/>
      <c r="B125" s="3"/>
    </row>
    <row r="126" spans="1:2" ht="12.75">
      <c r="A126" s="3"/>
      <c r="B126" s="3"/>
    </row>
    <row r="127" spans="1:2" ht="12.75">
      <c r="A127" s="3"/>
      <c r="B127" s="3"/>
    </row>
    <row r="128" spans="1:2" ht="12.75">
      <c r="A128" s="3"/>
      <c r="B128" s="3"/>
    </row>
    <row r="129" spans="1:2" ht="12.75">
      <c r="A129" s="3"/>
      <c r="B129" s="3"/>
    </row>
    <row r="130" spans="1:2" ht="12.75">
      <c r="A130" s="3"/>
      <c r="B130" s="3"/>
    </row>
    <row r="131" spans="1:2" ht="12.75">
      <c r="A131" s="3"/>
      <c r="B131" s="3"/>
    </row>
    <row r="132" spans="1:2" ht="12.75">
      <c r="A132" s="3"/>
      <c r="B132" s="3"/>
    </row>
    <row r="133" spans="1:2" ht="12.75">
      <c r="A133" s="3"/>
      <c r="B133" s="3"/>
    </row>
    <row r="134" spans="1:2" ht="12.75">
      <c r="A134" s="3"/>
      <c r="B134" s="3"/>
    </row>
    <row r="135" spans="1:2" ht="12.75">
      <c r="A135" s="3"/>
      <c r="B135" s="3"/>
    </row>
    <row r="136" spans="1:2" ht="12.75">
      <c r="A136" s="3"/>
      <c r="B136" s="3"/>
    </row>
    <row r="137" spans="1:2" ht="12.75">
      <c r="A137" s="3"/>
      <c r="B137" s="3"/>
    </row>
    <row r="138" spans="1:2" ht="12.75">
      <c r="A138" s="3"/>
      <c r="B138" s="3"/>
    </row>
    <row r="139" spans="1:2" ht="12.75">
      <c r="A139" s="3"/>
      <c r="B139" s="3"/>
    </row>
    <row r="140" spans="1:2" ht="12.75">
      <c r="A140" s="3"/>
      <c r="B140" s="3"/>
    </row>
    <row r="141" spans="1:2" ht="12.75">
      <c r="A141" s="3"/>
      <c r="B141" s="3"/>
    </row>
    <row r="142" spans="1:2" ht="12.75">
      <c r="A142" s="3"/>
      <c r="B142" s="3"/>
    </row>
    <row r="143" spans="1:2" ht="12.75">
      <c r="A143" s="3"/>
      <c r="B143" s="3"/>
    </row>
    <row r="144" spans="1:2" ht="12.75">
      <c r="A144" s="3"/>
      <c r="B144" s="3"/>
    </row>
    <row r="145" spans="1:2" ht="12.75">
      <c r="A145" s="3"/>
      <c r="B145" s="3"/>
    </row>
    <row r="146" spans="1:2" ht="12.75">
      <c r="A146" s="3"/>
      <c r="B146" s="3"/>
    </row>
    <row r="147" spans="1:2" ht="12.75">
      <c r="A147" s="3"/>
      <c r="B147" s="3"/>
    </row>
    <row r="148" spans="1:2" ht="12.75">
      <c r="A148" s="3"/>
      <c r="B148" s="3"/>
    </row>
    <row r="149" spans="1:2" ht="12.75">
      <c r="A149" s="3"/>
      <c r="B149" s="3"/>
    </row>
    <row r="150" spans="1:2" ht="12.75">
      <c r="A150" s="3"/>
      <c r="B150" s="3"/>
    </row>
    <row r="151" spans="1:2" ht="12.75">
      <c r="A151" s="3"/>
      <c r="B151" s="3"/>
    </row>
    <row r="152" spans="1:2" ht="12.75">
      <c r="A152" s="3"/>
      <c r="B152" s="3"/>
    </row>
    <row r="153" spans="1:2" ht="12.75">
      <c r="A153" s="3"/>
      <c r="B153" s="3"/>
    </row>
    <row r="154" spans="1:2" ht="12.75">
      <c r="A154" s="3"/>
      <c r="B154" s="3"/>
    </row>
    <row r="155" spans="1:2" ht="12.75">
      <c r="A155" s="3"/>
      <c r="B155" s="3"/>
    </row>
    <row r="156" spans="1:2" ht="12.75">
      <c r="A156" s="3"/>
      <c r="B156" s="3"/>
    </row>
    <row r="157" spans="1:2" ht="12.75">
      <c r="A157" s="3"/>
      <c r="B157" s="3"/>
    </row>
    <row r="158" spans="1:2" ht="12.75">
      <c r="A158" s="3"/>
      <c r="B158" s="3"/>
    </row>
    <row r="159" spans="1:2" ht="12.75">
      <c r="A159" s="3"/>
      <c r="B159" s="3"/>
    </row>
    <row r="160" spans="1:2" ht="12.75">
      <c r="A160" s="3"/>
      <c r="B160" s="3"/>
    </row>
    <row r="161" spans="1:2" ht="12.75">
      <c r="A161" s="3"/>
      <c r="B161" s="3"/>
    </row>
    <row r="162" spans="1:2" ht="12.75">
      <c r="A162" s="3"/>
      <c r="B162" s="3"/>
    </row>
    <row r="163" spans="1:2" ht="12.75">
      <c r="A163" s="3"/>
      <c r="B163" s="3"/>
    </row>
    <row r="164" spans="1:2" ht="12.75">
      <c r="A164" s="3"/>
      <c r="B164" s="3"/>
    </row>
    <row r="165" spans="1:2" ht="12.75">
      <c r="A165" s="3"/>
      <c r="B165" s="3"/>
    </row>
    <row r="166" spans="1:2" ht="12.75">
      <c r="A166" s="3"/>
      <c r="B166" s="3"/>
    </row>
    <row r="167" spans="1:2" ht="12.75">
      <c r="A167" s="3"/>
      <c r="B167" s="3"/>
    </row>
    <row r="168" spans="1:2" ht="12.75">
      <c r="A168" s="3"/>
      <c r="B168" s="3"/>
    </row>
    <row r="169" spans="1:2" ht="12.75">
      <c r="A169" s="3"/>
      <c r="B169" s="3"/>
    </row>
    <row r="170" spans="1:2" ht="12.75">
      <c r="A170" s="3"/>
      <c r="B170" s="3"/>
    </row>
    <row r="171" spans="1:2" ht="12.75">
      <c r="A171" s="3"/>
      <c r="B171" s="3"/>
    </row>
    <row r="172" spans="1:2" ht="12.75">
      <c r="A172" s="3"/>
      <c r="B172" s="3"/>
    </row>
    <row r="173" spans="1:2" ht="12.75">
      <c r="A173" s="3"/>
      <c r="B173" s="3"/>
    </row>
    <row r="174" spans="1:2" ht="12.75">
      <c r="A174" s="3"/>
      <c r="B174" s="3"/>
    </row>
    <row r="175" spans="1:2" ht="12.75">
      <c r="A175" s="3"/>
      <c r="B175" s="3"/>
    </row>
    <row r="176" spans="1:2" ht="12.75">
      <c r="A176" s="3"/>
      <c r="B176" s="3"/>
    </row>
    <row r="177" spans="1:2" ht="12.75">
      <c r="A177" s="3"/>
      <c r="B177" s="3"/>
    </row>
    <row r="178" spans="1:2" ht="12.75">
      <c r="A178" s="3"/>
      <c r="B178" s="3"/>
    </row>
    <row r="179" spans="1:2" ht="12.75">
      <c r="A179" s="3"/>
      <c r="B179" s="3"/>
    </row>
    <row r="180" spans="1:2" ht="12.75">
      <c r="A180" s="3"/>
      <c r="B180" s="3"/>
    </row>
    <row r="181" spans="1:2" ht="12.75">
      <c r="A181" s="3"/>
      <c r="B181" s="3"/>
    </row>
    <row r="182" spans="1:2" ht="12.75">
      <c r="A182" s="3"/>
      <c r="B182" s="3"/>
    </row>
    <row r="183" spans="1:2" ht="12.75">
      <c r="A183" s="3"/>
      <c r="B183" s="3"/>
    </row>
    <row r="184" spans="1:2" ht="12.75">
      <c r="A184" s="3"/>
      <c r="B184" s="3"/>
    </row>
    <row r="185" spans="1:2" ht="12.75">
      <c r="A185" s="3"/>
      <c r="B185" s="3"/>
    </row>
    <row r="186" spans="1:2" ht="12.75">
      <c r="A186" s="3"/>
      <c r="B186" s="3"/>
    </row>
    <row r="187" spans="1:2" ht="12.75">
      <c r="A187" s="3"/>
      <c r="B187" s="3"/>
    </row>
    <row r="188" spans="1:2" ht="12.75">
      <c r="A188" s="3"/>
      <c r="B188" s="3"/>
    </row>
    <row r="189" spans="1:2" ht="12.75">
      <c r="A189" s="3"/>
      <c r="B189" s="3"/>
    </row>
    <row r="190" spans="1:2" ht="12.75">
      <c r="A190" s="3"/>
      <c r="B190" s="3"/>
    </row>
    <row r="191" spans="1:2" ht="12.75">
      <c r="A191" s="3"/>
      <c r="B191" s="3"/>
    </row>
    <row r="192" spans="1:2" ht="12.75">
      <c r="A192" s="3"/>
      <c r="B192" s="3"/>
    </row>
    <row r="193" spans="1:2" ht="12.75">
      <c r="A193" s="3"/>
      <c r="B193" s="3"/>
    </row>
    <row r="194" spans="1:2" ht="12.75">
      <c r="A194" s="3"/>
      <c r="B194" s="3"/>
    </row>
    <row r="195" spans="1:2" ht="12.75">
      <c r="A195" s="3"/>
      <c r="B195" s="3"/>
    </row>
    <row r="196" spans="1:2" ht="12.75">
      <c r="A196" s="3"/>
      <c r="B196" s="3"/>
    </row>
    <row r="197" spans="1:2" ht="12.75">
      <c r="A197" s="3"/>
      <c r="B197" s="3"/>
    </row>
    <row r="198" spans="1:2" ht="12.75">
      <c r="A198" s="3"/>
      <c r="B198" s="3"/>
    </row>
    <row r="199" spans="1:2" ht="12.75">
      <c r="A199" s="3"/>
      <c r="B199" s="3"/>
    </row>
    <row r="200" spans="1:2" ht="12.75">
      <c r="A200" s="3"/>
      <c r="B200" s="3"/>
    </row>
    <row r="201" spans="1:2" ht="12.75">
      <c r="A201" s="3"/>
      <c r="B201" s="3"/>
    </row>
    <row r="202" spans="1:2" ht="12.75">
      <c r="A202" s="3"/>
      <c r="B202" s="3"/>
    </row>
    <row r="203" spans="1:2" ht="12.75">
      <c r="A203" s="3"/>
      <c r="B203" s="3"/>
    </row>
    <row r="204" spans="1:2" ht="12.75">
      <c r="A204" s="3"/>
      <c r="B204" s="3"/>
    </row>
    <row r="205" spans="1:2" ht="12.75">
      <c r="A205" s="3"/>
      <c r="B205" s="3"/>
    </row>
    <row r="206" spans="1:2" ht="12.75">
      <c r="A206" s="3"/>
      <c r="B206" s="3"/>
    </row>
    <row r="207" spans="1:2" ht="12.75">
      <c r="A207" s="3"/>
      <c r="B207" s="3"/>
    </row>
    <row r="208" spans="1:2" ht="12.75">
      <c r="A208" s="3"/>
      <c r="B208" s="3"/>
    </row>
    <row r="209" spans="1:2" ht="12.75">
      <c r="A209" s="3"/>
      <c r="B209" s="3"/>
    </row>
    <row r="210" spans="1:2" ht="12.75">
      <c r="A210" s="3"/>
      <c r="B210" s="3"/>
    </row>
    <row r="211" spans="1:2" ht="12.75">
      <c r="A211" s="3"/>
      <c r="B211" s="3"/>
    </row>
    <row r="212" spans="1:2" ht="12.75">
      <c r="A212" s="3"/>
      <c r="B212" s="3"/>
    </row>
    <row r="213" spans="1:2" ht="12.75">
      <c r="A213" s="3"/>
      <c r="B213" s="3"/>
    </row>
    <row r="214" spans="1:2" ht="12.75">
      <c r="A214" s="3"/>
      <c r="B214" s="3"/>
    </row>
    <row r="215" spans="1:2" ht="12.75">
      <c r="A215" s="3"/>
      <c r="B215" s="3"/>
    </row>
    <row r="216" spans="1:2" ht="12.75">
      <c r="A216" s="3"/>
      <c r="B216" s="3"/>
    </row>
    <row r="217" spans="1:2" ht="12.75">
      <c r="A217" s="3"/>
      <c r="B217" s="3"/>
    </row>
    <row r="218" spans="1:2" ht="12.75">
      <c r="A218" s="3"/>
      <c r="B218" s="3"/>
    </row>
    <row r="219" spans="1:2" ht="12.75">
      <c r="A219" s="3"/>
      <c r="B219" s="3"/>
    </row>
    <row r="220" spans="1:2" ht="12.75">
      <c r="A220" s="3"/>
      <c r="B220" s="3"/>
    </row>
    <row r="221" spans="1:2" ht="12.75">
      <c r="A221" s="3"/>
      <c r="B221" s="3"/>
    </row>
    <row r="222" spans="1:2" ht="12.75">
      <c r="A222" s="3"/>
      <c r="B222" s="3"/>
    </row>
    <row r="223" spans="1:2" ht="12.75">
      <c r="A223" s="3"/>
      <c r="B223" s="3"/>
    </row>
    <row r="224" spans="1:2" ht="12.75">
      <c r="A224" s="3"/>
      <c r="B224" s="3"/>
    </row>
    <row r="225" spans="1:2" ht="12.75">
      <c r="A225" s="3"/>
      <c r="B225" s="3"/>
    </row>
    <row r="226" spans="1:2" ht="12.75">
      <c r="A226" s="3"/>
      <c r="B226" s="3"/>
    </row>
    <row r="227" spans="1:2" ht="12.75">
      <c r="A227" s="3"/>
      <c r="B227" s="3"/>
    </row>
    <row r="228" spans="1:2" ht="12.75">
      <c r="A228" s="3"/>
      <c r="B228" s="3"/>
    </row>
    <row r="229" spans="1:2" ht="12.75">
      <c r="A229" s="3"/>
      <c r="B229" s="3"/>
    </row>
    <row r="230" spans="1:2" ht="12.75">
      <c r="A230" s="3"/>
      <c r="B230" s="3"/>
    </row>
    <row r="231" spans="1:2" ht="12.75">
      <c r="A231" s="3"/>
      <c r="B231" s="3"/>
    </row>
    <row r="232" spans="1:2" ht="12.75">
      <c r="A232" s="3"/>
      <c r="B232" s="3"/>
    </row>
    <row r="233" spans="1:2" ht="12.75">
      <c r="A233" s="3"/>
      <c r="B233" s="3"/>
    </row>
    <row r="234" spans="1:2" ht="12.75">
      <c r="A234" s="3"/>
      <c r="B234" s="3"/>
    </row>
    <row r="235" spans="1:2" ht="12.75">
      <c r="A235" s="3"/>
      <c r="B235" s="3"/>
    </row>
    <row r="236" spans="1:2" ht="12.75">
      <c r="A236" s="3"/>
      <c r="B236" s="3"/>
    </row>
    <row r="237" spans="1:2" ht="12.75">
      <c r="A237" s="3"/>
      <c r="B237" s="3"/>
    </row>
    <row r="238" spans="1:2" ht="12.75">
      <c r="A238" s="3"/>
      <c r="B238" s="3"/>
    </row>
    <row r="239" spans="1:2" ht="12.75">
      <c r="A239" s="3"/>
      <c r="B239" s="3"/>
    </row>
    <row r="240" spans="1:2" ht="12.75">
      <c r="A240" s="3"/>
      <c r="B240" s="3"/>
    </row>
    <row r="241" spans="1:2" ht="12.75">
      <c r="A241" s="3"/>
      <c r="B241" s="3"/>
    </row>
    <row r="242" spans="1:2" ht="12.75">
      <c r="A242" s="3"/>
      <c r="B242" s="3"/>
    </row>
    <row r="243" spans="1:2" ht="12.75">
      <c r="A243" s="3"/>
      <c r="B243" s="3"/>
    </row>
    <row r="244" spans="1:2" ht="12.75">
      <c r="A244" s="3"/>
      <c r="B244" s="3"/>
    </row>
    <row r="245" spans="1:2" ht="12.75">
      <c r="A245" s="3"/>
      <c r="B245" s="3"/>
    </row>
    <row r="246" spans="1:2" ht="12.75">
      <c r="A246" s="3"/>
      <c r="B246" s="3"/>
    </row>
    <row r="247" spans="1:2" ht="12.75">
      <c r="A247" s="3"/>
      <c r="B247" s="3"/>
    </row>
    <row r="248" spans="1:2" ht="12.75">
      <c r="A248" s="3"/>
      <c r="B248" s="3"/>
    </row>
    <row r="249" spans="1:2" ht="12.75">
      <c r="A249" s="3"/>
      <c r="B249" s="3"/>
    </row>
    <row r="250" spans="1:2" ht="12.75">
      <c r="A250" s="3"/>
      <c r="B250" s="3"/>
    </row>
    <row r="251" spans="1:2" ht="12.75">
      <c r="A251" s="3"/>
      <c r="B251" s="3"/>
    </row>
    <row r="252" spans="1:2" ht="12.75">
      <c r="A252" s="3"/>
      <c r="B252" s="3"/>
    </row>
    <row r="253" spans="1:2" ht="12.75">
      <c r="A253" s="3"/>
      <c r="B253" s="3"/>
    </row>
    <row r="254" spans="1:2" ht="12.75">
      <c r="A254" s="3"/>
      <c r="B254" s="3"/>
    </row>
    <row r="255" spans="1:2" ht="12.75">
      <c r="A255" s="3"/>
      <c r="B255" s="3"/>
    </row>
    <row r="256" spans="1:2" ht="12.75">
      <c r="A256" s="3"/>
      <c r="B256" s="3"/>
    </row>
    <row r="257" spans="1:2" ht="12.75">
      <c r="A257" s="3"/>
      <c r="B257" s="3"/>
    </row>
    <row r="258" spans="1:2" ht="12.75">
      <c r="A258" s="3"/>
      <c r="B258" s="3"/>
    </row>
    <row r="259" spans="1:2" ht="12.75">
      <c r="A259" s="3"/>
      <c r="B259" s="3"/>
    </row>
    <row r="260" spans="1:2" ht="12.75">
      <c r="A260" s="3"/>
      <c r="B260" s="3"/>
    </row>
    <row r="261" spans="1:2" ht="12.75">
      <c r="A261" s="3"/>
      <c r="B261" s="3"/>
    </row>
    <row r="262" spans="1:2" ht="12.75">
      <c r="A262" s="3"/>
      <c r="B262" s="3"/>
    </row>
    <row r="263" spans="1:2" ht="12.75">
      <c r="A263" s="3"/>
      <c r="B263" s="3"/>
    </row>
    <row r="264" spans="1:2" ht="12.75">
      <c r="A264" s="3"/>
      <c r="B264" s="3"/>
    </row>
    <row r="265" spans="1:2" ht="12.75">
      <c r="A265" s="3"/>
      <c r="B265" s="3"/>
    </row>
    <row r="266" spans="1:2" ht="12.75">
      <c r="A266" s="3"/>
      <c r="B266" s="3"/>
    </row>
    <row r="267" spans="1:2" ht="12.75">
      <c r="A267" s="3"/>
      <c r="B267" s="3"/>
    </row>
    <row r="268" spans="1:2" ht="12.75">
      <c r="A268" s="3"/>
      <c r="B268" s="3"/>
    </row>
    <row r="269" spans="1:2" ht="12.75">
      <c r="A269" s="3"/>
      <c r="B269" s="3"/>
    </row>
    <row r="270" spans="1:2" ht="12.75">
      <c r="A270" s="3"/>
      <c r="B270" s="3"/>
    </row>
    <row r="271" spans="1:2" ht="12.75">
      <c r="A271" s="3"/>
      <c r="B271" s="3"/>
    </row>
    <row r="272" spans="1:2" ht="12.75">
      <c r="A272" s="3"/>
      <c r="B272" s="3"/>
    </row>
    <row r="273" spans="1:2" ht="12.75">
      <c r="A273" s="3"/>
      <c r="B273" s="3"/>
    </row>
    <row r="274" spans="1:2" ht="12.75">
      <c r="A274" s="3"/>
      <c r="B274" s="3"/>
    </row>
    <row r="275" spans="1:2" ht="12.75">
      <c r="A275" s="3"/>
      <c r="B275" s="3"/>
    </row>
    <row r="276" spans="1:2" ht="12.75">
      <c r="A276" s="3"/>
      <c r="B276" s="3"/>
    </row>
    <row r="277" spans="1:2" ht="12.75">
      <c r="A277" s="3"/>
      <c r="B277" s="3"/>
    </row>
    <row r="278" spans="1:2" ht="12.75">
      <c r="A278" s="3"/>
      <c r="B278" s="3"/>
    </row>
    <row r="279" spans="1:2" ht="12.75">
      <c r="A279" s="3"/>
      <c r="B279" s="3"/>
    </row>
    <row r="280" spans="1:2" ht="12.75">
      <c r="A280" s="3"/>
      <c r="B280" s="3"/>
    </row>
    <row r="281" spans="1:2" ht="12.75">
      <c r="A281" s="3"/>
      <c r="B281" s="3"/>
    </row>
    <row r="282" spans="1:2" ht="12.75">
      <c r="A282" s="3"/>
      <c r="B282" s="3"/>
    </row>
    <row r="283" spans="1:2" ht="12.75">
      <c r="A283" s="3"/>
      <c r="B283" s="3"/>
    </row>
    <row r="284" spans="1:2" ht="12.75">
      <c r="A284" s="3"/>
      <c r="B284" s="3"/>
    </row>
    <row r="285" spans="1:2" ht="12.75">
      <c r="A285" s="3"/>
      <c r="B285" s="3"/>
    </row>
    <row r="286" spans="1:2" ht="12.75">
      <c r="A286" s="3"/>
      <c r="B286" s="3"/>
    </row>
    <row r="287" spans="1:2" ht="12.75">
      <c r="A287" s="3"/>
      <c r="B287" s="3"/>
    </row>
    <row r="288" spans="1:2" ht="12.75">
      <c r="A288" s="3"/>
      <c r="B288" s="3"/>
    </row>
    <row r="289" spans="1:2" ht="12.75">
      <c r="A289" s="3"/>
      <c r="B289" s="3"/>
    </row>
    <row r="290" spans="1:2" ht="12.75">
      <c r="A290" s="3"/>
      <c r="B290" s="3"/>
    </row>
    <row r="291" spans="1:2" ht="12.75">
      <c r="A291" s="3"/>
      <c r="B291" s="3"/>
    </row>
    <row r="292" spans="1:2" ht="12.75">
      <c r="A292" s="3"/>
      <c r="B292" s="3"/>
    </row>
    <row r="293" spans="1:2" ht="12.75">
      <c r="A293" s="3"/>
      <c r="B293" s="3"/>
    </row>
    <row r="294" spans="1:2" ht="12.75">
      <c r="A294" s="3"/>
      <c r="B294" s="3"/>
    </row>
    <row r="295" spans="1:2" ht="12.75">
      <c r="A295" s="3"/>
      <c r="B295" s="3"/>
    </row>
    <row r="296" spans="1:2" ht="12.75">
      <c r="A296" s="3"/>
      <c r="B296" s="3"/>
    </row>
    <row r="297" spans="1:2" ht="12.75">
      <c r="A297" s="3"/>
      <c r="B297" s="3"/>
    </row>
    <row r="298" spans="1:2" ht="12.75">
      <c r="A298" s="3"/>
      <c r="B298" s="3"/>
    </row>
    <row r="299" spans="1:2" ht="12.75">
      <c r="A299" s="3"/>
      <c r="B299" s="3"/>
    </row>
    <row r="300" spans="1:2" ht="12.75">
      <c r="A300" s="3"/>
      <c r="B300" s="3"/>
    </row>
    <row r="301" spans="1:2" ht="12.75">
      <c r="A301" s="3"/>
      <c r="B301" s="3"/>
    </row>
    <row r="302" spans="1:2" ht="12.75">
      <c r="A302" s="3"/>
      <c r="B302" s="3"/>
    </row>
    <row r="303" spans="1:2" ht="12.75">
      <c r="A303" s="3"/>
      <c r="B303" s="3"/>
    </row>
    <row r="304" spans="1:2" ht="12.75">
      <c r="A304" s="3"/>
      <c r="B304" s="3"/>
    </row>
    <row r="305" spans="1:2" ht="12.75">
      <c r="A305" s="3"/>
      <c r="B305" s="3"/>
    </row>
    <row r="306" spans="1:2" ht="12.75">
      <c r="A306" s="3"/>
      <c r="B306" s="3"/>
    </row>
    <row r="307" spans="1:2" ht="12.75">
      <c r="A307" s="3"/>
      <c r="B307" s="3"/>
    </row>
    <row r="308" spans="1:2" ht="12.75">
      <c r="A308" s="3"/>
      <c r="B308" s="3"/>
    </row>
    <row r="309" spans="1:2" ht="12.75">
      <c r="A309" s="3"/>
      <c r="B309" s="3"/>
    </row>
    <row r="310" spans="1:2" ht="12.75">
      <c r="A310" s="3"/>
      <c r="B310" s="3"/>
    </row>
    <row r="311" spans="1:2" ht="12.75">
      <c r="A311" s="3"/>
      <c r="B311" s="3"/>
    </row>
    <row r="312" spans="1:2" ht="12.75">
      <c r="A312" s="3"/>
      <c r="B312" s="3"/>
    </row>
    <row r="313" spans="1:2" ht="12.75">
      <c r="A313" s="3"/>
      <c r="B313" s="3"/>
    </row>
    <row r="314" spans="1:2" ht="12.75">
      <c r="A314" s="3"/>
      <c r="B314" s="3"/>
    </row>
    <row r="315" spans="1:2" ht="12.75">
      <c r="A315" s="3"/>
      <c r="B315" s="3"/>
    </row>
    <row r="316" spans="1:2" ht="12.75">
      <c r="A316" s="3"/>
      <c r="B316" s="3"/>
    </row>
    <row r="317" spans="1:2" ht="12.75">
      <c r="A317" s="3"/>
      <c r="B317" s="3"/>
    </row>
    <row r="318" spans="1:2" ht="12.75">
      <c r="A318" s="3"/>
      <c r="B318" s="3"/>
    </row>
    <row r="319" spans="1:2" ht="12.75">
      <c r="A319" s="3"/>
      <c r="B319" s="3"/>
    </row>
    <row r="320" spans="1:2" ht="12.75">
      <c r="A320" s="3"/>
      <c r="B320" s="3"/>
    </row>
    <row r="321" spans="1:2" ht="12.75">
      <c r="A321" s="3"/>
      <c r="B321" s="3"/>
    </row>
    <row r="322" spans="1:2" ht="12.75">
      <c r="A322" s="3"/>
      <c r="B322" s="3"/>
    </row>
    <row r="323" spans="1:2" ht="12.75">
      <c r="A323" s="3"/>
      <c r="B323" s="3"/>
    </row>
    <row r="324" spans="1:2" ht="12.75">
      <c r="A324" s="3"/>
      <c r="B324" s="3"/>
    </row>
    <row r="325" spans="1:2" ht="12.75">
      <c r="A325" s="3"/>
      <c r="B325" s="3"/>
    </row>
    <row r="326" spans="1:2" ht="12.75">
      <c r="A326" s="3"/>
      <c r="B326" s="3"/>
    </row>
    <row r="327" spans="1:2" ht="12.75">
      <c r="A327" s="3"/>
      <c r="B327" s="3"/>
    </row>
    <row r="328" spans="1:2" ht="12.75">
      <c r="A328" s="3"/>
      <c r="B328" s="3"/>
    </row>
    <row r="329" spans="1:2" ht="12.75">
      <c r="A329" s="3"/>
      <c r="B329" s="3"/>
    </row>
    <row r="330" spans="1:2" ht="12.75">
      <c r="A330" s="3"/>
      <c r="B330" s="3"/>
    </row>
    <row r="331" spans="1:2" ht="12.75">
      <c r="A331" s="3"/>
      <c r="B331" s="3"/>
    </row>
    <row r="332" spans="1:2" ht="12.75">
      <c r="A332" s="3"/>
      <c r="B332" s="3"/>
    </row>
    <row r="333" spans="1:2" ht="12.75">
      <c r="A333" s="3"/>
      <c r="B333" s="3"/>
    </row>
    <row r="334" spans="1:2" ht="12.75">
      <c r="A334" s="3"/>
      <c r="B334" s="3"/>
    </row>
    <row r="335" spans="1:2" ht="12.75">
      <c r="A335" s="3"/>
      <c r="B335" s="3"/>
    </row>
    <row r="336" spans="1:2" ht="12.75">
      <c r="A336" s="3"/>
      <c r="B336" s="3"/>
    </row>
    <row r="337" spans="1:2" ht="12.75">
      <c r="A337" s="3"/>
      <c r="B337" s="3"/>
    </row>
    <row r="338" spans="1:2" ht="12.75">
      <c r="A338" s="3"/>
      <c r="B338" s="3"/>
    </row>
    <row r="339" spans="1:2" ht="12.75">
      <c r="A339" s="3"/>
      <c r="B339" s="3"/>
    </row>
    <row r="340" spans="1:2" ht="12.75">
      <c r="A340" s="3"/>
      <c r="B340" s="3"/>
    </row>
    <row r="341" spans="1:2" ht="12.75">
      <c r="A341" s="3"/>
      <c r="B341" s="3"/>
    </row>
    <row r="342" spans="1:2" ht="12.75">
      <c r="A342" s="3"/>
      <c r="B342" s="3"/>
    </row>
    <row r="343" spans="1:2" ht="12.75">
      <c r="A343" s="3"/>
      <c r="B343" s="3"/>
    </row>
    <row r="344" spans="1:2" ht="12.75">
      <c r="A344" s="3"/>
      <c r="B344" s="3"/>
    </row>
    <row r="345" spans="1:2" ht="12.75">
      <c r="A345" s="3"/>
      <c r="B345" s="3"/>
    </row>
    <row r="346" spans="1:2" ht="12.75">
      <c r="A346" s="3"/>
      <c r="B346" s="3"/>
    </row>
    <row r="347" spans="1:2" ht="12.75">
      <c r="A347" s="3"/>
      <c r="B347" s="3"/>
    </row>
    <row r="348" spans="1:2" ht="12.75">
      <c r="A348" s="3"/>
      <c r="B348" s="3"/>
    </row>
    <row r="349" spans="1:2" ht="12.75">
      <c r="A349" s="3"/>
      <c r="B349" s="3"/>
    </row>
    <row r="350" spans="1:2" ht="12.75">
      <c r="A350" s="3"/>
      <c r="B350" s="3"/>
    </row>
    <row r="351" spans="1:2" ht="12.75">
      <c r="A351" s="3"/>
      <c r="B351" s="3"/>
    </row>
    <row r="352" spans="1:2" ht="12.75">
      <c r="A352" s="3"/>
      <c r="B352" s="3"/>
    </row>
    <row r="353" spans="1:2" ht="12.75">
      <c r="A353" s="3"/>
      <c r="B353" s="3"/>
    </row>
    <row r="354" spans="1:2" ht="12.75">
      <c r="A354" s="3"/>
      <c r="B354" s="3"/>
    </row>
    <row r="355" spans="1:2" ht="12.75">
      <c r="A355" s="3"/>
      <c r="B355" s="3"/>
    </row>
    <row r="356" spans="1:2" ht="12.75">
      <c r="A356" s="3"/>
      <c r="B356" s="3"/>
    </row>
    <row r="357" spans="1:2" ht="12.75">
      <c r="A357" s="3"/>
      <c r="B357" s="3"/>
    </row>
    <row r="358" spans="1:2" ht="12.75">
      <c r="A358" s="3"/>
      <c r="B358" s="3"/>
    </row>
    <row r="359" spans="1:2" ht="12.75">
      <c r="A359" s="3"/>
      <c r="B359" s="3"/>
    </row>
    <row r="360" spans="1:2" ht="12.75">
      <c r="A360" s="3"/>
      <c r="B360" s="3"/>
    </row>
    <row r="361" spans="1:2" ht="12.75">
      <c r="A361" s="3"/>
      <c r="B361" s="3"/>
    </row>
    <row r="362" spans="1:2" ht="12.75">
      <c r="A362" s="3"/>
      <c r="B362" s="3"/>
    </row>
    <row r="363" spans="1:2" ht="12.75">
      <c r="A363" s="3"/>
      <c r="B363" s="3"/>
    </row>
    <row r="364" spans="1:2" ht="12.75">
      <c r="A364" s="3"/>
      <c r="B364" s="3"/>
    </row>
    <row r="365" spans="1:2" ht="12.75">
      <c r="A365" s="3"/>
      <c r="B365" s="3"/>
    </row>
    <row r="366" spans="1:2" ht="12.75">
      <c r="A366" s="3"/>
      <c r="B366" s="3"/>
    </row>
    <row r="367" spans="1:2" ht="12.75">
      <c r="A367" s="3"/>
      <c r="B367" s="3"/>
    </row>
    <row r="368" spans="1:2" ht="12.75">
      <c r="A368" s="3"/>
      <c r="B368" s="3"/>
    </row>
    <row r="369" spans="1:2" ht="12.75">
      <c r="A369" s="3"/>
      <c r="B369" s="3"/>
    </row>
    <row r="370" spans="1:2" ht="12.75">
      <c r="A370" s="3"/>
      <c r="B370" s="3"/>
    </row>
    <row r="371" spans="1:2" ht="12.75">
      <c r="A371" s="3"/>
      <c r="B371" s="3"/>
    </row>
    <row r="372" spans="1:2" ht="12.75">
      <c r="A372" s="3"/>
      <c r="B372" s="3"/>
    </row>
    <row r="373" spans="1:2" ht="12.75">
      <c r="A373" s="3"/>
      <c r="B373" s="3"/>
    </row>
    <row r="374" spans="1:2" ht="12.75">
      <c r="A374" s="3"/>
      <c r="B374" s="3"/>
    </row>
    <row r="375" spans="1:2" ht="12.75">
      <c r="A375" s="3"/>
      <c r="B375" s="3"/>
    </row>
    <row r="376" spans="1:2" ht="12.75">
      <c r="A376" s="3"/>
      <c r="B376" s="3"/>
    </row>
    <row r="377" spans="1:2" ht="12.75">
      <c r="A377" s="3"/>
      <c r="B377" s="3"/>
    </row>
    <row r="378" spans="1:2" ht="12.75">
      <c r="A378" s="3"/>
      <c r="B378" s="3"/>
    </row>
    <row r="379" spans="1:2" ht="12.75">
      <c r="A379" s="3"/>
      <c r="B379" s="3"/>
    </row>
    <row r="380" spans="1:2" ht="12.75">
      <c r="A380" s="3"/>
      <c r="B380" s="3"/>
    </row>
    <row r="381" spans="1:2" ht="12.75">
      <c r="A381" s="3"/>
      <c r="B381" s="3"/>
    </row>
    <row r="382" spans="1:2" ht="12.75">
      <c r="A382" s="3"/>
      <c r="B382" s="3"/>
    </row>
    <row r="383" spans="1:2" ht="12.75">
      <c r="A383" s="3"/>
      <c r="B383" s="3"/>
    </row>
    <row r="384" spans="1:2" ht="12.75">
      <c r="A384" s="3"/>
      <c r="B384" s="3"/>
    </row>
    <row r="385" spans="1:2" ht="12.75">
      <c r="A385" s="3"/>
      <c r="B385" s="3"/>
    </row>
    <row r="386" spans="1:2" ht="12.75">
      <c r="A386" s="3"/>
      <c r="B386" s="3"/>
    </row>
    <row r="387" spans="1:2" ht="12.75">
      <c r="A387" s="3"/>
      <c r="B387" s="3"/>
    </row>
    <row r="388" spans="1:2" ht="12.75">
      <c r="A388" s="3"/>
      <c r="B388" s="3"/>
    </row>
    <row r="389" spans="1:2" ht="12.75">
      <c r="A389" s="3"/>
      <c r="B389" s="3"/>
    </row>
    <row r="390" spans="1:2" ht="12.75">
      <c r="A390" s="3"/>
      <c r="B390" s="3"/>
    </row>
    <row r="391" spans="1:2" ht="12.75">
      <c r="A391" s="3"/>
      <c r="B391" s="3"/>
    </row>
    <row r="392" spans="1:2" ht="12.75">
      <c r="A392" s="3"/>
      <c r="B392" s="3"/>
    </row>
    <row r="393" spans="1:2" ht="12.75">
      <c r="A393" s="3"/>
      <c r="B393" s="3"/>
    </row>
    <row r="394" spans="1:2" ht="12.75">
      <c r="A394" s="3"/>
      <c r="B394" s="3"/>
    </row>
    <row r="395" spans="1:2" ht="12.75">
      <c r="A395" s="3"/>
      <c r="B395" s="3"/>
    </row>
    <row r="396" spans="1:2" ht="12.75">
      <c r="A396" s="3"/>
      <c r="B396" s="3"/>
    </row>
    <row r="397" spans="1:2" ht="12.75">
      <c r="A397" s="3"/>
      <c r="B397" s="3"/>
    </row>
    <row r="398" spans="1:2" ht="12.75">
      <c r="A398" s="3"/>
      <c r="B398" s="3"/>
    </row>
    <row r="399" spans="1:2" ht="12.75">
      <c r="A399" s="3"/>
      <c r="B399" s="3"/>
    </row>
    <row r="400" spans="1:2" ht="12.75">
      <c r="A400" s="3"/>
      <c r="B400" s="3"/>
    </row>
    <row r="401" spans="1:2" ht="12.75">
      <c r="A401" s="3"/>
      <c r="B401" s="3"/>
    </row>
    <row r="402" spans="1:2" ht="12.75">
      <c r="A402" s="3"/>
      <c r="B402" s="3"/>
    </row>
    <row r="403" spans="1:2" ht="12.75">
      <c r="A403" s="3"/>
      <c r="B403" s="3"/>
    </row>
    <row r="404" spans="1:2" ht="12.75">
      <c r="A404" s="3"/>
      <c r="B404" s="3"/>
    </row>
    <row r="405" spans="1:2" ht="12.75">
      <c r="A405" s="3"/>
      <c r="B405" s="3"/>
    </row>
    <row r="406" spans="1:2" ht="12.75">
      <c r="A406" s="3"/>
      <c r="B406" s="3"/>
    </row>
    <row r="407" spans="1:2" ht="12.75">
      <c r="A407" s="3"/>
      <c r="B407" s="3"/>
    </row>
    <row r="408" spans="1:2" ht="12.75">
      <c r="A408" s="3"/>
      <c r="B408" s="3"/>
    </row>
    <row r="409" spans="1:2" ht="12.75">
      <c r="A409" s="3"/>
      <c r="B409" s="3"/>
    </row>
    <row r="410" spans="1:2" ht="12.75">
      <c r="A410" s="3"/>
      <c r="B410" s="3"/>
    </row>
    <row r="411" spans="1:2" ht="12.75">
      <c r="A411" s="3"/>
      <c r="B411" s="3"/>
    </row>
    <row r="412" spans="1:2" ht="12.75">
      <c r="A412" s="3"/>
      <c r="B412" s="3"/>
    </row>
    <row r="413" spans="1:2" ht="12.75">
      <c r="A413" s="3"/>
      <c r="B413" s="3"/>
    </row>
    <row r="414" spans="1:2" ht="12.75">
      <c r="A414" s="3"/>
      <c r="B414" s="3"/>
    </row>
    <row r="415" spans="1:2" ht="12.75">
      <c r="A415" s="3"/>
      <c r="B415" s="3"/>
    </row>
    <row r="416" spans="1:2" ht="12.75">
      <c r="A416" s="3"/>
      <c r="B416" s="3"/>
    </row>
    <row r="417" spans="1:2" ht="12.75">
      <c r="A417" s="3"/>
      <c r="B417" s="3"/>
    </row>
    <row r="418" spans="1:2" ht="12.75">
      <c r="A418" s="3"/>
      <c r="B418" s="3"/>
    </row>
    <row r="419" spans="1:2" ht="12.75">
      <c r="A419" s="3"/>
      <c r="B419" s="3"/>
    </row>
    <row r="420" spans="1:2" ht="12.75">
      <c r="A420" s="3"/>
      <c r="B420" s="3"/>
    </row>
    <row r="421" spans="1:2" ht="12.75">
      <c r="A421" s="3"/>
      <c r="B421" s="3"/>
    </row>
    <row r="422" spans="1:2" ht="12.75">
      <c r="A422" s="3"/>
      <c r="B422" s="3"/>
    </row>
    <row r="423" spans="1:2" ht="12.75">
      <c r="A423" s="3"/>
      <c r="B423" s="3"/>
    </row>
    <row r="424" spans="1:2" ht="12.75">
      <c r="A424" s="3"/>
      <c r="B424" s="3"/>
    </row>
    <row r="425" spans="1:2" ht="12.75">
      <c r="A425" s="3"/>
      <c r="B425" s="3"/>
    </row>
    <row r="426" spans="1:2" ht="12.75">
      <c r="A426" s="3"/>
      <c r="B426" s="3"/>
    </row>
    <row r="427" spans="1:2" ht="12.75">
      <c r="A427" s="3"/>
      <c r="B427" s="3"/>
    </row>
    <row r="428" spans="1:2" ht="12.75">
      <c r="A428" s="3"/>
      <c r="B428" s="3"/>
    </row>
    <row r="429" spans="1:2" ht="12.75">
      <c r="A429" s="3"/>
      <c r="B429" s="3"/>
    </row>
    <row r="430" spans="1:2" ht="12.75">
      <c r="A430" s="3"/>
      <c r="B430" s="3"/>
    </row>
    <row r="431" spans="1:2" ht="12.75">
      <c r="A431" s="3"/>
      <c r="B431" s="3"/>
    </row>
    <row r="432" spans="1:2" ht="12.75">
      <c r="A432" s="3"/>
      <c r="B432" s="3"/>
    </row>
    <row r="433" spans="1:2" ht="12.75">
      <c r="A433" s="3"/>
      <c r="B433" s="3"/>
    </row>
    <row r="434" spans="1:2" ht="12.75">
      <c r="A434" s="3"/>
      <c r="B434" s="3"/>
    </row>
    <row r="435" spans="1:2" ht="12.75">
      <c r="A435" s="3"/>
      <c r="B435" s="3"/>
    </row>
    <row r="436" spans="1:2" ht="12.75">
      <c r="A436" s="3"/>
      <c r="B436" s="3"/>
    </row>
    <row r="437" spans="1:2" ht="12.75">
      <c r="A437" s="3"/>
      <c r="B437" s="3"/>
    </row>
    <row r="438" spans="1:2" ht="12.75">
      <c r="A438" s="3"/>
      <c r="B438" s="3"/>
    </row>
    <row r="439" spans="1:2" ht="12.75">
      <c r="A439" s="3"/>
      <c r="B439" s="3"/>
    </row>
    <row r="440" spans="1:2" ht="12.75">
      <c r="A440" s="3"/>
      <c r="B440" s="3"/>
    </row>
    <row r="441" spans="1:2" ht="12.75">
      <c r="A441" s="3"/>
      <c r="B441" s="3"/>
    </row>
    <row r="442" spans="1:2" ht="12.75">
      <c r="A442" s="3"/>
      <c r="B442" s="3"/>
    </row>
    <row r="443" spans="1:2" ht="12.75">
      <c r="A443" s="3"/>
      <c r="B443" s="3"/>
    </row>
    <row r="444" spans="1:2" ht="12.75">
      <c r="A444" s="3"/>
      <c r="B444" s="3"/>
    </row>
    <row r="445" spans="1:2" ht="12.75">
      <c r="A445" s="3"/>
      <c r="B445" s="3"/>
    </row>
    <row r="446" spans="1:2" ht="12.75">
      <c r="A446" s="3"/>
      <c r="B446" s="3"/>
    </row>
    <row r="447" spans="1:2" ht="12.75">
      <c r="A447" s="3"/>
      <c r="B447" s="3"/>
    </row>
    <row r="448" spans="1:2" ht="12.75">
      <c r="A448" s="3"/>
      <c r="B448" s="3"/>
    </row>
    <row r="449" spans="1:2" ht="12.75">
      <c r="A449" s="3"/>
      <c r="B449" s="3"/>
    </row>
    <row r="450" spans="1:2" ht="12.75">
      <c r="A450" s="3"/>
      <c r="B450" s="3"/>
    </row>
    <row r="451" spans="1:2" ht="12.75">
      <c r="A451" s="3"/>
      <c r="B451" s="3"/>
    </row>
    <row r="452" spans="1:2" ht="12.75">
      <c r="A452" s="3"/>
      <c r="B452" s="3"/>
    </row>
    <row r="453" spans="1:2" ht="12.75">
      <c r="A453" s="3"/>
      <c r="B453" s="3"/>
    </row>
    <row r="454" spans="1:2" ht="12.75">
      <c r="A454" s="3"/>
      <c r="B454" s="3"/>
    </row>
    <row r="455" spans="1:2" ht="12.75">
      <c r="A455" s="3"/>
      <c r="B455" s="3"/>
    </row>
    <row r="456" spans="1:2" ht="12.75">
      <c r="A456" s="3"/>
      <c r="B456" s="3"/>
    </row>
    <row r="457" spans="1:2" ht="12.75">
      <c r="A457" s="3"/>
      <c r="B457" s="3"/>
    </row>
    <row r="458" spans="1:2" ht="12.75">
      <c r="A458" s="3"/>
      <c r="B458" s="3"/>
    </row>
    <row r="459" spans="1:2" ht="12.75">
      <c r="A459" s="3"/>
      <c r="B459" s="3"/>
    </row>
    <row r="460" spans="1:2" ht="12.75">
      <c r="A460" s="3"/>
      <c r="B460" s="3"/>
    </row>
    <row r="461" spans="1:2" ht="12.75">
      <c r="A461" s="3"/>
      <c r="B461" s="3"/>
    </row>
    <row r="462" spans="1:2" ht="12.75">
      <c r="A462" s="3"/>
      <c r="B462" s="3"/>
    </row>
    <row r="463" spans="1:2" ht="12.75">
      <c r="A463" s="3"/>
      <c r="B463" s="3"/>
    </row>
    <row r="464" spans="1:2" ht="12.75">
      <c r="A464" s="3"/>
      <c r="B464" s="3"/>
    </row>
    <row r="465" spans="1:2" ht="12.75">
      <c r="A465" s="3"/>
      <c r="B465" s="3"/>
    </row>
    <row r="466" spans="1:2" ht="12.75">
      <c r="A466" s="3"/>
      <c r="B466" s="3"/>
    </row>
    <row r="467" spans="1:2" ht="12.75">
      <c r="A467" s="3"/>
      <c r="B467" s="3"/>
    </row>
    <row r="468" spans="1:2" ht="12.75">
      <c r="A468" s="3"/>
      <c r="B468" s="3"/>
    </row>
    <row r="469" spans="1:2" ht="12.75">
      <c r="A469" s="3"/>
      <c r="B469" s="3"/>
    </row>
    <row r="470" spans="1:2" ht="12.75">
      <c r="A470" s="3"/>
      <c r="B470" s="3"/>
    </row>
    <row r="471" spans="1:2" ht="12.75">
      <c r="A471" s="3"/>
      <c r="B471" s="3"/>
    </row>
    <row r="472" spans="1:2" ht="12.75">
      <c r="A472" s="3"/>
      <c r="B472" s="3"/>
    </row>
    <row r="473" spans="1:2" ht="12.75">
      <c r="A473" s="3"/>
      <c r="B473" s="3"/>
    </row>
    <row r="474" spans="1:2" ht="12.75">
      <c r="A474" s="3"/>
      <c r="B474" s="3"/>
    </row>
    <row r="475" spans="1:2" ht="12.75">
      <c r="A475" s="3"/>
      <c r="B475" s="3"/>
    </row>
    <row r="476" spans="1:2" ht="12.75">
      <c r="A476" s="3"/>
      <c r="B476" s="3"/>
    </row>
    <row r="477" spans="1:2" ht="12.75">
      <c r="A477" s="3"/>
      <c r="B477" s="3"/>
    </row>
    <row r="478" spans="1:2" ht="12.75">
      <c r="A478" s="3"/>
      <c r="B478" s="3"/>
    </row>
    <row r="479" spans="1:2" ht="12.75">
      <c r="A479" s="3"/>
      <c r="B479" s="3"/>
    </row>
    <row r="480" spans="1:2" ht="12.75">
      <c r="A480" s="3"/>
      <c r="B480" s="3"/>
    </row>
    <row r="481" spans="1:2" ht="12.75">
      <c r="A481" s="3"/>
      <c r="B481" s="3"/>
    </row>
    <row r="482" spans="1:2" ht="12.75">
      <c r="A482" s="3"/>
      <c r="B482" s="3"/>
    </row>
    <row r="483" spans="1:2" ht="12.75">
      <c r="A483" s="3"/>
      <c r="B483" s="3"/>
    </row>
    <row r="484" spans="1:2" ht="12.75">
      <c r="A484" s="3"/>
      <c r="B484" s="3"/>
    </row>
    <row r="485" spans="1:2" ht="12.75">
      <c r="A485" s="3"/>
      <c r="B485" s="3"/>
    </row>
    <row r="486" spans="1:2" ht="12.75">
      <c r="A486" s="3"/>
      <c r="B486" s="3"/>
    </row>
    <row r="487" spans="1:2" ht="12.75">
      <c r="A487" s="3"/>
      <c r="B487" s="3"/>
    </row>
    <row r="488" spans="1:2" ht="12.75">
      <c r="A488" s="3"/>
      <c r="B488" s="3"/>
    </row>
    <row r="489" spans="1:2" ht="12.75">
      <c r="A489" s="3"/>
      <c r="B489" s="3"/>
    </row>
    <row r="490" spans="1:2" ht="12.75">
      <c r="A490" s="3"/>
      <c r="B490" s="3"/>
    </row>
    <row r="491" spans="1:2" ht="12.75">
      <c r="A491" s="3"/>
      <c r="B491" s="3"/>
    </row>
    <row r="492" spans="1:2" ht="12.75">
      <c r="A492" s="3"/>
      <c r="B492" s="3"/>
    </row>
    <row r="493" spans="1:2" ht="12.75">
      <c r="A493" s="3"/>
      <c r="B493" s="3"/>
    </row>
    <row r="494" spans="1:2" ht="12.75">
      <c r="A494" s="3"/>
      <c r="B494" s="3"/>
    </row>
    <row r="495" spans="1:2" ht="12.75">
      <c r="A495" s="3"/>
      <c r="B495" s="3"/>
    </row>
    <row r="496" spans="1:2" ht="12.75">
      <c r="A496" s="3"/>
      <c r="B496" s="3"/>
    </row>
    <row r="497" spans="1:2" ht="12.75">
      <c r="A497" s="3"/>
      <c r="B497" s="3"/>
    </row>
    <row r="498" spans="1:2" ht="12.75">
      <c r="A498" s="3"/>
      <c r="B498" s="3"/>
    </row>
    <row r="499" spans="1:2" ht="12.75">
      <c r="A499" s="3"/>
      <c r="B499" s="3"/>
    </row>
    <row r="500" spans="1:2" ht="12.75">
      <c r="A500" s="3"/>
      <c r="B500" s="3"/>
    </row>
    <row r="501" spans="1:2" ht="12.75">
      <c r="A501" s="3"/>
      <c r="B501" s="3"/>
    </row>
    <row r="502" spans="1:2" ht="12.75">
      <c r="A502" s="3"/>
      <c r="B502" s="3"/>
    </row>
    <row r="503" spans="1:2" ht="12.75">
      <c r="A503" s="3"/>
      <c r="B503" s="3"/>
    </row>
    <row r="504" spans="1:2" ht="12.75">
      <c r="A504" s="3"/>
      <c r="B504" s="3"/>
    </row>
    <row r="505" spans="1:2" ht="12.75">
      <c r="A505" s="3"/>
      <c r="B505" s="3"/>
    </row>
    <row r="506" spans="1:2" ht="12.75">
      <c r="A506" s="3"/>
      <c r="B506" s="3"/>
    </row>
    <row r="507" spans="1:2" ht="12.75">
      <c r="A507" s="3"/>
      <c r="B507" s="3"/>
    </row>
    <row r="508" spans="1:2" ht="12.75">
      <c r="A508" s="3"/>
      <c r="B508" s="3"/>
    </row>
    <row r="509" spans="1:2" ht="12.75">
      <c r="A509" s="3"/>
      <c r="B509" s="3"/>
    </row>
    <row r="510" spans="1:2" ht="12.75">
      <c r="A510" s="3"/>
      <c r="B510" s="3"/>
    </row>
    <row r="511" spans="1:2" ht="12.75">
      <c r="A511" s="3"/>
      <c r="B511" s="3"/>
    </row>
    <row r="512" spans="1:2" ht="12.75">
      <c r="A512" s="3"/>
      <c r="B512" s="3"/>
    </row>
    <row r="513" spans="1:2" ht="12.75">
      <c r="A513" s="3"/>
      <c r="B513" s="3"/>
    </row>
    <row r="514" spans="1:2" ht="12.75">
      <c r="A514" s="3"/>
      <c r="B514" s="3"/>
    </row>
    <row r="515" spans="1:2" ht="12.75">
      <c r="A515" s="3"/>
      <c r="B515" s="3"/>
    </row>
    <row r="516" spans="1:2" ht="12.75">
      <c r="A516" s="3"/>
      <c r="B516" s="3"/>
    </row>
    <row r="517" spans="1:2" ht="12.75">
      <c r="A517" s="3"/>
      <c r="B517" s="3"/>
    </row>
    <row r="518" spans="1:2" ht="12.75">
      <c r="A518" s="3"/>
      <c r="B518" s="3"/>
    </row>
    <row r="519" spans="1:2" ht="12.75">
      <c r="A519" s="3"/>
      <c r="B519" s="3"/>
    </row>
    <row r="520" spans="1:2" ht="12.75">
      <c r="A520" s="3"/>
      <c r="B520" s="3"/>
    </row>
    <row r="521" spans="1:2" ht="12.75">
      <c r="A521" s="3"/>
      <c r="B521" s="3"/>
    </row>
    <row r="522" spans="1:2" ht="12.75">
      <c r="A522" s="3"/>
      <c r="B522" s="3"/>
    </row>
    <row r="523" spans="1:2" ht="12.75">
      <c r="A523" s="3"/>
      <c r="B523" s="3"/>
    </row>
    <row r="524" spans="1:2" ht="12.75">
      <c r="A524" s="3"/>
      <c r="B524" s="3"/>
    </row>
    <row r="525" spans="1:2" ht="12.75">
      <c r="A525" s="3"/>
      <c r="B525" s="3"/>
    </row>
    <row r="526" spans="1:2" ht="12.75">
      <c r="A526" s="3"/>
      <c r="B526" s="3"/>
    </row>
    <row r="527" spans="1:2" ht="12.75">
      <c r="A527" s="3"/>
      <c r="B527" s="3"/>
    </row>
    <row r="528" spans="1:2" ht="12.75">
      <c r="A528" s="3"/>
      <c r="B528" s="3"/>
    </row>
    <row r="529" spans="1:2" ht="12.75">
      <c r="A529" s="3"/>
      <c r="B529" s="3"/>
    </row>
    <row r="530" spans="1:2" ht="12.75">
      <c r="A530" s="3"/>
      <c r="B530" s="3"/>
    </row>
    <row r="531" spans="1:2" ht="12.75">
      <c r="A531" s="3"/>
      <c r="B531" s="3"/>
    </row>
    <row r="532" spans="1:2" ht="12.75">
      <c r="A532" s="3"/>
      <c r="B532" s="3"/>
    </row>
    <row r="533" spans="1:2" ht="12.75">
      <c r="A533" s="3"/>
      <c r="B533" s="3"/>
    </row>
    <row r="534" spans="1:2" ht="12.75">
      <c r="A534" s="3"/>
      <c r="B534" s="3"/>
    </row>
    <row r="535" spans="1:2" ht="12.75">
      <c r="A535" s="3"/>
      <c r="B535" s="3"/>
    </row>
    <row r="536" spans="1:2" ht="12.75">
      <c r="A536" s="3"/>
      <c r="B536" s="3"/>
    </row>
    <row r="537" spans="1:2" ht="12.75">
      <c r="A537" s="3"/>
      <c r="B537" s="3"/>
    </row>
    <row r="538" spans="1:2" ht="12.75">
      <c r="A538" s="3"/>
      <c r="B538" s="3"/>
    </row>
    <row r="539" spans="1:2" ht="12.75">
      <c r="A539" s="3"/>
      <c r="B539" s="3"/>
    </row>
    <row r="540" spans="1:2" ht="12.75">
      <c r="A540" s="3"/>
      <c r="B540" s="3"/>
    </row>
    <row r="541" spans="1:2" ht="12.75">
      <c r="A541" s="3"/>
      <c r="B541" s="3"/>
    </row>
    <row r="542" spans="1:2" ht="12.75">
      <c r="A542" s="3"/>
      <c r="B542" s="3"/>
    </row>
    <row r="543" spans="1:2" ht="12.75">
      <c r="A543" s="3"/>
      <c r="B543" s="3"/>
    </row>
    <row r="544" spans="1:2" ht="12.75">
      <c r="A544" s="3"/>
      <c r="B544" s="3"/>
    </row>
    <row r="545" spans="1:2" ht="12.75">
      <c r="A545" s="3"/>
      <c r="B545" s="3"/>
    </row>
    <row r="546" spans="1:2" ht="12.75">
      <c r="A546" s="3"/>
      <c r="B546" s="3"/>
    </row>
    <row r="547" spans="1:2" ht="12.75">
      <c r="A547" s="3"/>
      <c r="B547" s="3"/>
    </row>
    <row r="548" spans="1:2" ht="12.75">
      <c r="A548" s="3"/>
      <c r="B548" s="3"/>
    </row>
    <row r="549" spans="1:2" ht="12.75">
      <c r="A549" s="3"/>
      <c r="B549" s="3"/>
    </row>
    <row r="550" spans="1:2" ht="12.75">
      <c r="A550" s="3"/>
      <c r="B550" s="3"/>
    </row>
    <row r="551" spans="1:2" ht="12.75">
      <c r="A551" s="3"/>
      <c r="B551" s="3"/>
    </row>
    <row r="552" spans="1:2" ht="12.75">
      <c r="A552" s="3"/>
      <c r="B552" s="3"/>
    </row>
    <row r="553" spans="1:2" ht="12.75">
      <c r="A553" s="3"/>
      <c r="B553" s="3"/>
    </row>
    <row r="554" spans="1:2" ht="12.75">
      <c r="A554" s="3"/>
      <c r="B554" s="3"/>
    </row>
    <row r="555" spans="1:2" ht="12.75">
      <c r="A555" s="3"/>
      <c r="B555" s="3"/>
    </row>
    <row r="556" spans="1:2" ht="12.75">
      <c r="A556" s="3"/>
      <c r="B556" s="3"/>
    </row>
    <row r="557" spans="1:2" ht="12.75">
      <c r="A557" s="3"/>
      <c r="B557" s="3"/>
    </row>
    <row r="558" spans="1:2" ht="12.75">
      <c r="A558" s="3"/>
      <c r="B558" s="3"/>
    </row>
    <row r="559" spans="1:2" ht="12.75">
      <c r="A559" s="3"/>
      <c r="B559" s="3"/>
    </row>
    <row r="560" spans="1:2" ht="12.75">
      <c r="A560" s="3"/>
      <c r="B560" s="3"/>
    </row>
    <row r="561" spans="1:2" ht="12.75">
      <c r="A561" s="3"/>
      <c r="B561" s="3"/>
    </row>
    <row r="562" spans="1:2" ht="12.75">
      <c r="A562" s="3"/>
      <c r="B562" s="3"/>
    </row>
    <row r="563" spans="1:2" ht="12.75">
      <c r="A563" s="3"/>
      <c r="B563" s="3"/>
    </row>
    <row r="564" spans="1:2" ht="12.75">
      <c r="A564" s="3"/>
      <c r="B564" s="3"/>
    </row>
    <row r="565" spans="1:2" ht="12.75">
      <c r="A565" s="3"/>
      <c r="B565" s="3"/>
    </row>
    <row r="566" spans="1:2" ht="12.75">
      <c r="A566" s="3"/>
      <c r="B566" s="3"/>
    </row>
    <row r="567" spans="1:2" ht="12.75">
      <c r="A567" s="3"/>
      <c r="B567" s="3"/>
    </row>
    <row r="568" spans="1:2" ht="12.75">
      <c r="A568" s="3"/>
      <c r="B568" s="3"/>
    </row>
    <row r="569" spans="1:2" ht="12.75">
      <c r="A569" s="3"/>
      <c r="B569" s="3"/>
    </row>
    <row r="570" spans="1:2" ht="12.75">
      <c r="A570" s="3"/>
      <c r="B570" s="3"/>
    </row>
    <row r="571" spans="1:2" ht="12.75">
      <c r="A571" s="3"/>
      <c r="B571" s="3"/>
    </row>
    <row r="572" spans="1:2" ht="12.75">
      <c r="A572" s="3"/>
      <c r="B572" s="3"/>
    </row>
    <row r="573" spans="1:2" ht="12.75">
      <c r="A573" s="3"/>
      <c r="B573" s="3"/>
    </row>
    <row r="574" spans="1:2" ht="12.75">
      <c r="A574" s="3"/>
      <c r="B574" s="3"/>
    </row>
    <row r="575" spans="1:2" ht="12.75">
      <c r="A575" s="3"/>
      <c r="B575" s="3"/>
    </row>
    <row r="576" spans="1:2" ht="12.75">
      <c r="A576" s="3"/>
      <c r="B576" s="3"/>
    </row>
    <row r="577" spans="1:2" ht="12.75">
      <c r="A577" s="3"/>
      <c r="B577" s="3"/>
    </row>
    <row r="578" spans="1:2" ht="12.75">
      <c r="A578" s="3"/>
      <c r="B578" s="3"/>
    </row>
    <row r="579" spans="1:2" ht="12.75">
      <c r="A579" s="3"/>
      <c r="B579" s="3"/>
    </row>
    <row r="580" spans="1:2" ht="12.75">
      <c r="A580" s="3"/>
      <c r="B580" s="3"/>
    </row>
    <row r="581" spans="1:2" ht="12.75">
      <c r="A581" s="3"/>
      <c r="B581" s="3"/>
    </row>
    <row r="582" spans="1:2" ht="12.75">
      <c r="A582" s="3"/>
      <c r="B582" s="3"/>
    </row>
    <row r="583" spans="1:2" ht="12.75">
      <c r="A583" s="3"/>
      <c r="B583" s="3"/>
    </row>
    <row r="584" spans="1:2" ht="12.75">
      <c r="A584" s="3"/>
      <c r="B584" s="3"/>
    </row>
    <row r="585" spans="1:2" ht="12.75">
      <c r="A585" s="3"/>
      <c r="B585" s="3"/>
    </row>
    <row r="586" spans="1:2" ht="12.75">
      <c r="A586" s="3"/>
      <c r="B586" s="3"/>
    </row>
    <row r="587" spans="1:2" ht="12.75">
      <c r="A587" s="3"/>
      <c r="B587" s="3"/>
    </row>
    <row r="588" spans="1:2" ht="12.75">
      <c r="A588" s="3"/>
      <c r="B588" s="3"/>
    </row>
    <row r="589" spans="1:2" ht="12.75">
      <c r="A589" s="3"/>
      <c r="B589" s="3"/>
    </row>
    <row r="590" spans="1:2" ht="12.75">
      <c r="A590" s="3"/>
      <c r="B590" s="3"/>
    </row>
    <row r="591" spans="1:2" ht="12.75">
      <c r="A591" s="3"/>
      <c r="B591" s="3"/>
    </row>
    <row r="592" spans="1:2" ht="12.75">
      <c r="A592" s="3"/>
      <c r="B592" s="3"/>
    </row>
    <row r="593" spans="1:2" ht="12.75">
      <c r="A593" s="3"/>
      <c r="B593" s="3"/>
    </row>
    <row r="594" spans="1:2" ht="12.75">
      <c r="A594" s="3"/>
      <c r="B594" s="3"/>
    </row>
    <row r="595" spans="1:2" ht="12.75">
      <c r="A595" s="3"/>
      <c r="B595" s="3"/>
    </row>
    <row r="596" spans="1:2" ht="12.75">
      <c r="A596" s="3"/>
      <c r="B596" s="3"/>
    </row>
    <row r="597" spans="1:2" ht="12.75">
      <c r="A597" s="3"/>
      <c r="B597" s="3"/>
    </row>
    <row r="598" spans="1:2" ht="12.75">
      <c r="A598" s="3"/>
      <c r="B598" s="3"/>
    </row>
    <row r="599" spans="1:2" ht="12.75">
      <c r="A599" s="3"/>
      <c r="B599" s="3"/>
    </row>
    <row r="600" spans="1:2" ht="12.75">
      <c r="A600" s="3"/>
      <c r="B600" s="3"/>
    </row>
    <row r="601" spans="1:2" ht="12.75">
      <c r="A601" s="3"/>
      <c r="B601" s="3"/>
    </row>
    <row r="602" spans="1:2" ht="12.75">
      <c r="A602" s="3"/>
      <c r="B602" s="3"/>
    </row>
    <row r="603" spans="1:2" ht="12.75">
      <c r="A603" s="3"/>
      <c r="B603" s="3"/>
    </row>
    <row r="604" spans="1:2" ht="12.75">
      <c r="A604" s="3"/>
      <c r="B604" s="3"/>
    </row>
    <row r="605" spans="1:2" ht="12.75">
      <c r="A605" s="3"/>
      <c r="B605" s="3"/>
    </row>
    <row r="606" spans="1:2" ht="12.75">
      <c r="A606" s="3"/>
      <c r="B606" s="3"/>
    </row>
    <row r="607" spans="1:2" ht="12.75">
      <c r="A607" s="3"/>
      <c r="B607" s="3"/>
    </row>
    <row r="608" spans="1:2" ht="12.75">
      <c r="A608" s="3"/>
      <c r="B608" s="3"/>
    </row>
    <row r="609" spans="1:2" ht="12.75">
      <c r="A609" s="3"/>
      <c r="B609" s="3"/>
    </row>
    <row r="610" spans="1:2" ht="12.75">
      <c r="A610" s="3"/>
      <c r="B610" s="3"/>
    </row>
    <row r="611" spans="1:2" ht="12.75">
      <c r="A611" s="3"/>
      <c r="B611" s="3"/>
    </row>
    <row r="612" spans="1:2" ht="12.75">
      <c r="A612" s="3"/>
      <c r="B612" s="3"/>
    </row>
    <row r="613" spans="1:2" ht="12.75">
      <c r="A613" s="3"/>
      <c r="B613" s="3"/>
    </row>
    <row r="614" spans="1:2" ht="12.75">
      <c r="A614" s="3"/>
      <c r="B614" s="3"/>
    </row>
    <row r="615" spans="1:2" ht="12.75">
      <c r="A615" s="3"/>
      <c r="B615" s="3"/>
    </row>
    <row r="616" spans="1:2" ht="12.75">
      <c r="A616" s="3"/>
      <c r="B616" s="3"/>
    </row>
    <row r="617" spans="1:2" ht="12.75">
      <c r="A617" s="3"/>
      <c r="B617" s="3"/>
    </row>
    <row r="618" spans="1:2" ht="12.75">
      <c r="A618" s="3"/>
      <c r="B618" s="3"/>
    </row>
    <row r="619" spans="1:2" ht="12.75">
      <c r="A619" s="3"/>
      <c r="B619" s="3"/>
    </row>
    <row r="620" spans="1:2" ht="12.75">
      <c r="A620" s="3"/>
      <c r="B620" s="3"/>
    </row>
    <row r="621" spans="1:2" ht="12.75">
      <c r="A621" s="3"/>
      <c r="B621" s="3"/>
    </row>
    <row r="622" spans="1:2" ht="12.75">
      <c r="A622" s="3"/>
      <c r="B622" s="3"/>
    </row>
    <row r="623" spans="1:2" ht="12.75">
      <c r="A623" s="3"/>
      <c r="B623" s="3"/>
    </row>
    <row r="624" spans="1:2" ht="12.75">
      <c r="A624" s="3"/>
      <c r="B624" s="3"/>
    </row>
    <row r="625" spans="1:2" ht="12.75">
      <c r="A625" s="3"/>
      <c r="B625" s="3"/>
    </row>
    <row r="626" spans="1:2" ht="12.75">
      <c r="A626" s="3"/>
      <c r="B626" s="3"/>
    </row>
    <row r="627" spans="1:2" ht="12.75">
      <c r="A627" s="3"/>
      <c r="B627" s="3"/>
    </row>
    <row r="628" spans="1:2" ht="12.75">
      <c r="A628" s="3"/>
      <c r="B628" s="3"/>
    </row>
    <row r="629" spans="1:2" ht="12.75">
      <c r="A629" s="3"/>
      <c r="B629" s="3"/>
    </row>
    <row r="630" spans="1:2" ht="12.75">
      <c r="A630" s="3"/>
      <c r="B630" s="3"/>
    </row>
    <row r="631" spans="1:2" ht="12.75">
      <c r="A631" s="3"/>
      <c r="B631" s="3"/>
    </row>
    <row r="632" spans="1:2" ht="12.75">
      <c r="A632" s="3"/>
      <c r="B632" s="3"/>
    </row>
    <row r="633" spans="1:2" ht="12.75">
      <c r="A633" s="3"/>
      <c r="B633" s="3"/>
    </row>
    <row r="634" spans="1:2" ht="12.75">
      <c r="A634" s="3"/>
      <c r="B634" s="3"/>
    </row>
    <row r="635" spans="1:2" ht="12.75">
      <c r="A635" s="3"/>
      <c r="B635" s="3"/>
    </row>
    <row r="636" spans="1:2" ht="12.75">
      <c r="A636" s="3"/>
      <c r="B636" s="3"/>
    </row>
    <row r="637" spans="1:2" ht="12.75">
      <c r="A637" s="3"/>
      <c r="B637" s="3"/>
    </row>
    <row r="638" spans="1:2" ht="12.75">
      <c r="A638" s="3"/>
      <c r="B638" s="3"/>
    </row>
    <row r="639" spans="1:2" ht="12.75">
      <c r="A639" s="3"/>
      <c r="B639" s="3"/>
    </row>
    <row r="640" spans="1:2" ht="12.75">
      <c r="A640" s="3"/>
      <c r="B640" s="3"/>
    </row>
    <row r="641" spans="1:2" ht="12.75">
      <c r="A641" s="3"/>
      <c r="B641" s="3"/>
    </row>
    <row r="642" spans="1:2" ht="12.75">
      <c r="A642" s="3"/>
      <c r="B642" s="3"/>
    </row>
    <row r="643" spans="1:2" ht="12.75">
      <c r="A643" s="3"/>
      <c r="B643" s="3"/>
    </row>
    <row r="644" spans="1:2" ht="12.75">
      <c r="A644" s="3"/>
      <c r="B644" s="3"/>
    </row>
    <row r="645" spans="1:2" ht="12.75">
      <c r="A645" s="3"/>
      <c r="B645" s="3"/>
    </row>
    <row r="646" spans="1:2" ht="12.75">
      <c r="A646" s="3"/>
      <c r="B646" s="3"/>
    </row>
    <row r="647" spans="1:2" ht="12.75">
      <c r="A647" s="3"/>
      <c r="B647" s="3"/>
    </row>
    <row r="648" spans="1:2" ht="12.75">
      <c r="A648" s="3"/>
      <c r="B648" s="3"/>
    </row>
    <row r="649" spans="1:2" ht="12.75">
      <c r="A649" s="3"/>
      <c r="B649" s="3"/>
    </row>
    <row r="650" spans="1:2" ht="12.75">
      <c r="A650" s="3"/>
      <c r="B650" s="3"/>
    </row>
    <row r="651" spans="1:2" ht="12.75">
      <c r="A651" s="3"/>
      <c r="B651" s="3"/>
    </row>
    <row r="652" spans="1:2" ht="12.75">
      <c r="A652" s="3"/>
      <c r="B652" s="3"/>
    </row>
    <row r="653" spans="1:2" ht="12.75">
      <c r="A653" s="3"/>
      <c r="B653" s="3"/>
    </row>
    <row r="654" spans="1:2" ht="12.75">
      <c r="A654" s="3"/>
      <c r="B654" s="3"/>
    </row>
    <row r="655" spans="1:2" ht="12.75">
      <c r="A655" s="3"/>
      <c r="B655" s="3"/>
    </row>
    <row r="656" spans="1:2" ht="12.75">
      <c r="A656" s="3"/>
      <c r="B656" s="3"/>
    </row>
    <row r="657" spans="1:2" ht="12.75">
      <c r="A657" s="3"/>
      <c r="B657" s="3"/>
    </row>
    <row r="658" spans="1:2" ht="12.75">
      <c r="A658" s="3"/>
      <c r="B658" s="3"/>
    </row>
    <row r="659" spans="1:2" ht="12.75">
      <c r="A659" s="3"/>
      <c r="B659" s="3"/>
    </row>
    <row r="660" spans="1:2" ht="12.75">
      <c r="A660" s="3"/>
      <c r="B660" s="3"/>
    </row>
    <row r="661" spans="1:2" ht="12.75">
      <c r="A661" s="3"/>
      <c r="B661" s="3"/>
    </row>
    <row r="662" spans="1:2" ht="12.75">
      <c r="A662" s="3"/>
      <c r="B662" s="3"/>
    </row>
    <row r="663" spans="1:2" ht="12.75">
      <c r="A663" s="3"/>
      <c r="B663" s="3"/>
    </row>
    <row r="664" spans="1:2" ht="12.75">
      <c r="A664" s="3"/>
      <c r="B664" s="3"/>
    </row>
    <row r="665" spans="1:2" ht="12.75">
      <c r="A665" s="3"/>
      <c r="B665" s="3"/>
    </row>
    <row r="666" spans="1:2" ht="12.75">
      <c r="A666" s="3"/>
      <c r="B666" s="3"/>
    </row>
    <row r="667" spans="1:2" ht="12.75">
      <c r="A667" s="3"/>
      <c r="B667" s="3"/>
    </row>
    <row r="668" spans="1:2" ht="12.75">
      <c r="A668" s="3"/>
      <c r="B668" s="3"/>
    </row>
    <row r="669" spans="1:2" ht="12.75">
      <c r="A669" s="3"/>
      <c r="B669" s="3"/>
    </row>
    <row r="670" spans="1:2" ht="12.75">
      <c r="A670" s="3"/>
      <c r="B670" s="3"/>
    </row>
    <row r="671" spans="1:2" ht="12.75">
      <c r="A671" s="3"/>
      <c r="B671" s="3"/>
    </row>
    <row r="672" spans="1:2" ht="12.75">
      <c r="A672" s="3"/>
      <c r="B672" s="3"/>
    </row>
    <row r="673" spans="1:2" ht="12.75">
      <c r="A673" s="3"/>
      <c r="B673" s="3"/>
    </row>
    <row r="674" spans="1:2" ht="12.75">
      <c r="A674" s="3"/>
      <c r="B674" s="3"/>
    </row>
    <row r="675" spans="1:2" ht="12.75">
      <c r="A675" s="3"/>
      <c r="B675" s="3"/>
    </row>
    <row r="676" spans="1:2" ht="12.75">
      <c r="A676" s="3"/>
      <c r="B676" s="3"/>
    </row>
    <row r="677" spans="1:2" ht="12.75">
      <c r="A677" s="3"/>
      <c r="B677" s="3"/>
    </row>
    <row r="678" spans="1:2" ht="12.75">
      <c r="A678" s="3"/>
      <c r="B678" s="3"/>
    </row>
    <row r="679" spans="1:2" ht="12.75">
      <c r="A679" s="3"/>
      <c r="B679" s="3"/>
    </row>
    <row r="680" spans="1:2" ht="12.75">
      <c r="A680" s="3"/>
      <c r="B680" s="3"/>
    </row>
    <row r="681" spans="1:2" ht="12.75">
      <c r="A681" s="3"/>
      <c r="B681" s="3"/>
    </row>
    <row r="682" spans="1:2" ht="12.75">
      <c r="A682" s="3"/>
      <c r="B682" s="3"/>
    </row>
    <row r="683" spans="1:2" ht="12.75">
      <c r="A683" s="3"/>
      <c r="B683" s="3"/>
    </row>
    <row r="684" spans="1:2" ht="12.75">
      <c r="A684" s="3"/>
      <c r="B684" s="3"/>
    </row>
    <row r="685" spans="1:2" ht="12.75">
      <c r="A685" s="3"/>
      <c r="B685" s="3"/>
    </row>
    <row r="686" spans="1:2" ht="12.75">
      <c r="A686" s="3"/>
      <c r="B686" s="3"/>
    </row>
    <row r="687" spans="1:2" ht="12.75">
      <c r="A687" s="3"/>
      <c r="B687" s="3"/>
    </row>
    <row r="688" spans="1:2" ht="12.75">
      <c r="A688" s="3"/>
      <c r="B688" s="3"/>
    </row>
    <row r="689" spans="1:2" ht="12.75">
      <c r="A689" s="3"/>
      <c r="B689" s="3"/>
    </row>
    <row r="690" spans="1:2" ht="12.75">
      <c r="A690" s="3"/>
      <c r="B690" s="3"/>
    </row>
    <row r="691" spans="1:2" ht="12.75">
      <c r="A691" s="3"/>
      <c r="B691" s="3"/>
    </row>
    <row r="692" spans="1:2" ht="12.75">
      <c r="A692" s="3"/>
      <c r="B692" s="3"/>
    </row>
    <row r="693" spans="1:2" ht="12.75">
      <c r="A693" s="3"/>
      <c r="B693" s="3"/>
    </row>
    <row r="694" spans="1:2" ht="12.75">
      <c r="A694" s="3"/>
      <c r="B694" s="3"/>
    </row>
    <row r="695" spans="1:2" ht="12.75">
      <c r="A695" s="3"/>
      <c r="B695" s="3"/>
    </row>
    <row r="696" spans="1:2" ht="12.75">
      <c r="A696" s="3"/>
      <c r="B696" s="3"/>
    </row>
    <row r="697" spans="1:2" ht="12.75">
      <c r="A697" s="3"/>
      <c r="B697" s="3"/>
    </row>
    <row r="698" spans="1:2" ht="12.75">
      <c r="A698" s="3"/>
      <c r="B698" s="3"/>
    </row>
    <row r="699" spans="1:2" ht="12.75">
      <c r="A699" s="3"/>
      <c r="B699" s="3"/>
    </row>
    <row r="700" spans="1:2" ht="12.75">
      <c r="A700" s="3"/>
      <c r="B700" s="3"/>
    </row>
    <row r="701" spans="1:2" ht="12.75">
      <c r="A701" s="3"/>
      <c r="B701" s="3"/>
    </row>
    <row r="702" spans="1:2" ht="12.75">
      <c r="A702" s="3"/>
      <c r="B702" s="3"/>
    </row>
    <row r="703" spans="1:2" ht="12.75">
      <c r="A703" s="3"/>
      <c r="B703" s="3"/>
    </row>
    <row r="704" spans="1:2" ht="12.75">
      <c r="A704" s="3"/>
      <c r="B704" s="3"/>
    </row>
    <row r="705" spans="1:2" ht="12.75">
      <c r="A705" s="3"/>
      <c r="B705" s="3"/>
    </row>
    <row r="706" spans="1:2" ht="12.75">
      <c r="A706" s="3"/>
      <c r="B706" s="3"/>
    </row>
    <row r="707" spans="1:2" ht="12.75">
      <c r="A707" s="3"/>
      <c r="B707" s="3"/>
    </row>
    <row r="708" spans="1:2" ht="12.75">
      <c r="A708" s="3"/>
      <c r="B708" s="3"/>
    </row>
    <row r="709" spans="1:2" ht="12.75">
      <c r="A709" s="3"/>
      <c r="B709" s="3"/>
    </row>
    <row r="710" spans="1:2" ht="12.75">
      <c r="A710" s="3"/>
      <c r="B710" s="3"/>
    </row>
    <row r="711" spans="1:2" ht="12.75">
      <c r="A711" s="3"/>
      <c r="B711" s="3"/>
    </row>
    <row r="712" spans="1:2" ht="12.75">
      <c r="A712" s="3"/>
      <c r="B712" s="3"/>
    </row>
    <row r="713" spans="1:2" ht="12.75">
      <c r="A713" s="3"/>
      <c r="B713" s="3"/>
    </row>
    <row r="714" spans="1:2" ht="12.75">
      <c r="A714" s="3"/>
      <c r="B714" s="3"/>
    </row>
    <row r="715" spans="1:2" ht="12.75">
      <c r="A715" s="3"/>
      <c r="B715" s="3"/>
    </row>
    <row r="716" spans="1:2" ht="12.75">
      <c r="A716" s="3"/>
      <c r="B716" s="3"/>
    </row>
    <row r="717" spans="1:2" ht="12.75">
      <c r="A717" s="3"/>
      <c r="B717" s="3"/>
    </row>
    <row r="718" spans="1:2" ht="12.75">
      <c r="A718" s="3"/>
      <c r="B718" s="3"/>
    </row>
    <row r="719" spans="1:2" ht="12.75">
      <c r="A719" s="3"/>
      <c r="B719" s="3"/>
    </row>
    <row r="720" spans="1:2" ht="12.75">
      <c r="A720" s="3"/>
      <c r="B720" s="3"/>
    </row>
    <row r="721" spans="1:2" ht="12.75">
      <c r="A721" s="3"/>
      <c r="B721" s="3"/>
    </row>
    <row r="722" spans="1:2" ht="12.75">
      <c r="A722" s="3"/>
      <c r="B722" s="3"/>
    </row>
    <row r="723" spans="1:2" ht="12.75">
      <c r="A723" s="3"/>
      <c r="B723" s="3"/>
    </row>
    <row r="724" spans="1:2" ht="12.75">
      <c r="A724" s="3"/>
      <c r="B724" s="3"/>
    </row>
    <row r="725" spans="1:2" ht="12.75">
      <c r="A725" s="3"/>
      <c r="B725" s="3"/>
    </row>
    <row r="726" spans="1:2" ht="12.75">
      <c r="A726" s="3"/>
      <c r="B726" s="3"/>
    </row>
    <row r="727" spans="1:2" ht="12.75">
      <c r="A727" s="3"/>
      <c r="B727" s="3"/>
    </row>
    <row r="728" spans="1:2" ht="12.75">
      <c r="A728" s="3"/>
      <c r="B728" s="3"/>
    </row>
    <row r="729" spans="1:2" ht="12.75">
      <c r="A729" s="3"/>
      <c r="B729" s="3"/>
    </row>
    <row r="730" spans="1:2" ht="12.75">
      <c r="A730" s="3"/>
      <c r="B730" s="3"/>
    </row>
    <row r="731" spans="1:2" ht="12.75">
      <c r="A731" s="3"/>
      <c r="B731" s="3"/>
    </row>
    <row r="732" spans="1:2" ht="12.75">
      <c r="A732" s="3"/>
      <c r="B732" s="3"/>
    </row>
    <row r="733" spans="1:2" ht="12.75">
      <c r="A733" s="3"/>
      <c r="B733" s="3"/>
    </row>
    <row r="734" spans="1:2" ht="12.75">
      <c r="A734" s="3"/>
      <c r="B734" s="3"/>
    </row>
    <row r="735" spans="1:2" ht="12.75">
      <c r="A735" s="3"/>
      <c r="B735" s="3"/>
    </row>
    <row r="736" spans="1:2" ht="12.75">
      <c r="A736" s="3"/>
      <c r="B736" s="3"/>
    </row>
    <row r="737" spans="1:2" ht="12.75">
      <c r="A737" s="3"/>
      <c r="B737" s="3"/>
    </row>
    <row r="738" spans="1:2" ht="12.75">
      <c r="A738" s="3"/>
      <c r="B738" s="3"/>
    </row>
    <row r="739" spans="1:2" ht="12.75">
      <c r="A739" s="3"/>
      <c r="B739" s="3"/>
    </row>
    <row r="740" spans="1:2" ht="12.75">
      <c r="A740" s="3"/>
      <c r="B740" s="3"/>
    </row>
    <row r="741" spans="1:2" ht="12.75">
      <c r="A741" s="3"/>
      <c r="B741" s="3"/>
    </row>
    <row r="742" spans="1:2" ht="12.75">
      <c r="A742" s="3"/>
      <c r="B742" s="3"/>
    </row>
    <row r="743" spans="1:2" ht="12.75">
      <c r="A743" s="3"/>
      <c r="B743" s="3"/>
    </row>
    <row r="744" spans="1:2" ht="12.75">
      <c r="A744" s="3"/>
      <c r="B744" s="3"/>
    </row>
    <row r="745" spans="1:2" ht="12.75">
      <c r="A745" s="3"/>
      <c r="B745" s="3"/>
    </row>
    <row r="746" spans="1:2" ht="12.75">
      <c r="A746" s="3"/>
      <c r="B746" s="3"/>
    </row>
    <row r="747" spans="1:2" ht="12.75">
      <c r="A747" s="3"/>
      <c r="B747" s="3"/>
    </row>
    <row r="748" spans="1:2" ht="12.75">
      <c r="A748" s="3"/>
      <c r="B748" s="3"/>
    </row>
    <row r="749" spans="1:2" ht="12.75">
      <c r="A749" s="3"/>
      <c r="B749" s="3"/>
    </row>
    <row r="750" spans="1:2" ht="12.75">
      <c r="A750" s="3"/>
      <c r="B750" s="3"/>
    </row>
    <row r="751" spans="1:2" ht="12.75">
      <c r="A751" s="3"/>
      <c r="B751" s="3"/>
    </row>
    <row r="752" spans="1:2" ht="12.75">
      <c r="A752" s="3"/>
      <c r="B752" s="3"/>
    </row>
    <row r="753" spans="1:2" ht="12.75">
      <c r="A753" s="3"/>
      <c r="B753" s="3"/>
    </row>
    <row r="754" spans="1:2" ht="12.75">
      <c r="A754" s="3"/>
      <c r="B754" s="3"/>
    </row>
    <row r="755" spans="1:2" ht="12.75">
      <c r="A755" s="3"/>
      <c r="B755" s="3"/>
    </row>
    <row r="756" spans="1:2" ht="12.75">
      <c r="A756" s="3"/>
      <c r="B756" s="3"/>
    </row>
    <row r="757" spans="1:2" ht="12.75">
      <c r="A757" s="3"/>
      <c r="B757" s="3"/>
    </row>
    <row r="758" spans="1:2" ht="12.75">
      <c r="A758" s="3"/>
      <c r="B758" s="3"/>
    </row>
    <row r="759" spans="1:2" ht="12.75">
      <c r="A759" s="3"/>
      <c r="B759" s="3"/>
    </row>
    <row r="760" spans="1:2" ht="12.75">
      <c r="A760" s="3"/>
      <c r="B760" s="3"/>
    </row>
    <row r="761" spans="1:2" ht="12.75">
      <c r="A761" s="3"/>
      <c r="B761" s="3"/>
    </row>
    <row r="762" spans="1:2" ht="12.75">
      <c r="A762" s="3"/>
      <c r="B762" s="3"/>
    </row>
    <row r="763" spans="1:2" ht="12.75">
      <c r="A763" s="3"/>
      <c r="B763" s="3"/>
    </row>
    <row r="764" spans="1:2" ht="12.75">
      <c r="A764" s="3"/>
      <c r="B764" s="3"/>
    </row>
    <row r="765" spans="1:2" ht="12.75">
      <c r="A765" s="3"/>
      <c r="B765" s="3"/>
    </row>
    <row r="766" spans="1:2" ht="12.75">
      <c r="A766" s="3"/>
      <c r="B766" s="3"/>
    </row>
    <row r="767" spans="1:2" ht="12.75">
      <c r="A767" s="3"/>
      <c r="B767" s="3"/>
    </row>
    <row r="768" spans="1:2" ht="12.75">
      <c r="A768" s="3"/>
      <c r="B768" s="3"/>
    </row>
    <row r="769" spans="1:2" ht="12.75">
      <c r="A769" s="3"/>
      <c r="B769" s="3"/>
    </row>
    <row r="770" spans="1:2" ht="12.75">
      <c r="A770" s="3"/>
      <c r="B770" s="3"/>
    </row>
    <row r="771" spans="1:2" ht="12.75">
      <c r="A771" s="3"/>
      <c r="B771" s="3"/>
    </row>
    <row r="772" spans="1:2" ht="12.75">
      <c r="A772" s="3"/>
      <c r="B772" s="3"/>
    </row>
    <row r="773" spans="1:2" ht="12.75">
      <c r="A773" s="3"/>
      <c r="B773" s="3"/>
    </row>
    <row r="774" spans="1:2" ht="12.75">
      <c r="A774" s="3"/>
      <c r="B774" s="3"/>
    </row>
    <row r="775" spans="1:2" ht="12.75">
      <c r="A775" s="3"/>
      <c r="B775" s="3"/>
    </row>
    <row r="776" spans="1:2" ht="12.75">
      <c r="A776" s="3"/>
      <c r="B776" s="3"/>
    </row>
    <row r="777" spans="1:2" ht="12.75">
      <c r="A777" s="3"/>
      <c r="B777" s="3"/>
    </row>
    <row r="778" spans="1:2" ht="12.75">
      <c r="A778" s="3"/>
      <c r="B778" s="3"/>
    </row>
    <row r="779" spans="1:2" ht="12.75">
      <c r="A779" s="3"/>
      <c r="B779" s="3"/>
    </row>
    <row r="780" spans="1:2" ht="12.75">
      <c r="A780" s="3"/>
      <c r="B780" s="3"/>
    </row>
    <row r="781" spans="1:2" ht="12.75">
      <c r="A781" s="3"/>
      <c r="B781" s="3"/>
    </row>
    <row r="782" spans="1:2" ht="12.75">
      <c r="A782" s="3"/>
      <c r="B782" s="3"/>
    </row>
    <row r="783" spans="1:2" ht="12.75">
      <c r="A783" s="3"/>
      <c r="B783" s="3"/>
    </row>
    <row r="784" spans="1:2" ht="12.75">
      <c r="A784" s="3"/>
      <c r="B784" s="3"/>
    </row>
    <row r="785" spans="1:2" ht="12.75">
      <c r="A785" s="3"/>
      <c r="B785" s="3"/>
    </row>
    <row r="786" spans="1:2" ht="12.75">
      <c r="A786" s="3"/>
      <c r="B786" s="3"/>
    </row>
    <row r="787" spans="1:2" ht="12.75">
      <c r="A787" s="3"/>
      <c r="B787" s="3"/>
    </row>
    <row r="788" spans="1:2" ht="12.75">
      <c r="A788" s="3"/>
      <c r="B788" s="3"/>
    </row>
    <row r="789" spans="1:2" ht="12.75">
      <c r="A789" s="3"/>
      <c r="B789" s="3"/>
    </row>
    <row r="790" spans="1:2" ht="12.75">
      <c r="A790" s="3"/>
      <c r="B790" s="3"/>
    </row>
    <row r="791" spans="1:2" ht="12.75">
      <c r="A791" s="3"/>
      <c r="B791" s="3"/>
    </row>
    <row r="792" spans="1:2" ht="12.75">
      <c r="A792" s="3"/>
      <c r="B792" s="3"/>
    </row>
    <row r="793" spans="1:2" ht="12.75">
      <c r="A793" s="3"/>
      <c r="B793" s="3"/>
    </row>
    <row r="794" spans="1:2" ht="12.75">
      <c r="A794" s="3"/>
      <c r="B794" s="3"/>
    </row>
    <row r="795" spans="1:2" ht="12.75">
      <c r="A795" s="3"/>
      <c r="B795" s="3"/>
    </row>
    <row r="796" spans="1:2" ht="12.75">
      <c r="A796" s="3"/>
      <c r="B796" s="3"/>
    </row>
    <row r="797" spans="1:2" ht="12.75">
      <c r="A797" s="3"/>
      <c r="B797" s="3"/>
    </row>
    <row r="798" spans="1:2" ht="12.75">
      <c r="A798" s="3"/>
      <c r="B798" s="3"/>
    </row>
    <row r="799" spans="1:2" ht="12.75">
      <c r="A799" s="3"/>
      <c r="B799" s="3"/>
    </row>
    <row r="800" spans="1:2" ht="12.75">
      <c r="A800" s="3"/>
      <c r="B800" s="3"/>
    </row>
    <row r="801" spans="1:2" ht="12.75">
      <c r="A801" s="3"/>
      <c r="B801" s="3"/>
    </row>
    <row r="802" spans="1:2" ht="12.75">
      <c r="A802" s="3"/>
      <c r="B802" s="3"/>
    </row>
    <row r="803" spans="1:2" ht="12.75">
      <c r="A803" s="3"/>
      <c r="B803" s="3"/>
    </row>
    <row r="804" spans="1:2" ht="12.75">
      <c r="A804" s="3"/>
      <c r="B804" s="3"/>
    </row>
    <row r="805" spans="1:2" ht="12.75">
      <c r="A805" s="3"/>
      <c r="B805" s="3"/>
    </row>
    <row r="806" spans="1:2" ht="12.75">
      <c r="A806" s="3"/>
      <c r="B806" s="3"/>
    </row>
    <row r="807" spans="1:2" ht="12.75">
      <c r="A807" s="3"/>
      <c r="B807" s="3"/>
    </row>
    <row r="808" spans="1:2" ht="12.75">
      <c r="A808" s="3"/>
      <c r="B808" s="3"/>
    </row>
    <row r="809" spans="1:2" ht="12.75">
      <c r="A809" s="3"/>
      <c r="B809" s="3"/>
    </row>
    <row r="810" spans="1:2" ht="12.75">
      <c r="A810" s="3"/>
      <c r="B810" s="3"/>
    </row>
    <row r="811" spans="1:2" ht="12.75">
      <c r="A811" s="3"/>
      <c r="B811" s="3"/>
    </row>
    <row r="812" spans="1:2" ht="12.75">
      <c r="A812" s="3"/>
      <c r="B812" s="3"/>
    </row>
    <row r="813" spans="1:2" ht="12.75">
      <c r="A813" s="3"/>
      <c r="B813" s="3"/>
    </row>
    <row r="814" spans="1:2" ht="12.75">
      <c r="A814" s="3"/>
      <c r="B814" s="3"/>
    </row>
    <row r="815" spans="1:2" ht="12.75">
      <c r="A815" s="3"/>
      <c r="B815" s="3"/>
    </row>
    <row r="816" spans="1:2" ht="12.75">
      <c r="A816" s="3"/>
      <c r="B816" s="3"/>
    </row>
    <row r="817" spans="1:2" ht="12.75">
      <c r="A817" s="3"/>
      <c r="B817" s="3"/>
    </row>
    <row r="818" spans="1:2" ht="12.75">
      <c r="A818" s="3"/>
      <c r="B818" s="3"/>
    </row>
    <row r="819" spans="1:2" ht="12.75">
      <c r="A819" s="3"/>
      <c r="B819" s="3"/>
    </row>
    <row r="820" spans="1:2" ht="12.75">
      <c r="A820" s="3"/>
      <c r="B820" s="3"/>
    </row>
    <row r="821" spans="1:2" ht="12.75">
      <c r="A821" s="3"/>
      <c r="B821" s="3"/>
    </row>
    <row r="822" spans="1:2" ht="12.75">
      <c r="A822" s="3"/>
      <c r="B822" s="3"/>
    </row>
    <row r="823" spans="1:2" ht="12.75">
      <c r="A823" s="3"/>
      <c r="B823" s="3"/>
    </row>
    <row r="824" spans="1:2" ht="12.75">
      <c r="A824" s="3"/>
      <c r="B824" s="3"/>
    </row>
    <row r="825" spans="1:2" ht="12.75">
      <c r="A825" s="3"/>
      <c r="B825" s="3"/>
    </row>
    <row r="826" spans="1:2" ht="12.75">
      <c r="A826" s="3"/>
      <c r="B826" s="3"/>
    </row>
    <row r="827" spans="1:2" ht="12.75">
      <c r="A827" s="3"/>
      <c r="B827" s="3"/>
    </row>
    <row r="828" spans="1:2" ht="12.75">
      <c r="A828" s="3"/>
      <c r="B828" s="3"/>
    </row>
    <row r="829" spans="1:2" ht="12.75">
      <c r="A829" s="3"/>
      <c r="B829" s="3"/>
    </row>
    <row r="830" spans="1:2" ht="12.75">
      <c r="A830" s="3"/>
      <c r="B830" s="3"/>
    </row>
    <row r="831" spans="1:2" ht="12.75">
      <c r="A831" s="3"/>
      <c r="B831" s="3"/>
    </row>
    <row r="832" spans="1:2" ht="12.75">
      <c r="A832" s="3"/>
      <c r="B832" s="3"/>
    </row>
    <row r="833" spans="1:2" ht="12.75">
      <c r="A833" s="3"/>
      <c r="B833" s="3"/>
    </row>
    <row r="834" spans="1:2" ht="12.75">
      <c r="A834" s="3"/>
      <c r="B834" s="3"/>
    </row>
    <row r="835" spans="1:2" ht="12.75">
      <c r="A835" s="3"/>
      <c r="B835" s="3"/>
    </row>
    <row r="836" spans="1:2" ht="12.75">
      <c r="A836" s="3"/>
      <c r="B836" s="3"/>
    </row>
    <row r="837" spans="1:2" ht="12.75">
      <c r="A837" s="3"/>
      <c r="B837" s="3"/>
    </row>
    <row r="838" spans="1:2" ht="12.75">
      <c r="A838" s="3"/>
      <c r="B838" s="3"/>
    </row>
    <row r="839" spans="1:2" ht="12.75">
      <c r="A839" s="3"/>
      <c r="B839" s="3"/>
    </row>
    <row r="840" spans="1:2" ht="12.75">
      <c r="A840" s="3"/>
      <c r="B840" s="3"/>
    </row>
    <row r="841" spans="1:2" ht="12.75">
      <c r="A841" s="3"/>
      <c r="B841" s="3"/>
    </row>
    <row r="842" spans="1:2" ht="12.75">
      <c r="A842" s="3"/>
      <c r="B842" s="3"/>
    </row>
    <row r="843" spans="1:2" ht="12.75">
      <c r="A843" s="3"/>
      <c r="B843" s="3"/>
    </row>
    <row r="844" spans="1:2" ht="12.75">
      <c r="A844" s="3"/>
      <c r="B844" s="3"/>
    </row>
    <row r="845" spans="1:2" ht="12.75">
      <c r="A845" s="3"/>
      <c r="B845" s="3"/>
    </row>
    <row r="846" spans="1:2" ht="12.75">
      <c r="A846" s="3"/>
      <c r="B846" s="3"/>
    </row>
    <row r="847" spans="1:2" ht="12.75">
      <c r="A847" s="3"/>
      <c r="B847" s="3"/>
    </row>
    <row r="848" spans="1:2" ht="12.75">
      <c r="A848" s="3"/>
      <c r="B848" s="3"/>
    </row>
    <row r="849" spans="1:2" ht="12.75">
      <c r="A849" s="3"/>
      <c r="B849" s="3"/>
    </row>
    <row r="850" spans="1:2" ht="12.75">
      <c r="A850" s="3"/>
      <c r="B850" s="3"/>
    </row>
    <row r="851" spans="1:2" ht="12.75">
      <c r="A851" s="3"/>
      <c r="B851" s="3"/>
    </row>
    <row r="852" spans="1:2" ht="12.75">
      <c r="A852" s="3"/>
      <c r="B852" s="3"/>
    </row>
    <row r="853" spans="1:2" ht="12.75">
      <c r="A853" s="3"/>
      <c r="B853" s="3"/>
    </row>
    <row r="854" spans="1:2" ht="12.75">
      <c r="A854" s="3"/>
      <c r="B854" s="3"/>
    </row>
    <row r="855" spans="1:2" ht="12.75">
      <c r="A855" s="3"/>
      <c r="B855" s="3"/>
    </row>
    <row r="856" spans="1:2" ht="12.75">
      <c r="A856" s="3"/>
      <c r="B856" s="3"/>
    </row>
    <row r="857" spans="1:2" ht="12.75">
      <c r="A857" s="3"/>
      <c r="B857" s="3"/>
    </row>
    <row r="858" spans="1:2" ht="12.75">
      <c r="A858" s="3"/>
      <c r="B858" s="3"/>
    </row>
    <row r="859" spans="1:2" ht="12.75">
      <c r="A859" s="3"/>
      <c r="B859" s="3"/>
    </row>
    <row r="860" spans="1:2" ht="12.75">
      <c r="A860" s="3"/>
      <c r="B860" s="3"/>
    </row>
    <row r="861" spans="1:2" ht="12.75">
      <c r="A861" s="3"/>
      <c r="B861" s="3"/>
    </row>
    <row r="862" spans="1:2" ht="12.75">
      <c r="A862" s="3"/>
      <c r="B862" s="3"/>
    </row>
    <row r="863" spans="1:2" ht="12.75">
      <c r="A863" s="3"/>
      <c r="B863" s="3"/>
    </row>
    <row r="864" spans="1:2" ht="12.75">
      <c r="A864" s="3"/>
      <c r="B864" s="3"/>
    </row>
    <row r="865" spans="1:2" ht="12.75">
      <c r="A865" s="3"/>
      <c r="B865" s="3"/>
    </row>
    <row r="866" spans="1:2" ht="12.75">
      <c r="A866" s="3"/>
      <c r="B866" s="3"/>
    </row>
    <row r="867" spans="1:2" ht="12.75">
      <c r="A867" s="3"/>
      <c r="B867" s="3"/>
    </row>
    <row r="868" spans="1:2" ht="12.75">
      <c r="A868" s="3"/>
      <c r="B868" s="3"/>
    </row>
    <row r="869" spans="1:2" ht="12.75">
      <c r="A869" s="3"/>
      <c r="B869" s="3"/>
    </row>
    <row r="870" spans="1:2" ht="12.75">
      <c r="A870" s="3"/>
      <c r="B870" s="3"/>
    </row>
    <row r="871" spans="1:2" ht="12.75">
      <c r="A871" s="3"/>
      <c r="B871" s="3"/>
    </row>
    <row r="872" spans="1:2" ht="12.75">
      <c r="A872" s="3"/>
      <c r="B872" s="3"/>
    </row>
    <row r="873" spans="1:2" ht="12.75">
      <c r="A873" s="3"/>
      <c r="B873" s="3"/>
    </row>
    <row r="874" spans="1:2" ht="12.75">
      <c r="A874" s="3"/>
      <c r="B874" s="3"/>
    </row>
    <row r="875" spans="1:2" ht="12.75">
      <c r="A875" s="3"/>
      <c r="B875" s="3"/>
    </row>
    <row r="876" spans="1:2" ht="12.75">
      <c r="A876" s="3"/>
      <c r="B876" s="3"/>
    </row>
    <row r="877" spans="1:2" ht="12.75">
      <c r="A877" s="3"/>
      <c r="B877" s="3"/>
    </row>
    <row r="878" spans="1:2" ht="12.75">
      <c r="A878" s="3"/>
      <c r="B878" s="3"/>
    </row>
    <row r="879" spans="1:2" ht="12.75">
      <c r="A879" s="3"/>
      <c r="B879" s="3"/>
    </row>
    <row r="880" spans="1:2" ht="12.75">
      <c r="A880" s="3"/>
      <c r="B880" s="3"/>
    </row>
    <row r="881" spans="1:2" ht="12.75">
      <c r="A881" s="3"/>
      <c r="B881" s="3"/>
    </row>
    <row r="882" spans="1:2" ht="12.75">
      <c r="A882" s="3"/>
      <c r="B882" s="3"/>
    </row>
    <row r="883" spans="1:2" ht="12.75">
      <c r="A883" s="3"/>
      <c r="B883" s="3"/>
    </row>
    <row r="884" spans="1:2" ht="12.75">
      <c r="A884" s="3"/>
      <c r="B884" s="3"/>
    </row>
    <row r="885" spans="1:2" ht="12.75">
      <c r="A885" s="3"/>
      <c r="B885" s="3"/>
    </row>
    <row r="886" spans="1:2" ht="12.75">
      <c r="A886" s="3"/>
      <c r="B886" s="3"/>
    </row>
    <row r="887" spans="1:2" ht="12.75">
      <c r="A887" s="3"/>
      <c r="B887" s="3"/>
    </row>
    <row r="888" spans="1:2" ht="12.75">
      <c r="A888" s="3"/>
      <c r="B888" s="3"/>
    </row>
    <row r="889" spans="1:2" ht="12.75">
      <c r="A889" s="3"/>
      <c r="B889" s="3"/>
    </row>
    <row r="890" spans="1:2" ht="12.75">
      <c r="A890" s="3"/>
      <c r="B890" s="3"/>
    </row>
    <row r="891" spans="1:2" ht="12.75">
      <c r="A891" s="3"/>
      <c r="B891" s="3"/>
    </row>
    <row r="892" spans="1:2" ht="12.75">
      <c r="A892" s="3"/>
      <c r="B892" s="3"/>
    </row>
    <row r="893" spans="1:2" ht="12.75">
      <c r="A893" s="3"/>
      <c r="B893" s="3"/>
    </row>
    <row r="894" spans="1:2" ht="12.75">
      <c r="A894" s="3"/>
      <c r="B894" s="3"/>
    </row>
    <row r="895" spans="1:2" ht="12.75">
      <c r="A895" s="3"/>
      <c r="B895" s="3"/>
    </row>
    <row r="896" spans="1:2" ht="12.75">
      <c r="A896" s="3"/>
      <c r="B896" s="3"/>
    </row>
    <row r="897" spans="1:2" ht="12.75">
      <c r="A897" s="3"/>
      <c r="B897" s="3"/>
    </row>
    <row r="898" spans="1:2" ht="12.75">
      <c r="A898" s="3"/>
      <c r="B898" s="3"/>
    </row>
    <row r="899" spans="1:2" ht="12.75">
      <c r="A899" s="3"/>
      <c r="B899" s="3"/>
    </row>
    <row r="900" spans="1:2" ht="12.75">
      <c r="A900" s="3"/>
      <c r="B900" s="3"/>
    </row>
    <row r="901" spans="1:2" ht="12.75">
      <c r="A901" s="3"/>
      <c r="B901" s="3"/>
    </row>
    <row r="902" spans="1:2" ht="12.75">
      <c r="A902" s="3"/>
      <c r="B902" s="3"/>
    </row>
    <row r="903" spans="1:2" ht="12.75">
      <c r="A903" s="3"/>
      <c r="B903" s="3"/>
    </row>
    <row r="904" spans="1:2" ht="12.75">
      <c r="A904" s="3"/>
      <c r="B904" s="3"/>
    </row>
    <row r="905" spans="1:2" ht="12.75">
      <c r="A905" s="3"/>
      <c r="B905" s="3"/>
    </row>
    <row r="906" spans="1:2" ht="12.75">
      <c r="A906" s="3"/>
      <c r="B906" s="3"/>
    </row>
    <row r="907" spans="1:2" ht="12.75">
      <c r="A907" s="3"/>
      <c r="B907" s="3"/>
    </row>
    <row r="908" spans="1:2" ht="12.75">
      <c r="A908" s="3"/>
      <c r="B908" s="3"/>
    </row>
    <row r="909" spans="1:2" ht="12.75">
      <c r="A909" s="3"/>
      <c r="B909" s="3"/>
    </row>
    <row r="910" spans="1:2" ht="12.75">
      <c r="A910" s="3"/>
      <c r="B910" s="3"/>
    </row>
    <row r="911" spans="1:2" ht="12.75">
      <c r="A911" s="3"/>
      <c r="B911" s="3"/>
    </row>
    <row r="912" spans="1:2" ht="12.75">
      <c r="A912" s="3"/>
      <c r="B912" s="3"/>
    </row>
    <row r="913" spans="1:2" ht="12.75">
      <c r="A913" s="3"/>
      <c r="B913" s="3"/>
    </row>
    <row r="914" spans="1:2" ht="12.75">
      <c r="A914" s="3"/>
      <c r="B914" s="3"/>
    </row>
    <row r="915" spans="1:2" ht="12.75">
      <c r="A915" s="3"/>
      <c r="B915" s="3"/>
    </row>
    <row r="916" spans="1:2" ht="12.75">
      <c r="A916" s="3"/>
      <c r="B916" s="3"/>
    </row>
    <row r="917" spans="1:2" ht="12.75">
      <c r="A917" s="3"/>
      <c r="B917" s="3"/>
    </row>
    <row r="918" spans="1:2" ht="12.75">
      <c r="A918" s="3"/>
      <c r="B918" s="3"/>
    </row>
    <row r="919" spans="1:2" ht="12.75">
      <c r="A919" s="3"/>
      <c r="B919" s="3"/>
    </row>
    <row r="920" spans="1:2" ht="12.75">
      <c r="A920" s="3"/>
      <c r="B920" s="3"/>
    </row>
    <row r="921" spans="1:2" ht="12.75">
      <c r="A921" s="3"/>
      <c r="B921" s="3"/>
    </row>
    <row r="922" spans="1:2" ht="12.75">
      <c r="A922" s="3"/>
      <c r="B922" s="3"/>
    </row>
    <row r="923" spans="1:2" ht="12.75">
      <c r="A923" s="3"/>
      <c r="B923" s="3"/>
    </row>
    <row r="924" spans="1:2" ht="12.75">
      <c r="A924" s="3"/>
      <c r="B924" s="3"/>
    </row>
    <row r="925" spans="1:2" ht="12.75">
      <c r="A925" s="3"/>
      <c r="B925" s="3"/>
    </row>
    <row r="926" spans="1:2" ht="12.75">
      <c r="A926" s="3"/>
      <c r="B926" s="3"/>
    </row>
    <row r="927" spans="1:2" ht="12.75">
      <c r="A927" s="3"/>
      <c r="B927" s="3"/>
    </row>
    <row r="928" spans="1:2" ht="12.75">
      <c r="A928" s="3"/>
      <c r="B928" s="3"/>
    </row>
    <row r="929" spans="1:2" ht="12.75">
      <c r="A929" s="3"/>
      <c r="B929" s="3"/>
    </row>
    <row r="930" spans="1:2" ht="12.75">
      <c r="A930" s="3"/>
      <c r="B930" s="3"/>
    </row>
    <row r="931" spans="1:2" ht="12.75">
      <c r="A931" s="3"/>
      <c r="B931" s="3"/>
    </row>
    <row r="932" spans="1:2" ht="12.75">
      <c r="A932" s="3"/>
      <c r="B932" s="3"/>
    </row>
    <row r="933" spans="1:2" ht="12.75">
      <c r="A933" s="3"/>
      <c r="B933" s="3"/>
    </row>
    <row r="934" spans="1:2" ht="12.75">
      <c r="A934" s="3"/>
      <c r="B934" s="3"/>
    </row>
    <row r="935" spans="1:2" ht="12.75">
      <c r="A935" s="3"/>
      <c r="B935" s="3"/>
    </row>
    <row r="936" spans="1:2" ht="12.75">
      <c r="A936" s="3"/>
      <c r="B936" s="3"/>
    </row>
    <row r="937" spans="1:2" ht="12.75">
      <c r="A937" s="3"/>
      <c r="B937" s="3"/>
    </row>
    <row r="938" spans="1:2" ht="12.75">
      <c r="A938" s="3"/>
      <c r="B938" s="3"/>
    </row>
    <row r="939" spans="1:2" ht="12.75">
      <c r="A939" s="3"/>
      <c r="B939" s="3"/>
    </row>
    <row r="940" spans="1:2" ht="12.75">
      <c r="A940" s="3"/>
      <c r="B940" s="3"/>
    </row>
    <row r="941" spans="1:2" ht="12.75">
      <c r="A941" s="3"/>
      <c r="B941" s="3"/>
    </row>
    <row r="942" spans="1:2" ht="12.75">
      <c r="A942" s="3"/>
      <c r="B942" s="3"/>
    </row>
    <row r="943" spans="1:2" ht="12.75">
      <c r="A943" s="3"/>
      <c r="B943" s="3"/>
    </row>
    <row r="944" spans="1:2" ht="12.75">
      <c r="A944" s="3"/>
      <c r="B944" s="3"/>
    </row>
    <row r="945" spans="1:2" ht="12.75">
      <c r="A945" s="3"/>
      <c r="B945" s="3"/>
    </row>
    <row r="946" spans="1:2" ht="12.75">
      <c r="A946" s="3"/>
      <c r="B946" s="3"/>
    </row>
    <row r="947" spans="1:2" ht="12.75">
      <c r="A947" s="3"/>
      <c r="B947" s="3"/>
    </row>
    <row r="948" spans="1:2" ht="12.75">
      <c r="A948" s="3"/>
      <c r="B948" s="3"/>
    </row>
    <row r="949" spans="1:2" ht="12.75">
      <c r="A949" s="3"/>
      <c r="B949" s="3"/>
    </row>
    <row r="950" spans="1:2" ht="12.75">
      <c r="A950" s="3"/>
      <c r="B950" s="3"/>
    </row>
    <row r="951" spans="1:2" ht="12.75">
      <c r="A951" s="3"/>
      <c r="B951" s="3"/>
    </row>
    <row r="952" spans="1:2" ht="12.75">
      <c r="A952" s="3"/>
      <c r="B952" s="3"/>
    </row>
    <row r="953" spans="1:2" ht="12.75">
      <c r="A953" s="3"/>
      <c r="B953" s="3"/>
    </row>
    <row r="954" spans="1:2" ht="12.75">
      <c r="A954" s="3"/>
      <c r="B954" s="3"/>
    </row>
    <row r="955" spans="1:2" ht="12.75">
      <c r="A955" s="3"/>
      <c r="B955" s="3"/>
    </row>
    <row r="956" spans="1:2" ht="12.75">
      <c r="A956" s="3"/>
      <c r="B956" s="3"/>
    </row>
    <row r="957" spans="1:2" ht="12.75">
      <c r="A957" s="3"/>
      <c r="B957" s="3"/>
    </row>
    <row r="958" spans="1:2" ht="12.75">
      <c r="A958" s="3"/>
      <c r="B958" s="3"/>
    </row>
    <row r="959" spans="1:2" ht="12.75">
      <c r="A959" s="3"/>
      <c r="B959" s="3"/>
    </row>
    <row r="960" spans="1:2" ht="12.75">
      <c r="A960" s="3"/>
      <c r="B960" s="3"/>
    </row>
    <row r="961" spans="1:2" ht="12.75">
      <c r="A961" s="3"/>
      <c r="B961" s="3"/>
    </row>
    <row r="962" spans="1:2" ht="12.75">
      <c r="A962" s="3"/>
      <c r="B962" s="3"/>
    </row>
    <row r="963" spans="1:2" ht="12.75">
      <c r="A963" s="3"/>
      <c r="B963" s="3"/>
    </row>
    <row r="964" spans="1:2" ht="12.75">
      <c r="A964" s="3"/>
      <c r="B964" s="3"/>
    </row>
    <row r="965" spans="1:2" ht="12.75">
      <c r="A965" s="3"/>
      <c r="B965" s="3"/>
    </row>
    <row r="966" spans="1:2" ht="12.75">
      <c r="A966" s="3"/>
      <c r="B966" s="3"/>
    </row>
    <row r="967" spans="1:2" ht="12.75">
      <c r="A967" s="3"/>
      <c r="B967" s="3"/>
    </row>
    <row r="968" spans="1:2" ht="12.75">
      <c r="A968" s="3"/>
      <c r="B968" s="3"/>
    </row>
    <row r="969" spans="1:2" ht="12.75">
      <c r="A969" s="3"/>
      <c r="B969" s="3"/>
    </row>
    <row r="970" spans="1:2" ht="12.75">
      <c r="A970" s="3"/>
      <c r="B970" s="3"/>
    </row>
    <row r="971" spans="1:2" ht="12.75">
      <c r="A971" s="3"/>
      <c r="B971" s="3"/>
    </row>
    <row r="972" spans="1:2" ht="12.75">
      <c r="A972" s="3"/>
      <c r="B972" s="3"/>
    </row>
    <row r="973" spans="1:2" ht="12.75">
      <c r="A973" s="3"/>
      <c r="B973" s="3"/>
    </row>
    <row r="974" spans="1:2" ht="12.75">
      <c r="A974" s="3"/>
      <c r="B974" s="3"/>
    </row>
    <row r="975" spans="1:2" ht="12.75">
      <c r="A975" s="3"/>
      <c r="B975" s="3"/>
    </row>
    <row r="976" spans="1:2" ht="12.75">
      <c r="A976" s="3"/>
      <c r="B976" s="3"/>
    </row>
    <row r="977" spans="1:2" ht="12.75">
      <c r="A977" s="3"/>
      <c r="B977" s="3"/>
    </row>
    <row r="978" spans="1:2" ht="12.75">
      <c r="A978" s="3"/>
      <c r="B978" s="3"/>
    </row>
    <row r="979" spans="1:2" ht="12.75">
      <c r="A979" s="3"/>
      <c r="B979" s="3"/>
    </row>
    <row r="980" spans="1:2" ht="12.75">
      <c r="A980" s="3"/>
      <c r="B980" s="3"/>
    </row>
    <row r="981" spans="1:2" ht="12.75">
      <c r="A981" s="3"/>
      <c r="B981" s="3"/>
    </row>
    <row r="982" spans="1:2" ht="12.75">
      <c r="A982" s="3"/>
      <c r="B982" s="3"/>
    </row>
    <row r="983" spans="1:2" ht="12.75">
      <c r="A983" s="3"/>
      <c r="B983" s="3"/>
    </row>
    <row r="984" spans="1:2" ht="12.75">
      <c r="A984" s="3"/>
      <c r="B984" s="3"/>
    </row>
    <row r="985" spans="1:2" ht="12.75">
      <c r="A985" s="3"/>
      <c r="B985" s="3"/>
    </row>
    <row r="986" spans="1:2" ht="12.75">
      <c r="A986" s="3"/>
      <c r="B986" s="3"/>
    </row>
    <row r="987" spans="1:2" ht="12.75">
      <c r="A987" s="3"/>
      <c r="B987" s="3"/>
    </row>
    <row r="988" spans="1:2" ht="12.75">
      <c r="A988" s="3"/>
      <c r="B988" s="3"/>
    </row>
    <row r="989" spans="1:2" ht="12.75">
      <c r="A989" s="3"/>
      <c r="B989" s="3"/>
    </row>
    <row r="990" spans="1:2" ht="12.75">
      <c r="A990" s="3"/>
      <c r="B990" s="3"/>
    </row>
    <row r="991" spans="1:2" ht="12.75">
      <c r="A991" s="3"/>
      <c r="B991" s="3"/>
    </row>
    <row r="992" spans="1:2" ht="12.75">
      <c r="A992" s="3"/>
      <c r="B992" s="3"/>
    </row>
    <row r="993" spans="1:2" ht="12.75">
      <c r="A993" s="3"/>
      <c r="B993" s="3"/>
    </row>
    <row r="994" spans="1:2" ht="12.75">
      <c r="A994" s="3"/>
      <c r="B994" s="3"/>
    </row>
    <row r="995" spans="1:2" ht="12.75">
      <c r="A995" s="3"/>
      <c r="B995" s="3"/>
    </row>
    <row r="996" spans="1:2" ht="12.75">
      <c r="A996" s="3"/>
      <c r="B996" s="3"/>
    </row>
    <row r="997" spans="1:2" ht="12.75">
      <c r="A997" s="3"/>
      <c r="B997" s="3"/>
    </row>
    <row r="998" spans="1:2" ht="12.75">
      <c r="A998" s="3"/>
      <c r="B998" s="3"/>
    </row>
    <row r="999" spans="1:2" ht="12.75">
      <c r="A999" s="3"/>
      <c r="B999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999"/>
  <sheetViews>
    <sheetView showGridLines="0" workbookViewId="0"/>
  </sheetViews>
  <sheetFormatPr baseColWidth="10" defaultColWidth="12.5703125" defaultRowHeight="15.75" customHeight="1"/>
  <cols>
    <col min="2" max="2" width="15.7109375" customWidth="1"/>
    <col min="3" max="3" width="24" customWidth="1"/>
  </cols>
  <sheetData>
    <row r="1" spans="1:3">
      <c r="A1" s="99" t="s">
        <v>2326</v>
      </c>
      <c r="B1" s="99" t="s">
        <v>2310</v>
      </c>
      <c r="C1" s="99" t="s">
        <v>2327</v>
      </c>
    </row>
    <row r="2" spans="1:3">
      <c r="A2" s="101" t="str">
        <f ca="1">IFERROR(__xludf.DUMMYFUNCTION("FILTER('SECA BOTAS'!A:A,'SECA BOTAS'!C:C=""CODIGO DISPONIBLE"")"),"39 PCC")</f>
        <v>39 PCC</v>
      </c>
      <c r="B2" s="102" t="str">
        <f ca="1">IFERROR(__xludf.DUMMYFUNCTION("FILTER('SECA BOTAS'!A:A,'SECA BOTAS'!C:C=""CODIGO DISPONIBLE"")"),"#REF!")</f>
        <v>#REF!</v>
      </c>
      <c r="C2" s="103" t="str">
        <f ca="1">IFERROR(__xludf.DUMMYFUNCTION("FILTER('SECA BOTAS'!B:B,'SECA BOTAS'!C:C=""CODIGO DISPONIBLE"")"),"VESTIDOR HOMBRES")</f>
        <v>VESTIDOR HOMBRES</v>
      </c>
    </row>
    <row r="3" spans="1:3" ht="15.75" customHeight="1">
      <c r="A3" s="5" t="str">
        <f ca="1">IFERROR(__xludf.DUMMYFUNCTION("""COMPUTED_VALUE"""),"54 PCC")</f>
        <v>54 PCC</v>
      </c>
      <c r="B3" s="103"/>
      <c r="C3" s="103" t="str">
        <f ca="1">IFERROR(__xludf.DUMMYFUNCTION("""COMPUTED_VALUE"""),"VESTIDOR HOMBRES")</f>
        <v>VESTIDOR HOMBRES</v>
      </c>
    </row>
    <row r="4" spans="1:3" ht="15.75" customHeight="1">
      <c r="A4" s="5" t="str">
        <f ca="1">IFERROR(__xludf.DUMMYFUNCTION("""COMPUTED_VALUE"""),"55 PCC")</f>
        <v>55 PCC</v>
      </c>
      <c r="B4" s="103"/>
      <c r="C4" s="103" t="str">
        <f ca="1">IFERROR(__xludf.DUMMYFUNCTION("""COMPUTED_VALUE"""),"VESTIDOR HOMBRES")</f>
        <v>VESTIDOR HOMBRES</v>
      </c>
    </row>
    <row r="5" spans="1:3" ht="15.75" customHeight="1">
      <c r="A5" s="5" t="str">
        <f ca="1">IFERROR(__xludf.DUMMYFUNCTION("""COMPUTED_VALUE"""),"35 LN")</f>
        <v>35 LN</v>
      </c>
      <c r="B5" s="103"/>
      <c r="C5" s="103" t="str">
        <f ca="1">IFERROR(__xludf.DUMMYFUNCTION("""COMPUTED_VALUE"""),"VESTIDOR HOMBRES")</f>
        <v>VESTIDOR HOMBRES</v>
      </c>
    </row>
    <row r="6" spans="1:3" ht="15.75" customHeight="1">
      <c r="A6" s="5" t="str">
        <f ca="1">IFERROR(__xludf.DUMMYFUNCTION("""COMPUTED_VALUE"""),"5 MUJ")</f>
        <v>5 MUJ</v>
      </c>
      <c r="B6" s="103"/>
      <c r="C6" s="103" t="str">
        <f ca="1">IFERROR(__xludf.DUMMYFUNCTION("""COMPUTED_VALUE"""),"VESTIDOR MUJERES")</f>
        <v>VESTIDOR MUJERES</v>
      </c>
    </row>
    <row r="7" spans="1:3" ht="15.75" customHeight="1">
      <c r="A7" s="5" t="str">
        <f ca="1">IFERROR(__xludf.DUMMYFUNCTION("""COMPUTED_VALUE"""),"8 LOG")</f>
        <v>8 LOG</v>
      </c>
      <c r="B7" s="103"/>
      <c r="C7" s="103" t="str">
        <f ca="1">IFERROR(__xludf.DUMMYFUNCTION("""COMPUTED_VALUE"""),"VESTIDOR HOMBRES")</f>
        <v>VESTIDOR HOMBRES</v>
      </c>
    </row>
    <row r="8" spans="1:3" ht="15.75" customHeight="1">
      <c r="A8" s="5" t="str">
        <f ca="1">IFERROR(__xludf.DUMMYFUNCTION("""COMPUTED_VALUE"""),"23 LOG")</f>
        <v>23 LOG</v>
      </c>
      <c r="B8" s="103"/>
      <c r="C8" s="103" t="str">
        <f ca="1">IFERROR(__xludf.DUMMYFUNCTION("""COMPUTED_VALUE"""),"VESTIDOR HOMBRES")</f>
        <v>VESTIDOR HOMBRES</v>
      </c>
    </row>
    <row r="9" spans="1:3" ht="15.75" customHeight="1">
      <c r="A9" s="5" t="str">
        <f ca="1">IFERROR(__xludf.DUMMYFUNCTION("""COMPUTED_VALUE"""),"10 ADM")</f>
        <v>10 ADM</v>
      </c>
      <c r="B9" s="103">
        <v>1</v>
      </c>
      <c r="C9" s="103" t="str">
        <f ca="1">IFERROR(__xludf.DUMMYFUNCTION("""COMPUTED_VALUE"""),"ADMINISTRACION")</f>
        <v>ADMINISTRACION</v>
      </c>
    </row>
    <row r="10" spans="1:3" ht="15.75" customHeight="1">
      <c r="A10" s="5" t="str">
        <f ca="1">IFERROR(__xludf.DUMMYFUNCTION("""COMPUTED_VALUE"""),"11 ADM")</f>
        <v>11 ADM</v>
      </c>
      <c r="B10" s="103"/>
      <c r="C10" s="103" t="str">
        <f ca="1">IFERROR(__xludf.DUMMYFUNCTION("""COMPUTED_VALUE"""),"ADMINISTRACION")</f>
        <v>ADMINISTRACION</v>
      </c>
    </row>
    <row r="11" spans="1:3" ht="15.75" customHeight="1">
      <c r="A11" s="5" t="str">
        <f ca="1">IFERROR(__xludf.DUMMYFUNCTION("""COMPUTED_VALUE"""),"17 ADM")</f>
        <v>17 ADM</v>
      </c>
      <c r="B11" s="103"/>
      <c r="C11" s="103" t="str">
        <f ca="1">IFERROR(__xludf.DUMMYFUNCTION("""COMPUTED_VALUE"""),"ADMINISTRACION")</f>
        <v>ADMINISTRACION</v>
      </c>
    </row>
    <row r="12" spans="1:3" ht="15.75" customHeight="1">
      <c r="A12" s="5" t="str">
        <f ca="1">IFERROR(__xludf.DUMMYFUNCTION("""COMPUTED_VALUE"""),"18 ADM")</f>
        <v>18 ADM</v>
      </c>
      <c r="B12" s="103"/>
      <c r="C12" s="103" t="str">
        <f ca="1">IFERROR(__xludf.DUMMYFUNCTION("""COMPUTED_VALUE"""),"ADMINISTRACION")</f>
        <v>ADMINISTRACION</v>
      </c>
    </row>
    <row r="13" spans="1:3" ht="15.75" customHeight="1">
      <c r="A13" s="5" t="str">
        <f ca="1">IFERROR(__xludf.DUMMYFUNCTION("""COMPUTED_VALUE"""),"7 MUJ")</f>
        <v>7 MUJ</v>
      </c>
      <c r="B13" s="103"/>
      <c r="C13" s="103" t="str">
        <f ca="1">IFERROR(__xludf.DUMMYFUNCTION("""COMPUTED_VALUE"""),"VESTIDOR MUJERES")</f>
        <v>VESTIDOR MUJERES</v>
      </c>
    </row>
    <row r="14" spans="1:3" ht="15.75" customHeight="1">
      <c r="A14" s="5" t="str">
        <f ca="1">IFERROR(__xludf.DUMMYFUNCTION("""COMPUTED_VALUE"""),"8 MUJ")</f>
        <v>8 MUJ</v>
      </c>
      <c r="B14" s="103"/>
      <c r="C14" s="103" t="str">
        <f ca="1">IFERROR(__xludf.DUMMYFUNCTION("""COMPUTED_VALUE"""),"VESTIDOR MUJERES")</f>
        <v>VESTIDOR MUJERES</v>
      </c>
    </row>
    <row r="15" spans="1:3" ht="15.75" customHeight="1">
      <c r="A15" s="5" t="str">
        <f ca="1">IFERROR(__xludf.DUMMYFUNCTION("""COMPUTED_VALUE"""),"12 MUJ")</f>
        <v>12 MUJ</v>
      </c>
      <c r="B15" s="103"/>
      <c r="C15" s="103" t="str">
        <f ca="1">IFERROR(__xludf.DUMMYFUNCTION("""COMPUTED_VALUE"""),"VESTIDOR MUJERES")</f>
        <v>VESTIDOR MUJERES</v>
      </c>
    </row>
    <row r="16" spans="1:3" ht="15.75" customHeight="1">
      <c r="A16" s="5" t="str">
        <f ca="1">IFERROR(__xludf.DUMMYFUNCTION("""COMPUTED_VALUE"""),"13 MUJ")</f>
        <v>13 MUJ</v>
      </c>
      <c r="B16" s="11"/>
      <c r="C16" s="11" t="str">
        <f ca="1">IFERROR(__xludf.DUMMYFUNCTION("""COMPUTED_VALUE"""),"VESTIDOR MUJERES")</f>
        <v>VESTIDOR MUJERES</v>
      </c>
    </row>
    <row r="17" spans="1:3" ht="15.75" customHeight="1">
      <c r="A17" s="5" t="str">
        <f ca="1">IFERROR(__xludf.DUMMYFUNCTION("""COMPUTED_VALUE"""),"14 MUJ")</f>
        <v>14 MUJ</v>
      </c>
      <c r="B17" s="11"/>
      <c r="C17" s="11" t="str">
        <f ca="1">IFERROR(__xludf.DUMMYFUNCTION("""COMPUTED_VALUE"""),"VESTIDOR MUJERES")</f>
        <v>VESTIDOR MUJERES</v>
      </c>
    </row>
    <row r="18" spans="1:3" ht="15.75" customHeight="1">
      <c r="A18" s="5" t="str">
        <f ca="1">IFERROR(__xludf.DUMMYFUNCTION("""COMPUTED_VALUE"""),"15 MUJ")</f>
        <v>15 MUJ</v>
      </c>
      <c r="B18" s="11"/>
      <c r="C18" s="11" t="str">
        <f ca="1">IFERROR(__xludf.DUMMYFUNCTION("""COMPUTED_VALUE"""),"VESTIDOR MUJERES")</f>
        <v>VESTIDOR MUJERES</v>
      </c>
    </row>
    <row r="19" spans="1:3" ht="15.75" customHeight="1">
      <c r="A19" s="5"/>
      <c r="B19" s="11"/>
      <c r="C19" s="11"/>
    </row>
    <row r="20" spans="1:3" ht="15.75" customHeight="1">
      <c r="A20" s="5"/>
      <c r="B20" s="11"/>
      <c r="C20" s="11"/>
    </row>
    <row r="21" spans="1:3" ht="15.75" customHeight="1">
      <c r="A21" s="5"/>
      <c r="B21" s="11"/>
      <c r="C21" s="11"/>
    </row>
    <row r="22" spans="1:3" ht="23.25">
      <c r="A22" s="5"/>
      <c r="B22" s="11"/>
      <c r="C22" s="11"/>
    </row>
    <row r="23" spans="1:3" ht="23.25">
      <c r="A23" s="5"/>
      <c r="B23" s="11"/>
      <c r="C23" s="11"/>
    </row>
    <row r="24" spans="1:3" ht="23.25">
      <c r="A24" s="5"/>
      <c r="B24" s="11"/>
      <c r="C24" s="11"/>
    </row>
    <row r="25" spans="1:3" ht="23.25">
      <c r="A25" s="5"/>
      <c r="B25" s="11"/>
      <c r="C25" s="11"/>
    </row>
    <row r="26" spans="1:3" ht="23.25">
      <c r="A26" s="5"/>
      <c r="B26" s="11"/>
      <c r="C26" s="11"/>
    </row>
    <row r="27" spans="1:3" ht="23.25">
      <c r="A27" s="5"/>
      <c r="B27" s="11"/>
      <c r="C27" s="11"/>
    </row>
    <row r="28" spans="1:3" ht="23.25">
      <c r="A28" s="5"/>
      <c r="B28" s="11"/>
      <c r="C28" s="11"/>
    </row>
    <row r="29" spans="1:3" ht="23.25">
      <c r="A29" s="5"/>
      <c r="B29" s="11"/>
      <c r="C29" s="11"/>
    </row>
    <row r="30" spans="1:3" ht="23.25">
      <c r="A30" s="5"/>
      <c r="B30" s="11"/>
      <c r="C30" s="11"/>
    </row>
    <row r="31" spans="1:3" ht="23.25">
      <c r="A31" s="5"/>
      <c r="B31" s="11"/>
      <c r="C31" s="11"/>
    </row>
    <row r="32" spans="1:3" ht="23.25">
      <c r="A32" s="5"/>
      <c r="B32" s="11"/>
      <c r="C32" s="11"/>
    </row>
    <row r="33" spans="1:3" ht="23.25">
      <c r="A33" s="5"/>
      <c r="B33" s="11"/>
      <c r="C33" s="11"/>
    </row>
    <row r="34" spans="1:3" ht="23.25">
      <c r="A34" s="5"/>
      <c r="B34" s="11"/>
      <c r="C34" s="11"/>
    </row>
    <row r="35" spans="1:3" ht="23.25">
      <c r="A35" s="5"/>
      <c r="B35" s="11"/>
      <c r="C35" s="11"/>
    </row>
    <row r="36" spans="1:3" ht="23.25">
      <c r="A36" s="5"/>
      <c r="B36" s="11"/>
      <c r="C36" s="11"/>
    </row>
    <row r="37" spans="1:3" ht="23.25">
      <c r="A37" s="5"/>
      <c r="B37" s="11"/>
      <c r="C37" s="11"/>
    </row>
    <row r="38" spans="1:3" ht="23.25">
      <c r="A38" s="5"/>
      <c r="B38" s="11"/>
      <c r="C38" s="11"/>
    </row>
    <row r="39" spans="1:3" ht="23.25">
      <c r="A39" s="5"/>
      <c r="B39" s="11"/>
      <c r="C39" s="11"/>
    </row>
    <row r="40" spans="1:3" ht="23.25">
      <c r="A40" s="5"/>
      <c r="B40" s="11"/>
      <c r="C40" s="11"/>
    </row>
    <row r="41" spans="1:3" ht="23.25">
      <c r="A41" s="5"/>
      <c r="B41" s="11"/>
      <c r="C41" s="11"/>
    </row>
    <row r="42" spans="1:3" ht="23.25">
      <c r="A42" s="5"/>
      <c r="B42" s="11"/>
      <c r="C42" s="11"/>
    </row>
    <row r="43" spans="1:3" ht="23.25">
      <c r="A43" s="5"/>
      <c r="B43" s="11"/>
      <c r="C43" s="11"/>
    </row>
    <row r="44" spans="1:3" ht="23.25">
      <c r="A44" s="5"/>
      <c r="B44" s="11"/>
      <c r="C44" s="11"/>
    </row>
    <row r="45" spans="1:3" ht="23.25">
      <c r="A45" s="5"/>
      <c r="B45" s="11"/>
      <c r="C45" s="11"/>
    </row>
    <row r="46" spans="1:3" ht="23.25">
      <c r="A46" s="5"/>
      <c r="B46" s="11"/>
      <c r="C46" s="11"/>
    </row>
    <row r="47" spans="1:3" ht="23.25">
      <c r="A47" s="5"/>
      <c r="B47" s="11"/>
      <c r="C47" s="11"/>
    </row>
    <row r="48" spans="1:3" ht="23.25">
      <c r="A48" s="5"/>
      <c r="B48" s="11"/>
      <c r="C48" s="11"/>
    </row>
    <row r="49" spans="1:3" ht="23.25">
      <c r="A49" s="5"/>
      <c r="B49" s="11"/>
      <c r="C49" s="11"/>
    </row>
    <row r="50" spans="1:3" ht="23.25">
      <c r="A50" s="5"/>
      <c r="B50" s="11"/>
      <c r="C50" s="11"/>
    </row>
    <row r="51" spans="1:3" ht="23.25">
      <c r="A51" s="5"/>
      <c r="B51" s="11"/>
      <c r="C51" s="11"/>
    </row>
    <row r="52" spans="1:3" ht="23.25">
      <c r="A52" s="5"/>
      <c r="B52" s="11"/>
      <c r="C52" s="11"/>
    </row>
    <row r="53" spans="1:3" ht="23.25">
      <c r="A53" s="5"/>
      <c r="B53" s="11"/>
      <c r="C53" s="11"/>
    </row>
    <row r="54" spans="1:3" ht="23.25">
      <c r="A54" s="5"/>
      <c r="B54" s="11"/>
      <c r="C54" s="11"/>
    </row>
    <row r="55" spans="1:3" ht="23.25">
      <c r="A55" s="5"/>
      <c r="B55" s="11"/>
      <c r="C55" s="11"/>
    </row>
    <row r="56" spans="1:3" ht="23.25">
      <c r="A56" s="5"/>
      <c r="B56" s="11"/>
      <c r="C56" s="11"/>
    </row>
    <row r="57" spans="1:3" ht="23.25">
      <c r="A57" s="5"/>
      <c r="B57" s="11"/>
      <c r="C57" s="11"/>
    </row>
    <row r="58" spans="1:3" ht="23.25">
      <c r="A58" s="5"/>
      <c r="B58" s="11"/>
      <c r="C58" s="11"/>
    </row>
    <row r="59" spans="1:3" ht="23.25">
      <c r="A59" s="5"/>
      <c r="B59" s="11"/>
      <c r="C59" s="11"/>
    </row>
    <row r="60" spans="1:3" ht="23.25">
      <c r="A60" s="5"/>
      <c r="B60" s="11"/>
      <c r="C60" s="11"/>
    </row>
    <row r="61" spans="1:3" ht="23.25">
      <c r="A61" s="5"/>
      <c r="B61" s="11"/>
      <c r="C61" s="11"/>
    </row>
    <row r="62" spans="1:3" ht="23.25">
      <c r="A62" s="5"/>
      <c r="B62" s="11"/>
      <c r="C62" s="11"/>
    </row>
    <row r="63" spans="1:3" ht="23.25">
      <c r="A63" s="5"/>
      <c r="B63" s="11"/>
      <c r="C63" s="11"/>
    </row>
    <row r="64" spans="1:3" ht="23.25">
      <c r="A64" s="5"/>
      <c r="B64" s="11"/>
      <c r="C64" s="11"/>
    </row>
    <row r="65" spans="1:3" ht="23.25">
      <c r="A65" s="5"/>
      <c r="B65" s="11"/>
      <c r="C65" s="11"/>
    </row>
    <row r="66" spans="1:3" ht="23.25">
      <c r="A66" s="5"/>
      <c r="B66" s="11"/>
      <c r="C66" s="11"/>
    </row>
    <row r="67" spans="1:3" ht="23.25">
      <c r="A67" s="5"/>
      <c r="B67" s="11"/>
      <c r="C67" s="11"/>
    </row>
    <row r="68" spans="1:3" ht="23.25">
      <c r="A68" s="5"/>
      <c r="B68" s="11"/>
      <c r="C68" s="11"/>
    </row>
    <row r="69" spans="1:3" ht="23.25">
      <c r="A69" s="5"/>
      <c r="B69" s="11"/>
      <c r="C69" s="11"/>
    </row>
    <row r="70" spans="1:3" ht="23.25">
      <c r="A70" s="5"/>
      <c r="B70" s="11"/>
      <c r="C70" s="11"/>
    </row>
    <row r="71" spans="1:3" ht="23.25">
      <c r="A71" s="5"/>
      <c r="B71" s="11"/>
      <c r="C71" s="11"/>
    </row>
    <row r="72" spans="1:3" ht="23.25">
      <c r="A72" s="5"/>
      <c r="B72" s="11"/>
      <c r="C72" s="11"/>
    </row>
    <row r="73" spans="1:3" ht="23.25">
      <c r="A73" s="5"/>
      <c r="B73" s="11"/>
      <c r="C73" s="11"/>
    </row>
    <row r="74" spans="1:3" ht="23.25">
      <c r="A74" s="5"/>
      <c r="B74" s="11"/>
      <c r="C74" s="11"/>
    </row>
    <row r="75" spans="1:3" ht="23.25">
      <c r="A75" s="5"/>
      <c r="B75" s="11"/>
      <c r="C75" s="11"/>
    </row>
    <row r="76" spans="1:3" ht="23.25">
      <c r="A76" s="5"/>
      <c r="B76" s="11"/>
      <c r="C76" s="11"/>
    </row>
    <row r="77" spans="1:3" ht="23.25">
      <c r="A77" s="5"/>
      <c r="B77" s="11"/>
      <c r="C77" s="11"/>
    </row>
    <row r="78" spans="1:3" ht="23.25">
      <c r="A78" s="5"/>
      <c r="B78" s="11"/>
      <c r="C78" s="11"/>
    </row>
    <row r="79" spans="1:3" ht="23.25">
      <c r="A79" s="5"/>
      <c r="B79" s="11"/>
      <c r="C79" s="11"/>
    </row>
    <row r="80" spans="1:3" ht="23.25">
      <c r="A80" s="5"/>
      <c r="B80" s="11"/>
      <c r="C80" s="11"/>
    </row>
    <row r="81" spans="1:3" ht="23.25">
      <c r="A81" s="5"/>
      <c r="B81" s="11"/>
      <c r="C81" s="11"/>
    </row>
    <row r="82" spans="1:3" ht="23.25">
      <c r="A82" s="5"/>
      <c r="B82" s="11"/>
      <c r="C82" s="11"/>
    </row>
    <row r="83" spans="1:3" ht="23.25">
      <c r="A83" s="5"/>
      <c r="B83" s="11"/>
      <c r="C83" s="11"/>
    </row>
    <row r="84" spans="1:3" ht="23.25">
      <c r="A84" s="5"/>
      <c r="B84" s="11"/>
      <c r="C84" s="11"/>
    </row>
    <row r="85" spans="1:3" ht="23.25">
      <c r="A85" s="5"/>
      <c r="B85" s="11"/>
      <c r="C85" s="11"/>
    </row>
    <row r="86" spans="1:3" ht="23.25">
      <c r="A86" s="5"/>
      <c r="B86" s="11"/>
      <c r="C86" s="11"/>
    </row>
    <row r="87" spans="1:3" ht="23.25">
      <c r="A87" s="5"/>
      <c r="B87" s="11"/>
      <c r="C87" s="11"/>
    </row>
    <row r="88" spans="1:3" ht="23.25">
      <c r="A88" s="5"/>
      <c r="B88" s="11"/>
      <c r="C88" s="11"/>
    </row>
    <row r="89" spans="1:3" ht="23.25">
      <c r="A89" s="5"/>
      <c r="B89" s="11"/>
      <c r="C89" s="11"/>
    </row>
    <row r="90" spans="1:3" ht="23.25">
      <c r="A90" s="5"/>
      <c r="B90" s="11"/>
      <c r="C90" s="11"/>
    </row>
    <row r="91" spans="1:3" ht="23.25">
      <c r="A91" s="5"/>
      <c r="B91" s="11"/>
      <c r="C91" s="11"/>
    </row>
    <row r="92" spans="1:3" ht="23.25">
      <c r="A92" s="5"/>
      <c r="B92" s="11"/>
      <c r="C92" s="11"/>
    </row>
    <row r="93" spans="1:3" ht="23.25">
      <c r="A93" s="5"/>
      <c r="B93" s="11"/>
      <c r="C93" s="11"/>
    </row>
    <row r="94" spans="1:3" ht="23.25">
      <c r="A94" s="5"/>
      <c r="B94" s="11"/>
      <c r="C94" s="11"/>
    </row>
    <row r="95" spans="1:3" ht="23.25">
      <c r="A95" s="5"/>
      <c r="B95" s="11"/>
      <c r="C95" s="11"/>
    </row>
    <row r="96" spans="1:3" ht="23.25">
      <c r="A96" s="5"/>
      <c r="B96" s="11"/>
      <c r="C96" s="11"/>
    </row>
    <row r="97" spans="1:3" ht="23.25">
      <c r="A97" s="5"/>
      <c r="B97" s="11"/>
      <c r="C97" s="11"/>
    </row>
    <row r="98" spans="1:3" ht="23.25">
      <c r="A98" s="5"/>
      <c r="B98" s="11"/>
      <c r="C98" s="11"/>
    </row>
    <row r="99" spans="1:3" ht="23.25">
      <c r="A99" s="5"/>
      <c r="B99" s="11"/>
      <c r="C99" s="11"/>
    </row>
    <row r="100" spans="1:3" ht="23.25">
      <c r="A100" s="5"/>
      <c r="B100" s="11"/>
      <c r="C100" s="11"/>
    </row>
    <row r="101" spans="1:3" ht="23.25">
      <c r="A101" s="5"/>
      <c r="B101" s="11"/>
      <c r="C101" s="11"/>
    </row>
    <row r="102" spans="1:3" ht="23.25">
      <c r="A102" s="5"/>
      <c r="B102" s="11"/>
      <c r="C102" s="11"/>
    </row>
    <row r="103" spans="1:3" ht="23.25">
      <c r="A103" s="5"/>
      <c r="B103" s="11"/>
      <c r="C103" s="11"/>
    </row>
    <row r="104" spans="1:3" ht="23.25">
      <c r="A104" s="5"/>
      <c r="B104" s="11"/>
      <c r="C104" s="11"/>
    </row>
    <row r="105" spans="1:3" ht="23.25">
      <c r="A105" s="5"/>
      <c r="B105" s="11"/>
      <c r="C105" s="11"/>
    </row>
    <row r="106" spans="1:3" ht="23.25">
      <c r="A106" s="5"/>
      <c r="B106" s="11"/>
      <c r="C106" s="11"/>
    </row>
    <row r="107" spans="1:3" ht="23.25">
      <c r="A107" s="5"/>
      <c r="B107" s="11"/>
      <c r="C107" s="11"/>
    </row>
    <row r="108" spans="1:3" ht="23.25">
      <c r="A108" s="5"/>
      <c r="B108" s="11"/>
      <c r="C108" s="11"/>
    </row>
    <row r="109" spans="1:3" ht="23.25">
      <c r="A109" s="5"/>
      <c r="B109" s="11"/>
      <c r="C109" s="11"/>
    </row>
    <row r="110" spans="1:3" ht="23.25">
      <c r="A110" s="5"/>
      <c r="B110" s="11"/>
      <c r="C110" s="11"/>
    </row>
    <row r="111" spans="1:3" ht="23.25">
      <c r="A111" s="5"/>
      <c r="B111" s="11"/>
      <c r="C111" s="11"/>
    </row>
    <row r="112" spans="1:3" ht="23.25">
      <c r="A112" s="5"/>
      <c r="B112" s="11"/>
      <c r="C112" s="11"/>
    </row>
    <row r="113" spans="1:3" ht="23.25">
      <c r="A113" s="5"/>
      <c r="B113" s="11"/>
      <c r="C113" s="11"/>
    </row>
    <row r="114" spans="1:3" ht="23.25">
      <c r="A114" s="5"/>
      <c r="B114" s="11"/>
      <c r="C114" s="11"/>
    </row>
    <row r="115" spans="1:3" ht="23.25">
      <c r="A115" s="5"/>
      <c r="B115" s="11"/>
      <c r="C115" s="11"/>
    </row>
    <row r="116" spans="1:3" ht="23.25">
      <c r="A116" s="5"/>
      <c r="B116" s="11"/>
      <c r="C116" s="11"/>
    </row>
    <row r="117" spans="1:3" ht="23.25">
      <c r="A117" s="5"/>
      <c r="B117" s="11"/>
      <c r="C117" s="11"/>
    </row>
    <row r="118" spans="1:3" ht="23.25">
      <c r="A118" s="5"/>
      <c r="B118" s="11"/>
      <c r="C118" s="11"/>
    </row>
    <row r="119" spans="1:3" ht="23.25">
      <c r="A119" s="5"/>
      <c r="B119" s="11"/>
      <c r="C119" s="11"/>
    </row>
    <row r="120" spans="1:3" ht="23.25">
      <c r="A120" s="5"/>
      <c r="B120" s="11"/>
      <c r="C120" s="11"/>
    </row>
    <row r="121" spans="1:3" ht="23.25">
      <c r="A121" s="5"/>
      <c r="B121" s="11"/>
      <c r="C121" s="11"/>
    </row>
    <row r="122" spans="1:3" ht="23.25">
      <c r="A122" s="5"/>
      <c r="B122" s="11"/>
      <c r="C122" s="11"/>
    </row>
    <row r="123" spans="1:3" ht="23.25">
      <c r="A123" s="5"/>
      <c r="B123" s="11"/>
      <c r="C123" s="11"/>
    </row>
    <row r="124" spans="1:3" ht="12.75">
      <c r="A124" s="3"/>
      <c r="B124" s="11"/>
      <c r="C124" s="11"/>
    </row>
    <row r="125" spans="1:3" ht="12.75">
      <c r="A125" s="3"/>
      <c r="B125" s="11"/>
      <c r="C125" s="11"/>
    </row>
    <row r="126" spans="1:3" ht="12.75">
      <c r="A126" s="3"/>
      <c r="B126" s="11"/>
      <c r="C126" s="11"/>
    </row>
    <row r="127" spans="1:3" ht="12.75">
      <c r="A127" s="3"/>
      <c r="B127" s="11"/>
      <c r="C127" s="11"/>
    </row>
    <row r="128" spans="1:3" ht="12.75">
      <c r="A128" s="3"/>
      <c r="B128" s="11"/>
      <c r="C128" s="11"/>
    </row>
    <row r="129" spans="1:3" ht="12.75">
      <c r="A129" s="3"/>
      <c r="B129" s="11"/>
      <c r="C129" s="11"/>
    </row>
    <row r="130" spans="1:3" ht="12.75">
      <c r="A130" s="3"/>
      <c r="B130" s="11"/>
      <c r="C130" s="11"/>
    </row>
    <row r="131" spans="1:3" ht="12.75">
      <c r="A131" s="3"/>
      <c r="B131" s="11"/>
      <c r="C131" s="11"/>
    </row>
    <row r="132" spans="1:3" ht="12.75">
      <c r="A132" s="3"/>
      <c r="B132" s="11"/>
      <c r="C132" s="11"/>
    </row>
    <row r="133" spans="1:3" ht="12.75">
      <c r="A133" s="3"/>
      <c r="B133" s="11"/>
      <c r="C133" s="11"/>
    </row>
    <row r="134" spans="1:3" ht="12.75">
      <c r="A134" s="3"/>
      <c r="B134" s="11"/>
      <c r="C134" s="11"/>
    </row>
    <row r="135" spans="1:3" ht="12.75">
      <c r="A135" s="3"/>
      <c r="B135" s="11"/>
      <c r="C135" s="11"/>
    </row>
    <row r="136" spans="1:3" ht="12.75">
      <c r="A136" s="3"/>
      <c r="B136" s="11"/>
      <c r="C136" s="11"/>
    </row>
    <row r="137" spans="1:3" ht="12.75">
      <c r="A137" s="3"/>
      <c r="B137" s="11"/>
      <c r="C137" s="11"/>
    </row>
    <row r="138" spans="1:3" ht="12.75">
      <c r="A138" s="3"/>
      <c r="B138" s="11"/>
      <c r="C138" s="11"/>
    </row>
    <row r="139" spans="1:3" ht="12.75">
      <c r="A139" s="3"/>
      <c r="B139" s="11"/>
      <c r="C139" s="11"/>
    </row>
    <row r="140" spans="1:3" ht="12.75">
      <c r="A140" s="3"/>
      <c r="B140" s="11"/>
      <c r="C140" s="11"/>
    </row>
    <row r="141" spans="1:3" ht="12.75">
      <c r="A141" s="3"/>
      <c r="B141" s="11"/>
      <c r="C141" s="11"/>
    </row>
    <row r="142" spans="1:3" ht="12.75">
      <c r="A142" s="3"/>
      <c r="B142" s="11"/>
      <c r="C142" s="11"/>
    </row>
    <row r="143" spans="1:3" ht="12.75">
      <c r="A143" s="3"/>
      <c r="B143" s="11"/>
      <c r="C143" s="11"/>
    </row>
    <row r="144" spans="1:3" ht="12.75">
      <c r="A144" s="3"/>
      <c r="B144" s="11"/>
      <c r="C144" s="11"/>
    </row>
    <row r="145" spans="1:3" ht="12.75">
      <c r="A145" s="3"/>
      <c r="B145" s="11"/>
      <c r="C145" s="11"/>
    </row>
    <row r="146" spans="1:3" ht="12.75">
      <c r="A146" s="3"/>
      <c r="B146" s="11"/>
      <c r="C146" s="11"/>
    </row>
    <row r="147" spans="1:3" ht="12.75">
      <c r="A147" s="3"/>
      <c r="B147" s="11"/>
      <c r="C147" s="11"/>
    </row>
    <row r="148" spans="1:3" ht="12.75">
      <c r="A148" s="3"/>
      <c r="B148" s="11"/>
      <c r="C148" s="11"/>
    </row>
    <row r="149" spans="1:3" ht="12.75">
      <c r="A149" s="3"/>
      <c r="B149" s="11"/>
      <c r="C149" s="11"/>
    </row>
    <row r="150" spans="1:3" ht="12.75">
      <c r="A150" s="3"/>
      <c r="B150" s="11"/>
      <c r="C150" s="11"/>
    </row>
    <row r="151" spans="1:3" ht="12.75">
      <c r="A151" s="3"/>
      <c r="B151" s="11"/>
      <c r="C151" s="11"/>
    </row>
    <row r="152" spans="1:3" ht="12.75">
      <c r="A152" s="3"/>
      <c r="B152" s="11"/>
      <c r="C152" s="11"/>
    </row>
    <row r="153" spans="1:3" ht="12.75">
      <c r="A153" s="3"/>
      <c r="B153" s="11"/>
      <c r="C153" s="11"/>
    </row>
    <row r="154" spans="1:3" ht="12.75">
      <c r="A154" s="3"/>
      <c r="B154" s="11"/>
      <c r="C154" s="11"/>
    </row>
    <row r="155" spans="1:3" ht="12.75">
      <c r="A155" s="3"/>
      <c r="B155" s="11"/>
      <c r="C155" s="11"/>
    </row>
    <row r="156" spans="1:3" ht="12.75">
      <c r="A156" s="3"/>
      <c r="B156" s="11"/>
      <c r="C156" s="11"/>
    </row>
    <row r="157" spans="1:3" ht="12.75">
      <c r="A157" s="3"/>
      <c r="B157" s="11"/>
      <c r="C157" s="11"/>
    </row>
    <row r="158" spans="1:3" ht="12.75">
      <c r="A158" s="3"/>
      <c r="B158" s="11"/>
      <c r="C158" s="11"/>
    </row>
    <row r="159" spans="1:3" ht="12.75">
      <c r="A159" s="3"/>
      <c r="B159" s="11"/>
      <c r="C159" s="11"/>
    </row>
    <row r="160" spans="1:3" ht="12.75">
      <c r="A160" s="3"/>
      <c r="B160" s="11"/>
      <c r="C160" s="11"/>
    </row>
    <row r="161" spans="1:3" ht="12.75">
      <c r="A161" s="3"/>
      <c r="B161" s="11"/>
      <c r="C161" s="11"/>
    </row>
    <row r="162" spans="1:3" ht="12.75">
      <c r="A162" s="3"/>
      <c r="B162" s="11"/>
      <c r="C162" s="11"/>
    </row>
    <row r="163" spans="1:3" ht="12.75">
      <c r="A163" s="3"/>
      <c r="B163" s="11"/>
      <c r="C163" s="11"/>
    </row>
    <row r="164" spans="1:3" ht="12.75">
      <c r="A164" s="3"/>
      <c r="B164" s="11"/>
      <c r="C164" s="11"/>
    </row>
    <row r="165" spans="1:3" ht="12.75">
      <c r="A165" s="3"/>
      <c r="B165" s="11"/>
      <c r="C165" s="11"/>
    </row>
    <row r="166" spans="1:3" ht="12.75">
      <c r="A166" s="3"/>
      <c r="B166" s="11"/>
      <c r="C166" s="11"/>
    </row>
    <row r="167" spans="1:3" ht="12.75">
      <c r="A167" s="3"/>
      <c r="B167" s="11"/>
      <c r="C167" s="11"/>
    </row>
    <row r="168" spans="1:3" ht="12.75">
      <c r="A168" s="3"/>
      <c r="B168" s="11"/>
      <c r="C168" s="11"/>
    </row>
    <row r="169" spans="1:3" ht="12.75">
      <c r="A169" s="3"/>
      <c r="B169" s="11"/>
      <c r="C169" s="11"/>
    </row>
    <row r="170" spans="1:3" ht="12.75">
      <c r="A170" s="3"/>
      <c r="B170" s="11"/>
      <c r="C170" s="11"/>
    </row>
    <row r="171" spans="1:3" ht="12.75">
      <c r="A171" s="3"/>
      <c r="B171" s="11"/>
      <c r="C171" s="11"/>
    </row>
    <row r="172" spans="1:3" ht="12.75">
      <c r="A172" s="3"/>
      <c r="B172" s="11"/>
      <c r="C172" s="11"/>
    </row>
    <row r="173" spans="1:3" ht="12.75">
      <c r="A173" s="3"/>
      <c r="B173" s="11"/>
      <c r="C173" s="11"/>
    </row>
    <row r="174" spans="1:3" ht="12.75">
      <c r="A174" s="3"/>
      <c r="B174" s="11"/>
      <c r="C174" s="11"/>
    </row>
    <row r="175" spans="1:3" ht="12.75">
      <c r="A175" s="3"/>
      <c r="B175" s="11"/>
      <c r="C175" s="11"/>
    </row>
    <row r="176" spans="1:3" ht="12.75">
      <c r="A176" s="3"/>
      <c r="B176" s="11"/>
      <c r="C176" s="11"/>
    </row>
    <row r="177" spans="1:3" ht="12.75">
      <c r="A177" s="3"/>
      <c r="B177" s="11"/>
      <c r="C177" s="11"/>
    </row>
    <row r="178" spans="1:3" ht="12.75">
      <c r="A178" s="3"/>
      <c r="B178" s="11"/>
      <c r="C178" s="11"/>
    </row>
    <row r="179" spans="1:3" ht="12.75">
      <c r="A179" s="3"/>
      <c r="B179" s="11"/>
      <c r="C179" s="11"/>
    </row>
    <row r="180" spans="1:3" ht="12.75">
      <c r="A180" s="3"/>
      <c r="B180" s="11"/>
      <c r="C180" s="11"/>
    </row>
    <row r="181" spans="1:3" ht="12.75">
      <c r="A181" s="3"/>
      <c r="B181" s="11"/>
      <c r="C181" s="11"/>
    </row>
    <row r="182" spans="1:3" ht="12.75">
      <c r="A182" s="3"/>
      <c r="B182" s="11"/>
      <c r="C182" s="11"/>
    </row>
    <row r="183" spans="1:3" ht="12.75">
      <c r="A183" s="3"/>
      <c r="B183" s="11"/>
      <c r="C183" s="11"/>
    </row>
    <row r="184" spans="1:3" ht="12.75">
      <c r="A184" s="3"/>
      <c r="B184" s="11"/>
      <c r="C184" s="11"/>
    </row>
    <row r="185" spans="1:3" ht="12.75">
      <c r="A185" s="3"/>
      <c r="B185" s="11"/>
      <c r="C185" s="11"/>
    </row>
    <row r="186" spans="1:3" ht="12.75">
      <c r="A186" s="3"/>
      <c r="B186" s="11"/>
      <c r="C186" s="11"/>
    </row>
    <row r="187" spans="1:3" ht="12.75">
      <c r="A187" s="3"/>
      <c r="B187" s="11"/>
      <c r="C187" s="11"/>
    </row>
    <row r="188" spans="1:3" ht="12.75">
      <c r="A188" s="3"/>
      <c r="B188" s="11"/>
      <c r="C188" s="11"/>
    </row>
    <row r="189" spans="1:3" ht="12.75">
      <c r="A189" s="3"/>
      <c r="B189" s="11"/>
      <c r="C189" s="11"/>
    </row>
    <row r="190" spans="1:3" ht="12.75">
      <c r="A190" s="3"/>
      <c r="B190" s="11"/>
      <c r="C190" s="11"/>
    </row>
    <row r="191" spans="1:3" ht="12.75">
      <c r="A191" s="3"/>
      <c r="B191" s="11"/>
      <c r="C191" s="11"/>
    </row>
    <row r="192" spans="1:3" ht="12.75">
      <c r="A192" s="3"/>
      <c r="B192" s="11"/>
      <c r="C192" s="11"/>
    </row>
    <row r="193" spans="1:3" ht="12.75">
      <c r="A193" s="3"/>
      <c r="B193" s="11"/>
      <c r="C193" s="11"/>
    </row>
    <row r="194" spans="1:3" ht="12.75">
      <c r="A194" s="3"/>
      <c r="B194" s="11"/>
      <c r="C194" s="11"/>
    </row>
    <row r="195" spans="1:3" ht="12.75">
      <c r="A195" s="3"/>
      <c r="B195" s="11"/>
      <c r="C195" s="11"/>
    </row>
    <row r="196" spans="1:3" ht="12.75">
      <c r="A196" s="3"/>
      <c r="B196" s="11"/>
      <c r="C196" s="11"/>
    </row>
    <row r="197" spans="1:3" ht="12.75">
      <c r="A197" s="3"/>
      <c r="B197" s="11"/>
      <c r="C197" s="11"/>
    </row>
    <row r="198" spans="1:3" ht="12.75">
      <c r="A198" s="3"/>
      <c r="B198" s="11"/>
      <c r="C198" s="11"/>
    </row>
    <row r="199" spans="1:3" ht="12.75">
      <c r="A199" s="3"/>
      <c r="B199" s="11"/>
      <c r="C199" s="11"/>
    </row>
    <row r="200" spans="1:3" ht="12.75">
      <c r="A200" s="3"/>
      <c r="B200" s="11"/>
      <c r="C200" s="11"/>
    </row>
    <row r="201" spans="1:3" ht="12.75">
      <c r="A201" s="3"/>
      <c r="B201" s="11"/>
      <c r="C201" s="11"/>
    </row>
    <row r="202" spans="1:3" ht="12.75">
      <c r="A202" s="3"/>
      <c r="B202" s="11"/>
      <c r="C202" s="11"/>
    </row>
    <row r="203" spans="1:3" ht="12.75">
      <c r="A203" s="3"/>
      <c r="B203" s="11"/>
      <c r="C203" s="11"/>
    </row>
    <row r="204" spans="1:3" ht="12.75">
      <c r="A204" s="3"/>
      <c r="B204" s="11"/>
      <c r="C204" s="11"/>
    </row>
    <row r="205" spans="1:3" ht="12.75">
      <c r="A205" s="3"/>
      <c r="B205" s="11"/>
      <c r="C205" s="11"/>
    </row>
    <row r="206" spans="1:3" ht="12.75">
      <c r="A206" s="3"/>
      <c r="B206" s="11"/>
      <c r="C206" s="11"/>
    </row>
    <row r="207" spans="1:3" ht="12.75">
      <c r="A207" s="3"/>
      <c r="B207" s="11"/>
      <c r="C207" s="11"/>
    </row>
    <row r="208" spans="1:3" ht="12.75">
      <c r="A208" s="3"/>
      <c r="B208" s="11"/>
      <c r="C208" s="11"/>
    </row>
    <row r="209" spans="1:3" ht="12.75">
      <c r="A209" s="3"/>
      <c r="B209" s="11"/>
      <c r="C209" s="11"/>
    </row>
    <row r="210" spans="1:3" ht="12.75">
      <c r="A210" s="3"/>
      <c r="B210" s="11"/>
      <c r="C210" s="11"/>
    </row>
    <row r="211" spans="1:3" ht="12.75">
      <c r="A211" s="3"/>
      <c r="B211" s="11"/>
      <c r="C211" s="11"/>
    </row>
    <row r="212" spans="1:3" ht="12.75">
      <c r="A212" s="3"/>
      <c r="B212" s="11"/>
      <c r="C212" s="11"/>
    </row>
    <row r="213" spans="1:3" ht="12.75">
      <c r="A213" s="3"/>
      <c r="B213" s="11"/>
      <c r="C213" s="11"/>
    </row>
    <row r="214" spans="1:3" ht="12.75">
      <c r="A214" s="3"/>
      <c r="B214" s="11"/>
      <c r="C214" s="11"/>
    </row>
    <row r="215" spans="1:3" ht="12.75">
      <c r="A215" s="3"/>
      <c r="B215" s="11"/>
      <c r="C215" s="11"/>
    </row>
    <row r="216" spans="1:3" ht="12.75">
      <c r="A216" s="3"/>
      <c r="B216" s="11"/>
      <c r="C216" s="11"/>
    </row>
    <row r="217" spans="1:3" ht="12.75">
      <c r="A217" s="3"/>
      <c r="B217" s="11"/>
      <c r="C217" s="11"/>
    </row>
    <row r="218" spans="1:3" ht="12.75">
      <c r="A218" s="3"/>
      <c r="B218" s="11"/>
      <c r="C218" s="11"/>
    </row>
    <row r="219" spans="1:3" ht="12.75">
      <c r="A219" s="3"/>
      <c r="B219" s="11"/>
      <c r="C219" s="11"/>
    </row>
    <row r="220" spans="1:3" ht="12.75">
      <c r="A220" s="3"/>
      <c r="B220" s="11"/>
      <c r="C220" s="11"/>
    </row>
    <row r="221" spans="1:3" ht="12.75">
      <c r="A221" s="3"/>
      <c r="B221" s="11"/>
      <c r="C221" s="11"/>
    </row>
    <row r="222" spans="1:3" ht="12.75">
      <c r="A222" s="3"/>
      <c r="B222" s="11"/>
      <c r="C222" s="11"/>
    </row>
    <row r="223" spans="1:3" ht="12.75">
      <c r="A223" s="3"/>
      <c r="B223" s="11"/>
      <c r="C223" s="11"/>
    </row>
    <row r="224" spans="1:3" ht="12.75">
      <c r="A224" s="3"/>
      <c r="B224" s="11"/>
      <c r="C224" s="11"/>
    </row>
    <row r="225" spans="1:3" ht="12.75">
      <c r="A225" s="3"/>
      <c r="B225" s="11"/>
      <c r="C225" s="11"/>
    </row>
    <row r="226" spans="1:3" ht="12.75">
      <c r="A226" s="3"/>
      <c r="B226" s="11"/>
      <c r="C226" s="11"/>
    </row>
    <row r="227" spans="1:3" ht="12.75">
      <c r="A227" s="3"/>
      <c r="B227" s="11"/>
      <c r="C227" s="11"/>
    </row>
    <row r="228" spans="1:3" ht="12.75">
      <c r="A228" s="3"/>
      <c r="B228" s="11"/>
      <c r="C228" s="11"/>
    </row>
    <row r="229" spans="1:3" ht="12.75">
      <c r="A229" s="3"/>
      <c r="B229" s="11"/>
      <c r="C229" s="11"/>
    </row>
    <row r="230" spans="1:3" ht="12.75">
      <c r="A230" s="3"/>
      <c r="B230" s="11"/>
      <c r="C230" s="11"/>
    </row>
    <row r="231" spans="1:3" ht="12.75">
      <c r="A231" s="3"/>
      <c r="B231" s="11"/>
      <c r="C231" s="11"/>
    </row>
    <row r="232" spans="1:3" ht="12.75">
      <c r="A232" s="3"/>
      <c r="B232" s="11"/>
      <c r="C232" s="11"/>
    </row>
    <row r="233" spans="1:3" ht="12.75">
      <c r="A233" s="3"/>
      <c r="B233" s="11"/>
      <c r="C233" s="11"/>
    </row>
    <row r="234" spans="1:3" ht="12.75">
      <c r="A234" s="3"/>
      <c r="B234" s="11"/>
      <c r="C234" s="11"/>
    </row>
    <row r="235" spans="1:3" ht="12.75">
      <c r="A235" s="3"/>
      <c r="B235" s="11"/>
      <c r="C235" s="11"/>
    </row>
    <row r="236" spans="1:3" ht="12.75">
      <c r="A236" s="3"/>
      <c r="B236" s="11"/>
      <c r="C236" s="11"/>
    </row>
    <row r="237" spans="1:3" ht="12.75">
      <c r="A237" s="3"/>
      <c r="B237" s="11"/>
      <c r="C237" s="11"/>
    </row>
    <row r="238" spans="1:3" ht="12.75">
      <c r="A238" s="3"/>
      <c r="B238" s="11"/>
      <c r="C238" s="11"/>
    </row>
    <row r="239" spans="1:3" ht="12.75">
      <c r="A239" s="3"/>
      <c r="B239" s="11"/>
      <c r="C239" s="11"/>
    </row>
    <row r="240" spans="1:3" ht="12.75">
      <c r="A240" s="3"/>
      <c r="B240" s="11"/>
      <c r="C240" s="11"/>
    </row>
    <row r="241" spans="1:3" ht="12.75">
      <c r="A241" s="3"/>
      <c r="B241" s="11"/>
      <c r="C241" s="11"/>
    </row>
    <row r="242" spans="1:3" ht="12.75">
      <c r="A242" s="3"/>
      <c r="B242" s="11"/>
      <c r="C242" s="11"/>
    </row>
    <row r="243" spans="1:3" ht="12.75">
      <c r="A243" s="3"/>
      <c r="B243" s="11"/>
      <c r="C243" s="11"/>
    </row>
    <row r="244" spans="1:3" ht="12.75">
      <c r="A244" s="3"/>
      <c r="B244" s="11"/>
      <c r="C244" s="11"/>
    </row>
    <row r="245" spans="1:3" ht="12.75">
      <c r="A245" s="3"/>
      <c r="B245" s="11"/>
      <c r="C245" s="11"/>
    </row>
    <row r="246" spans="1:3" ht="12.75">
      <c r="A246" s="3"/>
      <c r="B246" s="11"/>
      <c r="C246" s="11"/>
    </row>
    <row r="247" spans="1:3" ht="12.75">
      <c r="A247" s="3"/>
      <c r="B247" s="11"/>
      <c r="C247" s="11"/>
    </row>
    <row r="248" spans="1:3" ht="12.75">
      <c r="A248" s="3"/>
      <c r="B248" s="11"/>
      <c r="C248" s="11"/>
    </row>
    <row r="249" spans="1:3" ht="12.75">
      <c r="A249" s="3"/>
      <c r="B249" s="11"/>
      <c r="C249" s="11"/>
    </row>
    <row r="250" spans="1:3" ht="12.75">
      <c r="A250" s="3"/>
      <c r="B250" s="11"/>
      <c r="C250" s="11"/>
    </row>
    <row r="251" spans="1:3" ht="12.75">
      <c r="A251" s="3"/>
      <c r="B251" s="11"/>
      <c r="C251" s="11"/>
    </row>
    <row r="252" spans="1:3" ht="12.75">
      <c r="A252" s="3"/>
      <c r="B252" s="11"/>
      <c r="C252" s="11"/>
    </row>
    <row r="253" spans="1:3" ht="12.75">
      <c r="A253" s="3"/>
      <c r="B253" s="11"/>
      <c r="C253" s="11"/>
    </row>
    <row r="254" spans="1:3" ht="12.75">
      <c r="A254" s="3"/>
      <c r="B254" s="11"/>
      <c r="C254" s="11"/>
    </row>
    <row r="255" spans="1:3" ht="12.75">
      <c r="A255" s="3"/>
      <c r="B255" s="11"/>
      <c r="C255" s="11"/>
    </row>
    <row r="256" spans="1:3" ht="12.75">
      <c r="A256" s="3"/>
      <c r="B256" s="11"/>
      <c r="C256" s="11"/>
    </row>
    <row r="257" spans="1:3" ht="12.75">
      <c r="A257" s="3"/>
      <c r="B257" s="11"/>
      <c r="C257" s="11"/>
    </row>
    <row r="258" spans="1:3" ht="12.75">
      <c r="A258" s="3"/>
      <c r="B258" s="11"/>
      <c r="C258" s="11"/>
    </row>
    <row r="259" spans="1:3" ht="12.75">
      <c r="A259" s="3"/>
      <c r="B259" s="11"/>
      <c r="C259" s="11"/>
    </row>
    <row r="260" spans="1:3" ht="12.75">
      <c r="A260" s="3"/>
      <c r="B260" s="11"/>
      <c r="C260" s="11"/>
    </row>
    <row r="261" spans="1:3" ht="12.75">
      <c r="A261" s="3"/>
      <c r="B261" s="11"/>
      <c r="C261" s="11"/>
    </row>
    <row r="262" spans="1:3" ht="12.75">
      <c r="A262" s="3"/>
      <c r="B262" s="11"/>
      <c r="C262" s="11"/>
    </row>
    <row r="263" spans="1:3" ht="12.75">
      <c r="A263" s="3"/>
      <c r="B263" s="11"/>
      <c r="C263" s="11"/>
    </row>
    <row r="264" spans="1:3" ht="12.75">
      <c r="A264" s="3"/>
      <c r="B264" s="11"/>
      <c r="C264" s="11"/>
    </row>
    <row r="265" spans="1:3" ht="12.75">
      <c r="A265" s="3"/>
      <c r="B265" s="11"/>
      <c r="C265" s="11"/>
    </row>
    <row r="266" spans="1:3" ht="12.75">
      <c r="A266" s="3"/>
      <c r="B266" s="11"/>
      <c r="C266" s="11"/>
    </row>
    <row r="267" spans="1:3" ht="12.75">
      <c r="A267" s="3"/>
      <c r="B267" s="11"/>
      <c r="C267" s="11"/>
    </row>
    <row r="268" spans="1:3" ht="12.75">
      <c r="A268" s="3"/>
      <c r="B268" s="11"/>
      <c r="C268" s="11"/>
    </row>
    <row r="269" spans="1:3" ht="12.75">
      <c r="A269" s="3"/>
      <c r="B269" s="11"/>
      <c r="C269" s="11"/>
    </row>
    <row r="270" spans="1:3" ht="12.75">
      <c r="A270" s="3"/>
      <c r="B270" s="11"/>
      <c r="C270" s="11"/>
    </row>
    <row r="271" spans="1:3" ht="12.75">
      <c r="A271" s="3"/>
      <c r="B271" s="11"/>
      <c r="C271" s="11"/>
    </row>
    <row r="272" spans="1:3" ht="12.75">
      <c r="A272" s="3"/>
      <c r="B272" s="11"/>
      <c r="C272" s="11"/>
    </row>
    <row r="273" spans="1:3" ht="12.75">
      <c r="A273" s="3"/>
      <c r="B273" s="11"/>
      <c r="C273" s="11"/>
    </row>
    <row r="274" spans="1:3" ht="12.75">
      <c r="A274" s="3"/>
      <c r="B274" s="11"/>
      <c r="C274" s="11"/>
    </row>
    <row r="275" spans="1:3" ht="12.75">
      <c r="A275" s="3"/>
      <c r="B275" s="11"/>
      <c r="C275" s="11"/>
    </row>
    <row r="276" spans="1:3" ht="12.75">
      <c r="A276" s="3"/>
      <c r="B276" s="11"/>
      <c r="C276" s="11"/>
    </row>
    <row r="277" spans="1:3" ht="12.75">
      <c r="A277" s="3"/>
      <c r="B277" s="11"/>
      <c r="C277" s="11"/>
    </row>
    <row r="278" spans="1:3" ht="12.75">
      <c r="A278" s="3"/>
      <c r="B278" s="11"/>
      <c r="C278" s="11"/>
    </row>
    <row r="279" spans="1:3" ht="12.75">
      <c r="A279" s="3"/>
      <c r="B279" s="11"/>
      <c r="C279" s="11"/>
    </row>
    <row r="280" spans="1:3" ht="12.75">
      <c r="A280" s="3"/>
      <c r="B280" s="11"/>
      <c r="C280" s="11"/>
    </row>
    <row r="281" spans="1:3" ht="12.75">
      <c r="A281" s="3"/>
      <c r="B281" s="11"/>
      <c r="C281" s="11"/>
    </row>
    <row r="282" spans="1:3" ht="12.75">
      <c r="A282" s="3"/>
      <c r="B282" s="11"/>
      <c r="C282" s="11"/>
    </row>
    <row r="283" spans="1:3" ht="12.75">
      <c r="A283" s="3"/>
      <c r="B283" s="11"/>
      <c r="C283" s="11"/>
    </row>
    <row r="284" spans="1:3" ht="12.75">
      <c r="A284" s="3"/>
      <c r="B284" s="11"/>
      <c r="C284" s="11"/>
    </row>
    <row r="285" spans="1:3" ht="12.75">
      <c r="A285" s="3"/>
      <c r="B285" s="11"/>
      <c r="C285" s="11"/>
    </row>
    <row r="286" spans="1:3" ht="12.75">
      <c r="A286" s="3"/>
      <c r="B286" s="11"/>
      <c r="C286" s="11"/>
    </row>
    <row r="287" spans="1:3" ht="12.75">
      <c r="A287" s="3"/>
      <c r="B287" s="11"/>
      <c r="C287" s="11"/>
    </row>
    <row r="288" spans="1:3" ht="12.75">
      <c r="A288" s="3"/>
      <c r="B288" s="11"/>
      <c r="C288" s="11"/>
    </row>
    <row r="289" spans="1:3" ht="12.75">
      <c r="A289" s="3"/>
      <c r="B289" s="11"/>
      <c r="C289" s="11"/>
    </row>
    <row r="290" spans="1:3" ht="12.75">
      <c r="A290" s="3"/>
      <c r="B290" s="11"/>
      <c r="C290" s="11"/>
    </row>
    <row r="291" spans="1:3" ht="12.75">
      <c r="A291" s="3"/>
      <c r="B291" s="11"/>
      <c r="C291" s="11"/>
    </row>
    <row r="292" spans="1:3" ht="12.75">
      <c r="A292" s="3"/>
      <c r="B292" s="11"/>
      <c r="C292" s="11"/>
    </row>
    <row r="293" spans="1:3" ht="12.75">
      <c r="A293" s="3"/>
      <c r="B293" s="11"/>
      <c r="C293" s="11"/>
    </row>
    <row r="294" spans="1:3" ht="12.75">
      <c r="A294" s="3"/>
      <c r="B294" s="11"/>
      <c r="C294" s="11"/>
    </row>
    <row r="295" spans="1:3" ht="12.75">
      <c r="A295" s="3"/>
      <c r="B295" s="11"/>
      <c r="C295" s="11"/>
    </row>
    <row r="296" spans="1:3" ht="12.75">
      <c r="A296" s="3"/>
      <c r="B296" s="11"/>
      <c r="C296" s="11"/>
    </row>
    <row r="297" spans="1:3" ht="12.75">
      <c r="A297" s="3"/>
      <c r="B297" s="11"/>
      <c r="C297" s="11"/>
    </row>
    <row r="298" spans="1:3" ht="12.75">
      <c r="A298" s="3"/>
      <c r="B298" s="11"/>
      <c r="C298" s="11"/>
    </row>
    <row r="299" spans="1:3" ht="12.75">
      <c r="A299" s="3"/>
      <c r="B299" s="11"/>
      <c r="C299" s="11"/>
    </row>
    <row r="300" spans="1:3" ht="12.75">
      <c r="A300" s="3"/>
      <c r="B300" s="11"/>
      <c r="C300" s="11"/>
    </row>
    <row r="301" spans="1:3" ht="12.75">
      <c r="A301" s="3"/>
      <c r="B301" s="11"/>
      <c r="C301" s="11"/>
    </row>
    <row r="302" spans="1:3" ht="12.75">
      <c r="A302" s="3"/>
      <c r="B302" s="11"/>
      <c r="C302" s="11"/>
    </row>
    <row r="303" spans="1:3" ht="12.75">
      <c r="A303" s="3"/>
      <c r="B303" s="11"/>
      <c r="C303" s="11"/>
    </row>
    <row r="304" spans="1:3" ht="12.75">
      <c r="A304" s="3"/>
      <c r="B304" s="11"/>
      <c r="C304" s="11"/>
    </row>
    <row r="305" spans="1:3" ht="12.75">
      <c r="A305" s="3"/>
      <c r="B305" s="11"/>
      <c r="C305" s="11"/>
    </row>
    <row r="306" spans="1:3" ht="12.75">
      <c r="A306" s="3"/>
      <c r="B306" s="11"/>
      <c r="C306" s="11"/>
    </row>
    <row r="307" spans="1:3" ht="12.75">
      <c r="A307" s="3"/>
      <c r="B307" s="11"/>
      <c r="C307" s="11"/>
    </row>
    <row r="308" spans="1:3" ht="12.75">
      <c r="A308" s="3"/>
      <c r="B308" s="11"/>
      <c r="C308" s="11"/>
    </row>
    <row r="309" spans="1:3" ht="12.75">
      <c r="A309" s="3"/>
      <c r="B309" s="11"/>
      <c r="C309" s="11"/>
    </row>
    <row r="310" spans="1:3" ht="12.75">
      <c r="A310" s="3"/>
      <c r="B310" s="11"/>
      <c r="C310" s="11"/>
    </row>
    <row r="311" spans="1:3" ht="12.75">
      <c r="A311" s="3"/>
      <c r="B311" s="11"/>
      <c r="C311" s="11"/>
    </row>
    <row r="312" spans="1:3" ht="12.75">
      <c r="A312" s="3"/>
      <c r="B312" s="11"/>
      <c r="C312" s="11"/>
    </row>
    <row r="313" spans="1:3" ht="12.75">
      <c r="A313" s="3"/>
      <c r="B313" s="11"/>
      <c r="C313" s="11"/>
    </row>
    <row r="314" spans="1:3" ht="12.75">
      <c r="A314" s="3"/>
      <c r="B314" s="11"/>
      <c r="C314" s="11"/>
    </row>
    <row r="315" spans="1:3" ht="12.75">
      <c r="A315" s="3"/>
      <c r="B315" s="11"/>
      <c r="C315" s="11"/>
    </row>
    <row r="316" spans="1:3" ht="12.75">
      <c r="A316" s="3"/>
      <c r="B316" s="11"/>
      <c r="C316" s="11"/>
    </row>
    <row r="317" spans="1:3" ht="12.75">
      <c r="A317" s="3"/>
      <c r="B317" s="11"/>
      <c r="C317" s="11"/>
    </row>
    <row r="318" spans="1:3" ht="12.75">
      <c r="A318" s="3"/>
      <c r="B318" s="11"/>
      <c r="C318" s="11"/>
    </row>
    <row r="319" spans="1:3" ht="12.75">
      <c r="A319" s="3"/>
      <c r="B319" s="11"/>
      <c r="C319" s="11"/>
    </row>
    <row r="320" spans="1:3" ht="12.75">
      <c r="A320" s="3"/>
      <c r="B320" s="11"/>
      <c r="C320" s="11"/>
    </row>
    <row r="321" spans="1:3" ht="12.75">
      <c r="A321" s="3"/>
      <c r="B321" s="11"/>
      <c r="C321" s="11"/>
    </row>
    <row r="322" spans="1:3" ht="12.75">
      <c r="A322" s="3"/>
      <c r="B322" s="11"/>
      <c r="C322" s="11"/>
    </row>
    <row r="323" spans="1:3" ht="12.75">
      <c r="A323" s="3"/>
      <c r="B323" s="11"/>
      <c r="C323" s="11"/>
    </row>
    <row r="324" spans="1:3" ht="12.75">
      <c r="A324" s="3"/>
      <c r="B324" s="11"/>
      <c r="C324" s="11"/>
    </row>
    <row r="325" spans="1:3" ht="12.75">
      <c r="A325" s="3"/>
      <c r="B325" s="11"/>
      <c r="C325" s="11"/>
    </row>
    <row r="326" spans="1:3" ht="12.75">
      <c r="A326" s="3"/>
      <c r="B326" s="11"/>
      <c r="C326" s="11"/>
    </row>
    <row r="327" spans="1:3" ht="12.75">
      <c r="A327" s="3"/>
      <c r="B327" s="11"/>
      <c r="C327" s="11"/>
    </row>
    <row r="328" spans="1:3" ht="12.75">
      <c r="A328" s="3"/>
      <c r="B328" s="11"/>
      <c r="C328" s="11"/>
    </row>
    <row r="329" spans="1:3" ht="12.75">
      <c r="A329" s="3"/>
      <c r="B329" s="11"/>
      <c r="C329" s="11"/>
    </row>
    <row r="330" spans="1:3" ht="12.75">
      <c r="A330" s="3"/>
      <c r="B330" s="11"/>
      <c r="C330" s="11"/>
    </row>
    <row r="331" spans="1:3" ht="12.75">
      <c r="A331" s="3"/>
      <c r="B331" s="11"/>
      <c r="C331" s="11"/>
    </row>
    <row r="332" spans="1:3" ht="12.75">
      <c r="A332" s="3"/>
      <c r="B332" s="11"/>
      <c r="C332" s="11"/>
    </row>
    <row r="333" spans="1:3" ht="12.75">
      <c r="A333" s="3"/>
      <c r="B333" s="11"/>
      <c r="C333" s="11"/>
    </row>
    <row r="334" spans="1:3" ht="12.75">
      <c r="A334" s="3"/>
      <c r="B334" s="11"/>
      <c r="C334" s="11"/>
    </row>
    <row r="335" spans="1:3" ht="12.75">
      <c r="A335" s="3"/>
      <c r="B335" s="11"/>
      <c r="C335" s="11"/>
    </row>
    <row r="336" spans="1:3" ht="12.75">
      <c r="A336" s="3"/>
      <c r="B336" s="11"/>
      <c r="C336" s="11"/>
    </row>
    <row r="337" spans="1:3" ht="12.75">
      <c r="A337" s="3"/>
      <c r="B337" s="11"/>
      <c r="C337" s="11"/>
    </row>
    <row r="338" spans="1:3" ht="12.75">
      <c r="A338" s="3"/>
      <c r="B338" s="11"/>
      <c r="C338" s="11"/>
    </row>
    <row r="339" spans="1:3" ht="12.75">
      <c r="A339" s="3"/>
      <c r="B339" s="11"/>
      <c r="C339" s="11"/>
    </row>
    <row r="340" spans="1:3" ht="12.75">
      <c r="A340" s="3"/>
      <c r="B340" s="11"/>
      <c r="C340" s="11"/>
    </row>
    <row r="341" spans="1:3" ht="12.75">
      <c r="A341" s="3"/>
      <c r="B341" s="11"/>
      <c r="C341" s="11"/>
    </row>
    <row r="342" spans="1:3" ht="12.75">
      <c r="A342" s="3"/>
      <c r="B342" s="11"/>
      <c r="C342" s="11"/>
    </row>
    <row r="343" spans="1:3" ht="12.75">
      <c r="A343" s="3"/>
      <c r="B343" s="11"/>
      <c r="C343" s="11"/>
    </row>
    <row r="344" spans="1:3" ht="12.75">
      <c r="A344" s="3"/>
      <c r="B344" s="11"/>
      <c r="C344" s="11"/>
    </row>
    <row r="345" spans="1:3" ht="12.75">
      <c r="A345" s="3"/>
      <c r="B345" s="11"/>
      <c r="C345" s="11"/>
    </row>
    <row r="346" spans="1:3" ht="12.75">
      <c r="A346" s="3"/>
      <c r="B346" s="11"/>
      <c r="C346" s="11"/>
    </row>
    <row r="347" spans="1:3" ht="12.75">
      <c r="A347" s="3"/>
      <c r="B347" s="11"/>
      <c r="C347" s="11"/>
    </row>
    <row r="348" spans="1:3" ht="12.75">
      <c r="A348" s="3"/>
      <c r="B348" s="11"/>
      <c r="C348" s="11"/>
    </row>
    <row r="349" spans="1:3" ht="12.75">
      <c r="A349" s="3"/>
      <c r="B349" s="11"/>
      <c r="C349" s="11"/>
    </row>
    <row r="350" spans="1:3" ht="12.75">
      <c r="A350" s="3"/>
      <c r="B350" s="11"/>
      <c r="C350" s="11"/>
    </row>
    <row r="351" spans="1:3" ht="12.75">
      <c r="A351" s="3"/>
      <c r="B351" s="11"/>
      <c r="C351" s="11"/>
    </row>
    <row r="352" spans="1:3" ht="12.75">
      <c r="A352" s="3"/>
      <c r="B352" s="11"/>
      <c r="C352" s="11"/>
    </row>
    <row r="353" spans="1:3" ht="12.75">
      <c r="A353" s="3"/>
      <c r="B353" s="11"/>
      <c r="C353" s="11"/>
    </row>
    <row r="354" spans="1:3" ht="12.75">
      <c r="A354" s="3"/>
      <c r="B354" s="11"/>
      <c r="C354" s="11"/>
    </row>
    <row r="355" spans="1:3" ht="12.75">
      <c r="A355" s="3"/>
      <c r="B355" s="11"/>
      <c r="C355" s="11"/>
    </row>
    <row r="356" spans="1:3" ht="12.75">
      <c r="A356" s="3"/>
      <c r="B356" s="11"/>
      <c r="C356" s="11"/>
    </row>
    <row r="357" spans="1:3" ht="12.75">
      <c r="A357" s="3"/>
      <c r="B357" s="11"/>
      <c r="C357" s="11"/>
    </row>
    <row r="358" spans="1:3" ht="12.75">
      <c r="A358" s="3"/>
      <c r="B358" s="11"/>
      <c r="C358" s="11"/>
    </row>
    <row r="359" spans="1:3" ht="12.75">
      <c r="A359" s="3"/>
      <c r="B359" s="11"/>
      <c r="C359" s="11"/>
    </row>
    <row r="360" spans="1:3" ht="12.75">
      <c r="A360" s="3"/>
      <c r="B360" s="11"/>
      <c r="C360" s="11"/>
    </row>
    <row r="361" spans="1:3" ht="12.75">
      <c r="A361" s="3"/>
      <c r="B361" s="11"/>
      <c r="C361" s="11"/>
    </row>
    <row r="362" spans="1:3" ht="12.75">
      <c r="A362" s="3"/>
      <c r="B362" s="11"/>
      <c r="C362" s="11"/>
    </row>
    <row r="363" spans="1:3" ht="12.75">
      <c r="A363" s="3"/>
      <c r="B363" s="11"/>
      <c r="C363" s="11"/>
    </row>
    <row r="364" spans="1:3" ht="12.75">
      <c r="A364" s="3"/>
      <c r="B364" s="11"/>
      <c r="C364" s="11"/>
    </row>
    <row r="365" spans="1:3" ht="12.75">
      <c r="A365" s="3"/>
      <c r="B365" s="11"/>
      <c r="C365" s="11"/>
    </row>
    <row r="366" spans="1:3" ht="12.75">
      <c r="A366" s="3"/>
      <c r="B366" s="11"/>
      <c r="C366" s="11"/>
    </row>
    <row r="367" spans="1:3" ht="12.75">
      <c r="A367" s="3"/>
      <c r="B367" s="11"/>
      <c r="C367" s="11"/>
    </row>
    <row r="368" spans="1:3" ht="12.75">
      <c r="A368" s="3"/>
      <c r="B368" s="11"/>
      <c r="C368" s="11"/>
    </row>
    <row r="369" spans="1:3" ht="12.75">
      <c r="A369" s="3"/>
      <c r="B369" s="11"/>
      <c r="C369" s="11"/>
    </row>
    <row r="370" spans="1:3" ht="12.75">
      <c r="A370" s="3"/>
      <c r="B370" s="11"/>
      <c r="C370" s="11"/>
    </row>
    <row r="371" spans="1:3" ht="12.75">
      <c r="A371" s="3"/>
      <c r="B371" s="11"/>
      <c r="C371" s="11"/>
    </row>
    <row r="372" spans="1:3" ht="12.75">
      <c r="A372" s="3"/>
      <c r="B372" s="11"/>
      <c r="C372" s="11"/>
    </row>
    <row r="373" spans="1:3" ht="12.75">
      <c r="A373" s="3"/>
      <c r="B373" s="11"/>
      <c r="C373" s="11"/>
    </row>
    <row r="374" spans="1:3" ht="12.75">
      <c r="A374" s="3"/>
      <c r="B374" s="11"/>
      <c r="C374" s="11"/>
    </row>
    <row r="375" spans="1:3" ht="12.75">
      <c r="A375" s="3"/>
      <c r="B375" s="11"/>
      <c r="C375" s="11"/>
    </row>
    <row r="376" spans="1:3" ht="12.75">
      <c r="A376" s="3"/>
      <c r="B376" s="11"/>
      <c r="C376" s="11"/>
    </row>
    <row r="377" spans="1:3" ht="12.75">
      <c r="A377" s="3"/>
      <c r="B377" s="11"/>
      <c r="C377" s="11"/>
    </row>
    <row r="378" spans="1:3" ht="12.75">
      <c r="A378" s="3"/>
      <c r="B378" s="11"/>
      <c r="C378" s="11"/>
    </row>
    <row r="379" spans="1:3" ht="12.75">
      <c r="A379" s="3"/>
      <c r="B379" s="11"/>
      <c r="C379" s="11"/>
    </row>
    <row r="380" spans="1:3" ht="12.75">
      <c r="A380" s="3"/>
      <c r="B380" s="11"/>
      <c r="C380" s="11"/>
    </row>
    <row r="381" spans="1:3" ht="12.75">
      <c r="A381" s="3"/>
      <c r="B381" s="11"/>
      <c r="C381" s="11"/>
    </row>
    <row r="382" spans="1:3" ht="12.75">
      <c r="A382" s="3"/>
      <c r="B382" s="11"/>
      <c r="C382" s="11"/>
    </row>
    <row r="383" spans="1:3" ht="12.75">
      <c r="A383" s="3"/>
      <c r="B383" s="11"/>
      <c r="C383" s="11"/>
    </row>
    <row r="384" spans="1:3" ht="12.75">
      <c r="A384" s="3"/>
      <c r="B384" s="11"/>
      <c r="C384" s="11"/>
    </row>
    <row r="385" spans="1:3" ht="12.75">
      <c r="A385" s="3"/>
      <c r="B385" s="11"/>
      <c r="C385" s="11"/>
    </row>
    <row r="386" spans="1:3" ht="12.75">
      <c r="A386" s="3"/>
      <c r="B386" s="11"/>
      <c r="C386" s="11"/>
    </row>
    <row r="387" spans="1:3" ht="12.75">
      <c r="A387" s="3"/>
      <c r="B387" s="11"/>
      <c r="C387" s="11"/>
    </row>
    <row r="388" spans="1:3" ht="12.75">
      <c r="A388" s="3"/>
      <c r="B388" s="11"/>
      <c r="C388" s="11"/>
    </row>
    <row r="389" spans="1:3" ht="12.75">
      <c r="A389" s="3"/>
      <c r="B389" s="11"/>
      <c r="C389" s="11"/>
    </row>
    <row r="390" spans="1:3" ht="12.75">
      <c r="A390" s="3"/>
      <c r="B390" s="11"/>
      <c r="C390" s="11"/>
    </row>
    <row r="391" spans="1:3" ht="12.75">
      <c r="A391" s="3"/>
      <c r="B391" s="11"/>
      <c r="C391" s="11"/>
    </row>
    <row r="392" spans="1:3" ht="12.75">
      <c r="A392" s="3"/>
      <c r="B392" s="11"/>
      <c r="C392" s="11"/>
    </row>
    <row r="393" spans="1:3" ht="12.75">
      <c r="A393" s="3"/>
      <c r="B393" s="11"/>
      <c r="C393" s="11"/>
    </row>
    <row r="394" spans="1:3" ht="12.75">
      <c r="A394" s="3"/>
      <c r="B394" s="11"/>
      <c r="C394" s="11"/>
    </row>
    <row r="395" spans="1:3" ht="12.75">
      <c r="A395" s="3"/>
      <c r="B395" s="11"/>
      <c r="C395" s="11"/>
    </row>
    <row r="396" spans="1:3" ht="12.75">
      <c r="A396" s="3"/>
      <c r="B396" s="11"/>
      <c r="C396" s="11"/>
    </row>
    <row r="397" spans="1:3" ht="12.75">
      <c r="A397" s="3"/>
      <c r="B397" s="11"/>
      <c r="C397" s="11"/>
    </row>
    <row r="398" spans="1:3" ht="12.75">
      <c r="A398" s="3"/>
      <c r="B398" s="11"/>
      <c r="C398" s="11"/>
    </row>
    <row r="399" spans="1:3" ht="12.75">
      <c r="A399" s="3"/>
      <c r="B399" s="11"/>
      <c r="C399" s="11"/>
    </row>
    <row r="400" spans="1:3" ht="12.75">
      <c r="A400" s="3"/>
      <c r="B400" s="11"/>
      <c r="C400" s="11"/>
    </row>
    <row r="401" spans="1:3" ht="12.75">
      <c r="A401" s="3"/>
      <c r="B401" s="11"/>
      <c r="C401" s="11"/>
    </row>
    <row r="402" spans="1:3" ht="12.75">
      <c r="A402" s="3"/>
      <c r="B402" s="11"/>
      <c r="C402" s="11"/>
    </row>
    <row r="403" spans="1:3" ht="12.75">
      <c r="A403" s="3"/>
      <c r="B403" s="11"/>
      <c r="C403" s="11"/>
    </row>
    <row r="404" spans="1:3" ht="12.75">
      <c r="A404" s="3"/>
      <c r="B404" s="11"/>
      <c r="C404" s="11"/>
    </row>
    <row r="405" spans="1:3" ht="12.75">
      <c r="A405" s="3"/>
      <c r="B405" s="11"/>
      <c r="C405" s="11"/>
    </row>
    <row r="406" spans="1:3" ht="12.75">
      <c r="A406" s="3"/>
      <c r="B406" s="11"/>
      <c r="C406" s="11"/>
    </row>
    <row r="407" spans="1:3" ht="12.75">
      <c r="A407" s="3"/>
      <c r="B407" s="11"/>
      <c r="C407" s="11"/>
    </row>
    <row r="408" spans="1:3" ht="12.75">
      <c r="A408" s="3"/>
      <c r="B408" s="11"/>
      <c r="C408" s="11"/>
    </row>
    <row r="409" spans="1:3" ht="12.75">
      <c r="A409" s="3"/>
      <c r="B409" s="11"/>
      <c r="C409" s="11"/>
    </row>
    <row r="410" spans="1:3" ht="12.75">
      <c r="A410" s="3"/>
      <c r="B410" s="11"/>
      <c r="C410" s="11"/>
    </row>
    <row r="411" spans="1:3" ht="12.75">
      <c r="A411" s="3"/>
      <c r="B411" s="11"/>
      <c r="C411" s="11"/>
    </row>
    <row r="412" spans="1:3" ht="12.75">
      <c r="A412" s="3"/>
      <c r="B412" s="11"/>
      <c r="C412" s="11"/>
    </row>
    <row r="413" spans="1:3" ht="12.75">
      <c r="A413" s="3"/>
      <c r="B413" s="11"/>
      <c r="C413" s="11"/>
    </row>
    <row r="414" spans="1:3" ht="12.75">
      <c r="A414" s="3"/>
      <c r="B414" s="11"/>
      <c r="C414" s="11"/>
    </row>
    <row r="415" spans="1:3" ht="12.75">
      <c r="A415" s="3"/>
      <c r="B415" s="11"/>
      <c r="C415" s="11"/>
    </row>
    <row r="416" spans="1:3" ht="12.75">
      <c r="A416" s="3"/>
      <c r="B416" s="11"/>
      <c r="C416" s="11"/>
    </row>
    <row r="417" spans="1:3" ht="12.75">
      <c r="A417" s="3"/>
      <c r="B417" s="11"/>
      <c r="C417" s="11"/>
    </row>
    <row r="418" spans="1:3" ht="12.75">
      <c r="A418" s="3"/>
      <c r="B418" s="11"/>
      <c r="C418" s="11"/>
    </row>
    <row r="419" spans="1:3" ht="12.75">
      <c r="A419" s="3"/>
      <c r="B419" s="11"/>
      <c r="C419" s="11"/>
    </row>
    <row r="420" spans="1:3" ht="12.75">
      <c r="A420" s="3"/>
      <c r="B420" s="11"/>
      <c r="C420" s="11"/>
    </row>
    <row r="421" spans="1:3" ht="12.75">
      <c r="A421" s="3"/>
      <c r="B421" s="11"/>
      <c r="C421" s="11"/>
    </row>
    <row r="422" spans="1:3" ht="12.75">
      <c r="A422" s="3"/>
      <c r="B422" s="11"/>
      <c r="C422" s="11"/>
    </row>
    <row r="423" spans="1:3" ht="12.75">
      <c r="A423" s="3"/>
      <c r="B423" s="11"/>
      <c r="C423" s="11"/>
    </row>
    <row r="424" spans="1:3" ht="12.75">
      <c r="A424" s="3"/>
      <c r="B424" s="11"/>
      <c r="C424" s="11"/>
    </row>
    <row r="425" spans="1:3" ht="12.75">
      <c r="A425" s="3"/>
      <c r="B425" s="11"/>
      <c r="C425" s="11"/>
    </row>
    <row r="426" spans="1:3" ht="12.75">
      <c r="A426" s="3"/>
      <c r="B426" s="11"/>
      <c r="C426" s="11"/>
    </row>
    <row r="427" spans="1:3" ht="12.75">
      <c r="A427" s="3"/>
      <c r="B427" s="11"/>
      <c r="C427" s="11"/>
    </row>
    <row r="428" spans="1:3" ht="12.75">
      <c r="A428" s="3"/>
      <c r="B428" s="11"/>
      <c r="C428" s="11"/>
    </row>
    <row r="429" spans="1:3" ht="12.75">
      <c r="A429" s="3"/>
      <c r="B429" s="11"/>
      <c r="C429" s="11"/>
    </row>
    <row r="430" spans="1:3" ht="12.75">
      <c r="A430" s="3"/>
      <c r="B430" s="11"/>
      <c r="C430" s="11"/>
    </row>
    <row r="431" spans="1:3" ht="12.75">
      <c r="A431" s="3"/>
      <c r="B431" s="11"/>
      <c r="C431" s="11"/>
    </row>
    <row r="432" spans="1:3" ht="12.75">
      <c r="A432" s="3"/>
      <c r="B432" s="11"/>
      <c r="C432" s="11"/>
    </row>
    <row r="433" spans="1:3" ht="12.75">
      <c r="A433" s="3"/>
      <c r="B433" s="11"/>
      <c r="C433" s="11"/>
    </row>
    <row r="434" spans="1:3" ht="12.75">
      <c r="A434" s="3"/>
      <c r="B434" s="11"/>
      <c r="C434" s="11"/>
    </row>
    <row r="435" spans="1:3" ht="12.75">
      <c r="A435" s="3"/>
      <c r="B435" s="11"/>
      <c r="C435" s="11"/>
    </row>
    <row r="436" spans="1:3" ht="12.75">
      <c r="A436" s="3"/>
      <c r="B436" s="11"/>
      <c r="C436" s="11"/>
    </row>
    <row r="437" spans="1:3" ht="12.75">
      <c r="A437" s="3"/>
      <c r="B437" s="11"/>
      <c r="C437" s="11"/>
    </row>
    <row r="438" spans="1:3" ht="12.75">
      <c r="A438" s="3"/>
      <c r="B438" s="11"/>
      <c r="C438" s="11"/>
    </row>
    <row r="439" spans="1:3" ht="12.75">
      <c r="A439" s="3"/>
      <c r="B439" s="11"/>
      <c r="C439" s="11"/>
    </row>
    <row r="440" spans="1:3" ht="12.75">
      <c r="A440" s="3"/>
      <c r="B440" s="11"/>
      <c r="C440" s="11"/>
    </row>
    <row r="441" spans="1:3" ht="12.75">
      <c r="A441" s="3"/>
      <c r="B441" s="11"/>
      <c r="C441" s="11"/>
    </row>
    <row r="442" spans="1:3" ht="12.75">
      <c r="A442" s="3"/>
      <c r="B442" s="11"/>
      <c r="C442" s="11"/>
    </row>
    <row r="443" spans="1:3" ht="12.75">
      <c r="A443" s="3"/>
      <c r="B443" s="11"/>
      <c r="C443" s="11"/>
    </row>
    <row r="444" spans="1:3" ht="12.75">
      <c r="A444" s="3"/>
      <c r="B444" s="11"/>
      <c r="C444" s="11"/>
    </row>
    <row r="445" spans="1:3" ht="12.75">
      <c r="A445" s="3"/>
      <c r="B445" s="11"/>
      <c r="C445" s="11"/>
    </row>
    <row r="446" spans="1:3" ht="12.75">
      <c r="A446" s="3"/>
      <c r="B446" s="11"/>
      <c r="C446" s="11"/>
    </row>
    <row r="447" spans="1:3" ht="12.75">
      <c r="A447" s="3"/>
      <c r="B447" s="11"/>
      <c r="C447" s="11"/>
    </row>
    <row r="448" spans="1:3" ht="12.75">
      <c r="A448" s="3"/>
      <c r="B448" s="11"/>
      <c r="C448" s="11"/>
    </row>
    <row r="449" spans="1:3" ht="12.75">
      <c r="A449" s="3"/>
      <c r="B449" s="11"/>
      <c r="C449" s="11"/>
    </row>
    <row r="450" spans="1:3" ht="12.75">
      <c r="A450" s="3"/>
      <c r="B450" s="11"/>
      <c r="C450" s="11"/>
    </row>
    <row r="451" spans="1:3" ht="12.75">
      <c r="A451" s="3"/>
      <c r="B451" s="11"/>
      <c r="C451" s="11"/>
    </row>
    <row r="452" spans="1:3" ht="12.75">
      <c r="A452" s="3"/>
      <c r="B452" s="11"/>
      <c r="C452" s="11"/>
    </row>
    <row r="453" spans="1:3" ht="12.75">
      <c r="A453" s="3"/>
      <c r="B453" s="11"/>
      <c r="C453" s="11"/>
    </row>
    <row r="454" spans="1:3" ht="12.75">
      <c r="A454" s="3"/>
      <c r="B454" s="11"/>
      <c r="C454" s="11"/>
    </row>
    <row r="455" spans="1:3" ht="12.75">
      <c r="A455" s="3"/>
      <c r="B455" s="11"/>
      <c r="C455" s="11"/>
    </row>
    <row r="456" spans="1:3" ht="12.75">
      <c r="A456" s="3"/>
      <c r="B456" s="11"/>
      <c r="C456" s="11"/>
    </row>
    <row r="457" spans="1:3" ht="12.75">
      <c r="A457" s="3"/>
      <c r="B457" s="11"/>
      <c r="C457" s="11"/>
    </row>
    <row r="458" spans="1:3" ht="12.75">
      <c r="A458" s="3"/>
      <c r="B458" s="11"/>
      <c r="C458" s="11"/>
    </row>
    <row r="459" spans="1:3" ht="12.75">
      <c r="A459" s="3"/>
      <c r="B459" s="11"/>
      <c r="C459" s="11"/>
    </row>
    <row r="460" spans="1:3" ht="12.75">
      <c r="A460" s="3"/>
      <c r="B460" s="11"/>
      <c r="C460" s="11"/>
    </row>
    <row r="461" spans="1:3" ht="12.75">
      <c r="A461" s="3"/>
      <c r="B461" s="11"/>
      <c r="C461" s="11"/>
    </row>
    <row r="462" spans="1:3" ht="12.75">
      <c r="A462" s="3"/>
      <c r="B462" s="11"/>
      <c r="C462" s="11"/>
    </row>
    <row r="463" spans="1:3" ht="12.75">
      <c r="A463" s="3"/>
      <c r="B463" s="11"/>
      <c r="C463" s="11"/>
    </row>
    <row r="464" spans="1:3" ht="12.75">
      <c r="A464" s="3"/>
      <c r="B464" s="11"/>
      <c r="C464" s="11"/>
    </row>
    <row r="465" spans="1:3" ht="12.75">
      <c r="A465" s="3"/>
      <c r="B465" s="11"/>
      <c r="C465" s="11"/>
    </row>
    <row r="466" spans="1:3" ht="12.75">
      <c r="A466" s="3"/>
      <c r="B466" s="11"/>
      <c r="C466" s="11"/>
    </row>
    <row r="467" spans="1:3" ht="12.75">
      <c r="A467" s="3"/>
      <c r="B467" s="11"/>
      <c r="C467" s="11"/>
    </row>
    <row r="468" spans="1:3" ht="12.75">
      <c r="A468" s="3"/>
      <c r="B468" s="11"/>
      <c r="C468" s="11"/>
    </row>
    <row r="469" spans="1:3" ht="12.75">
      <c r="A469" s="3"/>
      <c r="B469" s="11"/>
      <c r="C469" s="11"/>
    </row>
    <row r="470" spans="1:3" ht="12.75">
      <c r="A470" s="3"/>
      <c r="B470" s="11"/>
      <c r="C470" s="11"/>
    </row>
    <row r="471" spans="1:3" ht="12.75">
      <c r="A471" s="3"/>
      <c r="B471" s="11"/>
      <c r="C471" s="11"/>
    </row>
    <row r="472" spans="1:3" ht="12.75">
      <c r="A472" s="3"/>
      <c r="B472" s="11"/>
      <c r="C472" s="11"/>
    </row>
    <row r="473" spans="1:3" ht="12.75">
      <c r="A473" s="3"/>
      <c r="B473" s="11"/>
      <c r="C473" s="11"/>
    </row>
    <row r="474" spans="1:3" ht="12.75">
      <c r="A474" s="3"/>
      <c r="B474" s="11"/>
      <c r="C474" s="11"/>
    </row>
    <row r="475" spans="1:3" ht="12.75">
      <c r="A475" s="3"/>
      <c r="B475" s="11"/>
      <c r="C475" s="11"/>
    </row>
    <row r="476" spans="1:3" ht="12.75">
      <c r="A476" s="3"/>
      <c r="B476" s="11"/>
      <c r="C476" s="11"/>
    </row>
    <row r="477" spans="1:3" ht="12.75">
      <c r="A477" s="3"/>
      <c r="B477" s="11"/>
      <c r="C477" s="11"/>
    </row>
    <row r="478" spans="1:3" ht="12.75">
      <c r="A478" s="3"/>
      <c r="B478" s="11"/>
      <c r="C478" s="11"/>
    </row>
    <row r="479" spans="1:3" ht="12.75">
      <c r="A479" s="3"/>
      <c r="B479" s="11"/>
      <c r="C479" s="11"/>
    </row>
    <row r="480" spans="1:3" ht="12.75">
      <c r="A480" s="3"/>
      <c r="B480" s="11"/>
      <c r="C480" s="11"/>
    </row>
    <row r="481" spans="1:3" ht="12.75">
      <c r="A481" s="3"/>
      <c r="B481" s="11"/>
      <c r="C481" s="11"/>
    </row>
    <row r="482" spans="1:3" ht="12.75">
      <c r="A482" s="3"/>
      <c r="B482" s="11"/>
      <c r="C482" s="11"/>
    </row>
    <row r="483" spans="1:3" ht="12.75">
      <c r="A483" s="3"/>
      <c r="B483" s="11"/>
      <c r="C483" s="11"/>
    </row>
    <row r="484" spans="1:3" ht="12.75">
      <c r="A484" s="3"/>
      <c r="B484" s="11"/>
      <c r="C484" s="11"/>
    </row>
    <row r="485" spans="1:3" ht="12.75">
      <c r="A485" s="3"/>
      <c r="B485" s="11"/>
      <c r="C485" s="11"/>
    </row>
    <row r="486" spans="1:3" ht="12.75">
      <c r="A486" s="3"/>
      <c r="B486" s="11"/>
      <c r="C486" s="11"/>
    </row>
    <row r="487" spans="1:3" ht="12.75">
      <c r="A487" s="3"/>
      <c r="B487" s="11"/>
      <c r="C487" s="11"/>
    </row>
    <row r="488" spans="1:3" ht="12.75">
      <c r="A488" s="3"/>
      <c r="B488" s="11"/>
      <c r="C488" s="11"/>
    </row>
    <row r="489" spans="1:3" ht="12.75">
      <c r="A489" s="3"/>
      <c r="B489" s="11"/>
      <c r="C489" s="11"/>
    </row>
    <row r="490" spans="1:3" ht="12.75">
      <c r="A490" s="3"/>
      <c r="B490" s="11"/>
      <c r="C490" s="11"/>
    </row>
    <row r="491" spans="1:3" ht="12.75">
      <c r="A491" s="3"/>
      <c r="B491" s="11"/>
      <c r="C491" s="11"/>
    </row>
    <row r="492" spans="1:3" ht="12.75">
      <c r="A492" s="3"/>
      <c r="B492" s="11"/>
      <c r="C492" s="11"/>
    </row>
    <row r="493" spans="1:3" ht="12.75">
      <c r="A493" s="3"/>
      <c r="B493" s="11"/>
      <c r="C493" s="11"/>
    </row>
    <row r="494" spans="1:3" ht="12.75">
      <c r="A494" s="3"/>
      <c r="B494" s="11"/>
      <c r="C494" s="11"/>
    </row>
    <row r="495" spans="1:3" ht="12.75">
      <c r="A495" s="3"/>
      <c r="B495" s="11"/>
      <c r="C495" s="11"/>
    </row>
    <row r="496" spans="1:3" ht="12.75">
      <c r="A496" s="3"/>
      <c r="B496" s="11"/>
      <c r="C496" s="11"/>
    </row>
    <row r="497" spans="1:3" ht="12.75">
      <c r="A497" s="3"/>
      <c r="B497" s="11"/>
      <c r="C497" s="11"/>
    </row>
    <row r="498" spans="1:3" ht="12.75">
      <c r="A498" s="3"/>
      <c r="B498" s="11"/>
      <c r="C498" s="11"/>
    </row>
    <row r="499" spans="1:3" ht="12.75">
      <c r="A499" s="3"/>
      <c r="B499" s="11"/>
      <c r="C499" s="11"/>
    </row>
    <row r="500" spans="1:3" ht="12.75">
      <c r="A500" s="3"/>
      <c r="B500" s="11"/>
      <c r="C500" s="11"/>
    </row>
    <row r="501" spans="1:3" ht="12.75">
      <c r="A501" s="3"/>
      <c r="B501" s="11"/>
      <c r="C501" s="11"/>
    </row>
    <row r="502" spans="1:3" ht="12.75">
      <c r="A502" s="3"/>
      <c r="B502" s="11"/>
      <c r="C502" s="11"/>
    </row>
    <row r="503" spans="1:3" ht="12.75">
      <c r="A503" s="3"/>
      <c r="B503" s="11"/>
      <c r="C503" s="11"/>
    </row>
    <row r="504" spans="1:3" ht="12.75">
      <c r="A504" s="3"/>
      <c r="B504" s="11"/>
      <c r="C504" s="11"/>
    </row>
    <row r="505" spans="1:3" ht="12.75">
      <c r="A505" s="3"/>
      <c r="B505" s="11"/>
      <c r="C505" s="11"/>
    </row>
    <row r="506" spans="1:3" ht="12.75">
      <c r="A506" s="3"/>
      <c r="B506" s="11"/>
      <c r="C506" s="11"/>
    </row>
    <row r="507" spans="1:3" ht="12.75">
      <c r="A507" s="3"/>
      <c r="B507" s="11"/>
      <c r="C507" s="11"/>
    </row>
    <row r="508" spans="1:3" ht="12.75">
      <c r="A508" s="3"/>
      <c r="B508" s="11"/>
      <c r="C508" s="11"/>
    </row>
    <row r="509" spans="1:3" ht="12.75">
      <c r="A509" s="3"/>
      <c r="B509" s="11"/>
      <c r="C509" s="11"/>
    </row>
    <row r="510" spans="1:3" ht="12.75">
      <c r="A510" s="3"/>
      <c r="B510" s="11"/>
      <c r="C510" s="11"/>
    </row>
    <row r="511" spans="1:3" ht="12.75">
      <c r="A511" s="3"/>
      <c r="B511" s="11"/>
      <c r="C511" s="11"/>
    </row>
    <row r="512" spans="1:3" ht="12.75">
      <c r="A512" s="3"/>
      <c r="B512" s="11"/>
      <c r="C512" s="11"/>
    </row>
    <row r="513" spans="1:3" ht="12.75">
      <c r="A513" s="3"/>
      <c r="B513" s="11"/>
      <c r="C513" s="11"/>
    </row>
    <row r="514" spans="1:3" ht="12.75">
      <c r="A514" s="3"/>
      <c r="B514" s="11"/>
      <c r="C514" s="11"/>
    </row>
    <row r="515" spans="1:3" ht="12.75">
      <c r="A515" s="3"/>
      <c r="B515" s="11"/>
      <c r="C515" s="11"/>
    </row>
    <row r="516" spans="1:3" ht="12.75">
      <c r="A516" s="3"/>
      <c r="B516" s="11"/>
      <c r="C516" s="11"/>
    </row>
    <row r="517" spans="1:3" ht="12.75">
      <c r="A517" s="3"/>
      <c r="B517" s="11"/>
      <c r="C517" s="11"/>
    </row>
    <row r="518" spans="1:3" ht="12.75">
      <c r="A518" s="3"/>
      <c r="B518" s="11"/>
      <c r="C518" s="11"/>
    </row>
    <row r="519" spans="1:3" ht="12.75">
      <c r="A519" s="3"/>
      <c r="B519" s="11"/>
      <c r="C519" s="11"/>
    </row>
    <row r="520" spans="1:3" ht="12.75">
      <c r="A520" s="3"/>
      <c r="B520" s="11"/>
      <c r="C520" s="11"/>
    </row>
    <row r="521" spans="1:3" ht="12.75">
      <c r="A521" s="3"/>
      <c r="B521" s="11"/>
      <c r="C521" s="11"/>
    </row>
    <row r="522" spans="1:3" ht="12.75">
      <c r="A522" s="3"/>
      <c r="B522" s="11"/>
      <c r="C522" s="11"/>
    </row>
    <row r="523" spans="1:3" ht="12.75">
      <c r="A523" s="3"/>
      <c r="B523" s="11"/>
      <c r="C523" s="11"/>
    </row>
    <row r="524" spans="1:3" ht="12.75">
      <c r="A524" s="3"/>
      <c r="B524" s="11"/>
      <c r="C524" s="11"/>
    </row>
    <row r="525" spans="1:3" ht="12.75">
      <c r="A525" s="3"/>
      <c r="B525" s="11"/>
      <c r="C525" s="11"/>
    </row>
    <row r="526" spans="1:3" ht="12.75">
      <c r="A526" s="3"/>
      <c r="B526" s="11"/>
      <c r="C526" s="11"/>
    </row>
    <row r="527" spans="1:3" ht="12.75">
      <c r="A527" s="3"/>
      <c r="B527" s="11"/>
      <c r="C527" s="11"/>
    </row>
    <row r="528" spans="1:3" ht="12.75">
      <c r="A528" s="3"/>
      <c r="B528" s="11"/>
      <c r="C528" s="11"/>
    </row>
    <row r="529" spans="1:3" ht="12.75">
      <c r="A529" s="3"/>
      <c r="B529" s="11"/>
      <c r="C529" s="11"/>
    </row>
    <row r="530" spans="1:3" ht="12.75">
      <c r="A530" s="3"/>
      <c r="B530" s="11"/>
      <c r="C530" s="11"/>
    </row>
    <row r="531" spans="1:3" ht="12.75">
      <c r="A531" s="3"/>
      <c r="B531" s="11"/>
      <c r="C531" s="11"/>
    </row>
    <row r="532" spans="1:3" ht="12.75">
      <c r="A532" s="3"/>
      <c r="B532" s="11"/>
      <c r="C532" s="11"/>
    </row>
    <row r="533" spans="1:3" ht="12.75">
      <c r="A533" s="3"/>
      <c r="B533" s="11"/>
      <c r="C533" s="11"/>
    </row>
    <row r="534" spans="1:3" ht="12.75">
      <c r="A534" s="3"/>
      <c r="B534" s="11"/>
      <c r="C534" s="11"/>
    </row>
    <row r="535" spans="1:3" ht="12.75">
      <c r="A535" s="3"/>
      <c r="B535" s="11"/>
      <c r="C535" s="11"/>
    </row>
    <row r="536" spans="1:3" ht="12.75">
      <c r="A536" s="3"/>
      <c r="B536" s="11"/>
      <c r="C536" s="11"/>
    </row>
    <row r="537" spans="1:3" ht="12.75">
      <c r="A537" s="3"/>
      <c r="B537" s="11"/>
      <c r="C537" s="11"/>
    </row>
    <row r="538" spans="1:3" ht="12.75">
      <c r="A538" s="3"/>
      <c r="B538" s="11"/>
      <c r="C538" s="11"/>
    </row>
    <row r="539" spans="1:3" ht="12.75">
      <c r="A539" s="3"/>
      <c r="B539" s="11"/>
      <c r="C539" s="11"/>
    </row>
    <row r="540" spans="1:3" ht="12.75">
      <c r="A540" s="3"/>
      <c r="B540" s="11"/>
      <c r="C540" s="11"/>
    </row>
    <row r="541" spans="1:3" ht="12.75">
      <c r="A541" s="3"/>
      <c r="B541" s="11"/>
      <c r="C541" s="11"/>
    </row>
    <row r="542" spans="1:3" ht="12.75">
      <c r="A542" s="3"/>
      <c r="B542" s="11"/>
      <c r="C542" s="11"/>
    </row>
    <row r="543" spans="1:3" ht="12.75">
      <c r="A543" s="3"/>
      <c r="B543" s="11"/>
      <c r="C543" s="11"/>
    </row>
    <row r="544" spans="1:3" ht="12.75">
      <c r="A544" s="3"/>
      <c r="B544" s="11"/>
      <c r="C544" s="11"/>
    </row>
    <row r="545" spans="1:3" ht="12.75">
      <c r="A545" s="3"/>
      <c r="B545" s="11"/>
      <c r="C545" s="11"/>
    </row>
    <row r="546" spans="1:3" ht="12.75">
      <c r="A546" s="3"/>
      <c r="B546" s="11"/>
      <c r="C546" s="11"/>
    </row>
    <row r="547" spans="1:3" ht="12.75">
      <c r="A547" s="3"/>
      <c r="B547" s="11"/>
      <c r="C547" s="11"/>
    </row>
    <row r="548" spans="1:3" ht="12.75">
      <c r="A548" s="3"/>
      <c r="B548" s="11"/>
      <c r="C548" s="11"/>
    </row>
    <row r="549" spans="1:3" ht="12.75">
      <c r="A549" s="3"/>
      <c r="B549" s="11"/>
      <c r="C549" s="11"/>
    </row>
    <row r="550" spans="1:3" ht="12.75">
      <c r="A550" s="3"/>
      <c r="B550" s="11"/>
      <c r="C550" s="11"/>
    </row>
    <row r="551" spans="1:3" ht="12.75">
      <c r="A551" s="3"/>
      <c r="B551" s="11"/>
      <c r="C551" s="11"/>
    </row>
    <row r="552" spans="1:3" ht="12.75">
      <c r="A552" s="3"/>
      <c r="B552" s="11"/>
      <c r="C552" s="11"/>
    </row>
    <row r="553" spans="1:3" ht="12.75">
      <c r="A553" s="3"/>
      <c r="B553" s="11"/>
      <c r="C553" s="11"/>
    </row>
    <row r="554" spans="1:3" ht="12.75">
      <c r="A554" s="3"/>
      <c r="B554" s="11"/>
      <c r="C554" s="11"/>
    </row>
    <row r="555" spans="1:3" ht="12.75">
      <c r="A555" s="3"/>
      <c r="B555" s="11"/>
      <c r="C555" s="11"/>
    </row>
    <row r="556" spans="1:3" ht="12.75">
      <c r="A556" s="3"/>
      <c r="B556" s="11"/>
      <c r="C556" s="11"/>
    </row>
    <row r="557" spans="1:3" ht="12.75">
      <c r="A557" s="3"/>
      <c r="B557" s="11"/>
      <c r="C557" s="11"/>
    </row>
    <row r="558" spans="1:3" ht="12.75">
      <c r="A558" s="3"/>
      <c r="B558" s="11"/>
      <c r="C558" s="11"/>
    </row>
    <row r="559" spans="1:3" ht="12.75">
      <c r="A559" s="3"/>
      <c r="B559" s="11"/>
      <c r="C559" s="11"/>
    </row>
    <row r="560" spans="1:3" ht="12.75">
      <c r="A560" s="3"/>
      <c r="B560" s="11"/>
      <c r="C560" s="11"/>
    </row>
    <row r="561" spans="1:3" ht="12.75">
      <c r="A561" s="3"/>
      <c r="B561" s="11"/>
      <c r="C561" s="11"/>
    </row>
    <row r="562" spans="1:3" ht="12.75">
      <c r="A562" s="3"/>
      <c r="B562" s="11"/>
      <c r="C562" s="11"/>
    </row>
    <row r="563" spans="1:3" ht="12.75">
      <c r="A563" s="3"/>
      <c r="B563" s="11"/>
      <c r="C563" s="11"/>
    </row>
    <row r="564" spans="1:3" ht="12.75">
      <c r="A564" s="3"/>
      <c r="B564" s="11"/>
      <c r="C564" s="11"/>
    </row>
    <row r="565" spans="1:3" ht="12.75">
      <c r="A565" s="3"/>
      <c r="B565" s="11"/>
      <c r="C565" s="11"/>
    </row>
    <row r="566" spans="1:3" ht="12.75">
      <c r="A566" s="3"/>
      <c r="B566" s="11"/>
      <c r="C566" s="11"/>
    </row>
    <row r="567" spans="1:3" ht="12.75">
      <c r="A567" s="3"/>
      <c r="B567" s="11"/>
      <c r="C567" s="11"/>
    </row>
    <row r="568" spans="1:3" ht="12.75">
      <c r="A568" s="3"/>
      <c r="B568" s="11"/>
      <c r="C568" s="11"/>
    </row>
    <row r="569" spans="1:3" ht="12.75">
      <c r="A569" s="3"/>
      <c r="B569" s="11"/>
      <c r="C569" s="11"/>
    </row>
    <row r="570" spans="1:3" ht="12.75">
      <c r="A570" s="3"/>
      <c r="B570" s="11"/>
      <c r="C570" s="11"/>
    </row>
    <row r="571" spans="1:3" ht="12.75">
      <c r="A571" s="3"/>
      <c r="B571" s="11"/>
      <c r="C571" s="11"/>
    </row>
    <row r="572" spans="1:3" ht="12.75">
      <c r="A572" s="3"/>
      <c r="B572" s="11"/>
      <c r="C572" s="11"/>
    </row>
    <row r="573" spans="1:3" ht="12.75">
      <c r="A573" s="3"/>
      <c r="B573" s="11"/>
      <c r="C573" s="11"/>
    </row>
    <row r="574" spans="1:3" ht="12.75">
      <c r="A574" s="3"/>
      <c r="B574" s="11"/>
      <c r="C574" s="11"/>
    </row>
    <row r="575" spans="1:3" ht="12.75">
      <c r="A575" s="3"/>
      <c r="B575" s="11"/>
      <c r="C575" s="11"/>
    </row>
    <row r="576" spans="1:3" ht="12.75">
      <c r="A576" s="3"/>
      <c r="B576" s="11"/>
      <c r="C576" s="11"/>
    </row>
    <row r="577" spans="1:3" ht="12.75">
      <c r="A577" s="3"/>
      <c r="B577" s="11"/>
      <c r="C577" s="11"/>
    </row>
    <row r="578" spans="1:3" ht="12.75">
      <c r="A578" s="3"/>
      <c r="B578" s="11"/>
      <c r="C578" s="11"/>
    </row>
    <row r="579" spans="1:3" ht="12.75">
      <c r="A579" s="3"/>
      <c r="B579" s="11"/>
      <c r="C579" s="11"/>
    </row>
    <row r="580" spans="1:3" ht="12.75">
      <c r="A580" s="3"/>
      <c r="B580" s="11"/>
      <c r="C580" s="11"/>
    </row>
    <row r="581" spans="1:3" ht="12.75">
      <c r="A581" s="3"/>
      <c r="B581" s="11"/>
      <c r="C581" s="11"/>
    </row>
    <row r="582" spans="1:3" ht="12.75">
      <c r="A582" s="3"/>
      <c r="B582" s="11"/>
      <c r="C582" s="11"/>
    </row>
    <row r="583" spans="1:3" ht="12.75">
      <c r="A583" s="3"/>
      <c r="B583" s="11"/>
      <c r="C583" s="11"/>
    </row>
    <row r="584" spans="1:3" ht="12.75">
      <c r="A584" s="3"/>
      <c r="B584" s="11"/>
      <c r="C584" s="11"/>
    </row>
    <row r="585" spans="1:3" ht="12.75">
      <c r="A585" s="3"/>
      <c r="B585" s="11"/>
      <c r="C585" s="11"/>
    </row>
    <row r="586" spans="1:3" ht="12.75">
      <c r="A586" s="3"/>
      <c r="B586" s="11"/>
      <c r="C586" s="11"/>
    </row>
    <row r="587" spans="1:3" ht="12.75">
      <c r="A587" s="3"/>
      <c r="B587" s="11"/>
      <c r="C587" s="11"/>
    </row>
    <row r="588" spans="1:3" ht="12.75">
      <c r="A588" s="3"/>
      <c r="B588" s="11"/>
      <c r="C588" s="11"/>
    </row>
    <row r="589" spans="1:3" ht="12.75">
      <c r="A589" s="3"/>
      <c r="B589" s="11"/>
      <c r="C589" s="11"/>
    </row>
    <row r="590" spans="1:3" ht="12.75">
      <c r="A590" s="3"/>
      <c r="B590" s="11"/>
      <c r="C590" s="11"/>
    </row>
    <row r="591" spans="1:3" ht="12.75">
      <c r="A591" s="3"/>
      <c r="B591" s="11"/>
      <c r="C591" s="11"/>
    </row>
    <row r="592" spans="1:3" ht="12.75">
      <c r="A592" s="3"/>
      <c r="B592" s="11"/>
      <c r="C592" s="11"/>
    </row>
    <row r="593" spans="1:3" ht="12.75">
      <c r="A593" s="3"/>
      <c r="B593" s="11"/>
      <c r="C593" s="11"/>
    </row>
    <row r="594" spans="1:3" ht="12.75">
      <c r="A594" s="3"/>
      <c r="B594" s="11"/>
      <c r="C594" s="11"/>
    </row>
    <row r="595" spans="1:3" ht="12.75">
      <c r="A595" s="3"/>
      <c r="B595" s="11"/>
      <c r="C595" s="11"/>
    </row>
    <row r="596" spans="1:3" ht="12.75">
      <c r="A596" s="3"/>
      <c r="B596" s="11"/>
      <c r="C596" s="11"/>
    </row>
    <row r="597" spans="1:3" ht="12.75">
      <c r="A597" s="3"/>
      <c r="B597" s="11"/>
      <c r="C597" s="11"/>
    </row>
    <row r="598" spans="1:3" ht="12.75">
      <c r="A598" s="3"/>
      <c r="B598" s="11"/>
      <c r="C598" s="11"/>
    </row>
    <row r="599" spans="1:3" ht="12.75">
      <c r="A599" s="3"/>
      <c r="B599" s="11"/>
      <c r="C599" s="11"/>
    </row>
    <row r="600" spans="1:3" ht="12.75">
      <c r="A600" s="3"/>
      <c r="B600" s="11"/>
      <c r="C600" s="11"/>
    </row>
    <row r="601" spans="1:3" ht="12.75">
      <c r="A601" s="3"/>
      <c r="B601" s="11"/>
      <c r="C601" s="11"/>
    </row>
    <row r="602" spans="1:3" ht="12.75">
      <c r="A602" s="3"/>
      <c r="B602" s="11"/>
      <c r="C602" s="11"/>
    </row>
    <row r="603" spans="1:3" ht="12.75">
      <c r="A603" s="3"/>
      <c r="B603" s="11"/>
      <c r="C603" s="11"/>
    </row>
    <row r="604" spans="1:3" ht="12.75">
      <c r="A604" s="3"/>
      <c r="B604" s="11"/>
      <c r="C604" s="11"/>
    </row>
    <row r="605" spans="1:3" ht="12.75">
      <c r="A605" s="3"/>
      <c r="B605" s="11"/>
      <c r="C605" s="11"/>
    </row>
    <row r="606" spans="1:3" ht="12.75">
      <c r="A606" s="3"/>
      <c r="B606" s="11"/>
      <c r="C606" s="11"/>
    </row>
    <row r="607" spans="1:3" ht="12.75">
      <c r="A607" s="3"/>
      <c r="B607" s="11"/>
      <c r="C607" s="11"/>
    </row>
    <row r="608" spans="1:3" ht="12.75">
      <c r="A608" s="3"/>
      <c r="B608" s="11"/>
      <c r="C608" s="11"/>
    </row>
    <row r="609" spans="1:3" ht="12.75">
      <c r="A609" s="3"/>
      <c r="B609" s="11"/>
      <c r="C609" s="11"/>
    </row>
    <row r="610" spans="1:3" ht="12.75">
      <c r="A610" s="3"/>
      <c r="B610" s="11"/>
      <c r="C610" s="11"/>
    </row>
    <row r="611" spans="1:3" ht="12.75">
      <c r="A611" s="3"/>
      <c r="B611" s="11"/>
      <c r="C611" s="11"/>
    </row>
    <row r="612" spans="1:3" ht="12.75">
      <c r="A612" s="3"/>
      <c r="B612" s="11"/>
      <c r="C612" s="11"/>
    </row>
    <row r="613" spans="1:3" ht="12.75">
      <c r="A613" s="3"/>
      <c r="B613" s="11"/>
      <c r="C613" s="11"/>
    </row>
    <row r="614" spans="1:3" ht="12.75">
      <c r="A614" s="3"/>
      <c r="B614" s="11"/>
      <c r="C614" s="11"/>
    </row>
    <row r="615" spans="1:3" ht="12.75">
      <c r="A615" s="3"/>
      <c r="B615" s="11"/>
      <c r="C615" s="11"/>
    </row>
    <row r="616" spans="1:3" ht="12.75">
      <c r="A616" s="3"/>
      <c r="B616" s="11"/>
      <c r="C616" s="11"/>
    </row>
    <row r="617" spans="1:3" ht="12.75">
      <c r="A617" s="3"/>
      <c r="B617" s="11"/>
      <c r="C617" s="11"/>
    </row>
    <row r="618" spans="1:3" ht="12.75">
      <c r="A618" s="3"/>
      <c r="B618" s="11"/>
      <c r="C618" s="11"/>
    </row>
    <row r="619" spans="1:3" ht="12.75">
      <c r="A619" s="3"/>
      <c r="B619" s="11"/>
      <c r="C619" s="11"/>
    </row>
    <row r="620" spans="1:3" ht="12.75">
      <c r="A620" s="3"/>
      <c r="B620" s="11"/>
      <c r="C620" s="11"/>
    </row>
    <row r="621" spans="1:3" ht="12.75">
      <c r="A621" s="3"/>
      <c r="B621" s="11"/>
      <c r="C621" s="11"/>
    </row>
    <row r="622" spans="1:3" ht="12.75">
      <c r="A622" s="3"/>
      <c r="B622" s="11"/>
      <c r="C622" s="11"/>
    </row>
    <row r="623" spans="1:3" ht="12.75">
      <c r="A623" s="3"/>
      <c r="B623" s="11"/>
      <c r="C623" s="11"/>
    </row>
    <row r="624" spans="1:3" ht="12.75">
      <c r="A624" s="3"/>
      <c r="B624" s="11"/>
      <c r="C624" s="11"/>
    </row>
    <row r="625" spans="1:3" ht="12.75">
      <c r="A625" s="3"/>
      <c r="B625" s="11"/>
      <c r="C625" s="11"/>
    </row>
    <row r="626" spans="1:3" ht="12.75">
      <c r="A626" s="3"/>
      <c r="B626" s="11"/>
      <c r="C626" s="11"/>
    </row>
    <row r="627" spans="1:3" ht="12.75">
      <c r="A627" s="3"/>
      <c r="B627" s="11"/>
      <c r="C627" s="11"/>
    </row>
    <row r="628" spans="1:3" ht="12.75">
      <c r="A628" s="3"/>
      <c r="B628" s="11"/>
      <c r="C628" s="11"/>
    </row>
    <row r="629" spans="1:3" ht="12.75">
      <c r="A629" s="3"/>
      <c r="B629" s="11"/>
      <c r="C629" s="11"/>
    </row>
    <row r="630" spans="1:3" ht="12.75">
      <c r="A630" s="3"/>
      <c r="B630" s="11"/>
      <c r="C630" s="11"/>
    </row>
    <row r="631" spans="1:3" ht="12.75">
      <c r="A631" s="3"/>
      <c r="B631" s="11"/>
      <c r="C631" s="11"/>
    </row>
    <row r="632" spans="1:3" ht="12.75">
      <c r="A632" s="3"/>
      <c r="B632" s="11"/>
      <c r="C632" s="11"/>
    </row>
    <row r="633" spans="1:3" ht="12.75">
      <c r="A633" s="3"/>
      <c r="B633" s="11"/>
      <c r="C633" s="11"/>
    </row>
    <row r="634" spans="1:3" ht="12.75">
      <c r="A634" s="3"/>
      <c r="B634" s="11"/>
      <c r="C634" s="11"/>
    </row>
    <row r="635" spans="1:3" ht="12.75">
      <c r="A635" s="3"/>
      <c r="B635" s="11"/>
      <c r="C635" s="11"/>
    </row>
    <row r="636" spans="1:3" ht="12.75">
      <c r="A636" s="3"/>
      <c r="B636" s="11"/>
      <c r="C636" s="11"/>
    </row>
    <row r="637" spans="1:3" ht="12.75">
      <c r="A637" s="3"/>
      <c r="B637" s="11"/>
      <c r="C637" s="11"/>
    </row>
    <row r="638" spans="1:3" ht="12.75">
      <c r="A638" s="3"/>
      <c r="B638" s="11"/>
      <c r="C638" s="11"/>
    </row>
    <row r="639" spans="1:3" ht="12.75">
      <c r="A639" s="3"/>
      <c r="B639" s="11"/>
      <c r="C639" s="11"/>
    </row>
    <row r="640" spans="1:3" ht="12.75">
      <c r="A640" s="3"/>
      <c r="B640" s="11"/>
      <c r="C640" s="11"/>
    </row>
    <row r="641" spans="1:3" ht="12.75">
      <c r="A641" s="3"/>
      <c r="B641" s="11"/>
      <c r="C641" s="11"/>
    </row>
    <row r="642" spans="1:3" ht="12.75">
      <c r="A642" s="3"/>
      <c r="B642" s="11"/>
      <c r="C642" s="11"/>
    </row>
    <row r="643" spans="1:3" ht="12.75">
      <c r="A643" s="3"/>
      <c r="B643" s="11"/>
      <c r="C643" s="11"/>
    </row>
    <row r="644" spans="1:3" ht="12.75">
      <c r="A644" s="3"/>
      <c r="B644" s="11"/>
      <c r="C644" s="11"/>
    </row>
    <row r="645" spans="1:3" ht="12.75">
      <c r="A645" s="3"/>
      <c r="B645" s="11"/>
      <c r="C645" s="11"/>
    </row>
    <row r="646" spans="1:3" ht="12.75">
      <c r="A646" s="3"/>
      <c r="B646" s="11"/>
      <c r="C646" s="11"/>
    </row>
    <row r="647" spans="1:3" ht="12.75">
      <c r="A647" s="3"/>
      <c r="B647" s="11"/>
      <c r="C647" s="11"/>
    </row>
    <row r="648" spans="1:3" ht="12.75">
      <c r="A648" s="3"/>
      <c r="B648" s="11"/>
      <c r="C648" s="11"/>
    </row>
    <row r="649" spans="1:3" ht="12.75">
      <c r="A649" s="3"/>
      <c r="B649" s="11"/>
      <c r="C649" s="11"/>
    </row>
    <row r="650" spans="1:3" ht="12.75">
      <c r="A650" s="3"/>
      <c r="B650" s="11"/>
      <c r="C650" s="11"/>
    </row>
    <row r="651" spans="1:3" ht="12.75">
      <c r="A651" s="3"/>
      <c r="B651" s="11"/>
      <c r="C651" s="11"/>
    </row>
    <row r="652" spans="1:3" ht="12.75">
      <c r="A652" s="3"/>
      <c r="B652" s="11"/>
      <c r="C652" s="11"/>
    </row>
    <row r="653" spans="1:3" ht="12.75">
      <c r="A653" s="3"/>
      <c r="B653" s="11"/>
      <c r="C653" s="11"/>
    </row>
    <row r="654" spans="1:3" ht="12.75">
      <c r="A654" s="3"/>
      <c r="B654" s="11"/>
      <c r="C654" s="11"/>
    </row>
    <row r="655" spans="1:3" ht="12.75">
      <c r="A655" s="3"/>
      <c r="B655" s="11"/>
      <c r="C655" s="11"/>
    </row>
    <row r="656" spans="1:3" ht="12.75">
      <c r="A656" s="3"/>
      <c r="B656" s="11"/>
      <c r="C656" s="11"/>
    </row>
    <row r="657" spans="1:3" ht="12.75">
      <c r="A657" s="3"/>
      <c r="B657" s="11"/>
      <c r="C657" s="11"/>
    </row>
    <row r="658" spans="1:3" ht="12.75">
      <c r="A658" s="3"/>
      <c r="B658" s="11"/>
      <c r="C658" s="11"/>
    </row>
    <row r="659" spans="1:3" ht="12.75">
      <c r="A659" s="3"/>
      <c r="B659" s="11"/>
      <c r="C659" s="11"/>
    </row>
    <row r="660" spans="1:3" ht="12.75">
      <c r="A660" s="3"/>
      <c r="B660" s="11"/>
      <c r="C660" s="11"/>
    </row>
    <row r="661" spans="1:3" ht="12.75">
      <c r="A661" s="3"/>
      <c r="B661" s="11"/>
      <c r="C661" s="11"/>
    </row>
    <row r="662" spans="1:3" ht="12.75">
      <c r="A662" s="3"/>
      <c r="B662" s="11"/>
      <c r="C662" s="11"/>
    </row>
    <row r="663" spans="1:3" ht="12.75">
      <c r="A663" s="3"/>
      <c r="B663" s="11"/>
      <c r="C663" s="11"/>
    </row>
    <row r="664" spans="1:3" ht="12.75">
      <c r="A664" s="3"/>
      <c r="B664" s="11"/>
      <c r="C664" s="11"/>
    </row>
    <row r="665" spans="1:3" ht="12.75">
      <c r="A665" s="3"/>
      <c r="B665" s="11"/>
      <c r="C665" s="11"/>
    </row>
    <row r="666" spans="1:3" ht="12.75">
      <c r="A666" s="3"/>
      <c r="B666" s="11"/>
      <c r="C666" s="11"/>
    </row>
    <row r="667" spans="1:3" ht="12.75">
      <c r="A667" s="3"/>
      <c r="B667" s="11"/>
      <c r="C667" s="11"/>
    </row>
    <row r="668" spans="1:3" ht="12.75">
      <c r="A668" s="3"/>
      <c r="B668" s="11"/>
      <c r="C668" s="11"/>
    </row>
    <row r="669" spans="1:3" ht="12.75">
      <c r="A669" s="3"/>
      <c r="B669" s="11"/>
      <c r="C669" s="11"/>
    </row>
    <row r="670" spans="1:3" ht="12.75">
      <c r="A670" s="3"/>
      <c r="B670" s="11"/>
      <c r="C670" s="11"/>
    </row>
    <row r="671" spans="1:3" ht="12.75">
      <c r="A671" s="3"/>
      <c r="B671" s="11"/>
      <c r="C671" s="11"/>
    </row>
    <row r="672" spans="1:3" ht="12.75">
      <c r="A672" s="3"/>
      <c r="B672" s="11"/>
      <c r="C672" s="11"/>
    </row>
    <row r="673" spans="1:3" ht="12.75">
      <c r="A673" s="3"/>
      <c r="B673" s="11"/>
      <c r="C673" s="11"/>
    </row>
    <row r="674" spans="1:3" ht="12.75">
      <c r="A674" s="3"/>
      <c r="B674" s="11"/>
      <c r="C674" s="11"/>
    </row>
    <row r="675" spans="1:3" ht="12.75">
      <c r="A675" s="3"/>
      <c r="B675" s="11"/>
      <c r="C675" s="11"/>
    </row>
    <row r="676" spans="1:3" ht="12.75">
      <c r="A676" s="3"/>
      <c r="B676" s="11"/>
      <c r="C676" s="11"/>
    </row>
    <row r="677" spans="1:3" ht="12.75">
      <c r="A677" s="3"/>
      <c r="B677" s="11"/>
      <c r="C677" s="11"/>
    </row>
    <row r="678" spans="1:3" ht="12.75">
      <c r="A678" s="3"/>
      <c r="B678" s="11"/>
      <c r="C678" s="11"/>
    </row>
    <row r="679" spans="1:3" ht="12.75">
      <c r="A679" s="3"/>
      <c r="B679" s="11"/>
      <c r="C679" s="11"/>
    </row>
    <row r="680" spans="1:3" ht="12.75">
      <c r="A680" s="3"/>
      <c r="B680" s="11"/>
      <c r="C680" s="11"/>
    </row>
    <row r="681" spans="1:3" ht="12.75">
      <c r="A681" s="3"/>
      <c r="B681" s="11"/>
      <c r="C681" s="11"/>
    </row>
    <row r="682" spans="1:3" ht="12.75">
      <c r="A682" s="3"/>
      <c r="B682" s="11"/>
      <c r="C682" s="11"/>
    </row>
    <row r="683" spans="1:3" ht="12.75">
      <c r="A683" s="3"/>
      <c r="B683" s="11"/>
      <c r="C683" s="11"/>
    </row>
    <row r="684" spans="1:3" ht="12.75">
      <c r="A684" s="3"/>
      <c r="B684" s="11"/>
      <c r="C684" s="11"/>
    </row>
    <row r="685" spans="1:3" ht="12.75">
      <c r="A685" s="3"/>
      <c r="B685" s="11"/>
      <c r="C685" s="11"/>
    </row>
    <row r="686" spans="1:3" ht="12.75">
      <c r="A686" s="3"/>
      <c r="B686" s="11"/>
      <c r="C686" s="11"/>
    </row>
    <row r="687" spans="1:3" ht="12.75">
      <c r="A687" s="3"/>
      <c r="B687" s="11"/>
      <c r="C687" s="11"/>
    </row>
    <row r="688" spans="1:3" ht="12.75">
      <c r="A688" s="3"/>
      <c r="B688" s="11"/>
      <c r="C688" s="11"/>
    </row>
    <row r="689" spans="1:3" ht="12.75">
      <c r="A689" s="3"/>
      <c r="B689" s="11"/>
      <c r="C689" s="11"/>
    </row>
    <row r="690" spans="1:3" ht="12.75">
      <c r="A690" s="3"/>
      <c r="B690" s="11"/>
      <c r="C690" s="11"/>
    </row>
    <row r="691" spans="1:3" ht="12.75">
      <c r="A691" s="3"/>
      <c r="B691" s="11"/>
      <c r="C691" s="11"/>
    </row>
    <row r="692" spans="1:3" ht="12.75">
      <c r="A692" s="3"/>
      <c r="B692" s="11"/>
      <c r="C692" s="11"/>
    </row>
    <row r="693" spans="1:3" ht="12.75">
      <c r="A693" s="3"/>
      <c r="B693" s="11"/>
      <c r="C693" s="11"/>
    </row>
    <row r="694" spans="1:3" ht="12.75">
      <c r="A694" s="3"/>
      <c r="B694" s="11"/>
      <c r="C694" s="11"/>
    </row>
    <row r="695" spans="1:3" ht="12.75">
      <c r="A695" s="3"/>
      <c r="B695" s="11"/>
      <c r="C695" s="11"/>
    </row>
    <row r="696" spans="1:3" ht="12.75">
      <c r="A696" s="3"/>
      <c r="B696" s="11"/>
      <c r="C696" s="11"/>
    </row>
    <row r="697" spans="1:3" ht="12.75">
      <c r="A697" s="3"/>
      <c r="B697" s="11"/>
      <c r="C697" s="11"/>
    </row>
    <row r="698" spans="1:3" ht="12.75">
      <c r="A698" s="3"/>
      <c r="B698" s="11"/>
      <c r="C698" s="11"/>
    </row>
    <row r="699" spans="1:3" ht="12.75">
      <c r="A699" s="3"/>
      <c r="B699" s="11"/>
      <c r="C699" s="11"/>
    </row>
    <row r="700" spans="1:3" ht="12.75">
      <c r="A700" s="3"/>
      <c r="B700" s="11"/>
      <c r="C700" s="11"/>
    </row>
    <row r="701" spans="1:3" ht="12.75">
      <c r="A701" s="3"/>
      <c r="B701" s="11"/>
      <c r="C701" s="11"/>
    </row>
    <row r="702" spans="1:3" ht="12.75">
      <c r="A702" s="3"/>
      <c r="B702" s="11"/>
      <c r="C702" s="11"/>
    </row>
    <row r="703" spans="1:3" ht="12.75">
      <c r="A703" s="3"/>
      <c r="B703" s="11"/>
      <c r="C703" s="11"/>
    </row>
    <row r="704" spans="1:3" ht="12.75">
      <c r="A704" s="3"/>
      <c r="B704" s="11"/>
      <c r="C704" s="11"/>
    </row>
    <row r="705" spans="1:3" ht="12.75">
      <c r="A705" s="3"/>
      <c r="B705" s="11"/>
      <c r="C705" s="11"/>
    </row>
    <row r="706" spans="1:3" ht="12.75">
      <c r="A706" s="3"/>
      <c r="B706" s="11"/>
      <c r="C706" s="11"/>
    </row>
    <row r="707" spans="1:3" ht="12.75">
      <c r="A707" s="3"/>
      <c r="B707" s="11"/>
      <c r="C707" s="11"/>
    </row>
    <row r="708" spans="1:3" ht="12.75">
      <c r="A708" s="3"/>
      <c r="B708" s="11"/>
      <c r="C708" s="11"/>
    </row>
    <row r="709" spans="1:3" ht="12.75">
      <c r="A709" s="3"/>
      <c r="B709" s="11"/>
      <c r="C709" s="11"/>
    </row>
    <row r="710" spans="1:3" ht="12.75">
      <c r="A710" s="3"/>
      <c r="B710" s="11"/>
      <c r="C710" s="11"/>
    </row>
    <row r="711" spans="1:3" ht="12.75">
      <c r="A711" s="3"/>
      <c r="B711" s="11"/>
      <c r="C711" s="11"/>
    </row>
    <row r="712" spans="1:3" ht="12.75">
      <c r="A712" s="3"/>
      <c r="B712" s="11"/>
      <c r="C712" s="11"/>
    </row>
    <row r="713" spans="1:3" ht="12.75">
      <c r="A713" s="3"/>
      <c r="B713" s="11"/>
      <c r="C713" s="11"/>
    </row>
    <row r="714" spans="1:3" ht="12.75">
      <c r="A714" s="3"/>
      <c r="B714" s="11"/>
      <c r="C714" s="11"/>
    </row>
    <row r="715" spans="1:3" ht="12.75">
      <c r="A715" s="3"/>
      <c r="B715" s="11"/>
      <c r="C715" s="11"/>
    </row>
    <row r="716" spans="1:3" ht="12.75">
      <c r="A716" s="3"/>
      <c r="B716" s="11"/>
      <c r="C716" s="11"/>
    </row>
    <row r="717" spans="1:3" ht="12.75">
      <c r="A717" s="3"/>
      <c r="B717" s="11"/>
      <c r="C717" s="11"/>
    </row>
    <row r="718" spans="1:3" ht="12.75">
      <c r="A718" s="3"/>
      <c r="B718" s="11"/>
      <c r="C718" s="11"/>
    </row>
    <row r="719" spans="1:3" ht="12.75">
      <c r="A719" s="3"/>
      <c r="B719" s="11"/>
      <c r="C719" s="11"/>
    </row>
    <row r="720" spans="1:3" ht="12.75">
      <c r="A720" s="3"/>
      <c r="B720" s="11"/>
      <c r="C720" s="11"/>
    </row>
    <row r="721" spans="1:3" ht="12.75">
      <c r="A721" s="3"/>
      <c r="B721" s="11"/>
      <c r="C721" s="11"/>
    </row>
    <row r="722" spans="1:3" ht="12.75">
      <c r="A722" s="3"/>
      <c r="B722" s="11"/>
      <c r="C722" s="11"/>
    </row>
    <row r="723" spans="1:3" ht="12.75">
      <c r="A723" s="3"/>
      <c r="B723" s="11"/>
      <c r="C723" s="11"/>
    </row>
    <row r="724" spans="1:3" ht="12.75">
      <c r="A724" s="3"/>
      <c r="B724" s="11"/>
      <c r="C724" s="11"/>
    </row>
    <row r="725" spans="1:3" ht="12.75">
      <c r="A725" s="3"/>
      <c r="B725" s="11"/>
      <c r="C725" s="11"/>
    </row>
    <row r="726" spans="1:3" ht="12.75">
      <c r="A726" s="3"/>
      <c r="B726" s="11"/>
      <c r="C726" s="11"/>
    </row>
    <row r="727" spans="1:3" ht="12.75">
      <c r="A727" s="3"/>
      <c r="B727" s="11"/>
      <c r="C727" s="11"/>
    </row>
    <row r="728" spans="1:3" ht="12.75">
      <c r="A728" s="3"/>
      <c r="B728" s="11"/>
      <c r="C728" s="11"/>
    </row>
    <row r="729" spans="1:3" ht="12.75">
      <c r="A729" s="3"/>
      <c r="B729" s="11"/>
      <c r="C729" s="11"/>
    </row>
    <row r="730" spans="1:3" ht="12.75">
      <c r="A730" s="3"/>
      <c r="B730" s="11"/>
      <c r="C730" s="11"/>
    </row>
    <row r="731" spans="1:3" ht="12.75">
      <c r="A731" s="3"/>
      <c r="B731" s="11"/>
      <c r="C731" s="11"/>
    </row>
    <row r="732" spans="1:3" ht="12.75">
      <c r="A732" s="3"/>
      <c r="B732" s="11"/>
      <c r="C732" s="11"/>
    </row>
    <row r="733" spans="1:3" ht="12.75">
      <c r="A733" s="3"/>
      <c r="B733" s="11"/>
      <c r="C733" s="11"/>
    </row>
    <row r="734" spans="1:3" ht="12.75">
      <c r="A734" s="3"/>
      <c r="B734" s="11"/>
      <c r="C734" s="11"/>
    </row>
    <row r="735" spans="1:3" ht="12.75">
      <c r="A735" s="3"/>
      <c r="B735" s="11"/>
      <c r="C735" s="11"/>
    </row>
    <row r="736" spans="1:3" ht="12.75">
      <c r="A736" s="3"/>
      <c r="B736" s="11"/>
      <c r="C736" s="11"/>
    </row>
    <row r="737" spans="1:3" ht="12.75">
      <c r="A737" s="3"/>
      <c r="B737" s="11"/>
      <c r="C737" s="11"/>
    </row>
    <row r="738" spans="1:3" ht="12.75">
      <c r="A738" s="3"/>
      <c r="B738" s="11"/>
      <c r="C738" s="11"/>
    </row>
    <row r="739" spans="1:3" ht="12.75">
      <c r="A739" s="3"/>
      <c r="B739" s="11"/>
      <c r="C739" s="11"/>
    </row>
    <row r="740" spans="1:3" ht="12.75">
      <c r="A740" s="3"/>
      <c r="B740" s="11"/>
      <c r="C740" s="11"/>
    </row>
    <row r="741" spans="1:3" ht="12.75">
      <c r="A741" s="3"/>
      <c r="B741" s="11"/>
      <c r="C741" s="11"/>
    </row>
    <row r="742" spans="1:3" ht="12.75">
      <c r="A742" s="3"/>
      <c r="B742" s="11"/>
      <c r="C742" s="11"/>
    </row>
    <row r="743" spans="1:3" ht="12.75">
      <c r="A743" s="3"/>
      <c r="B743" s="11"/>
      <c r="C743" s="11"/>
    </row>
    <row r="744" spans="1:3" ht="12.75">
      <c r="A744" s="3"/>
      <c r="B744" s="11"/>
      <c r="C744" s="11"/>
    </row>
    <row r="745" spans="1:3" ht="12.75">
      <c r="A745" s="3"/>
      <c r="B745" s="11"/>
      <c r="C745" s="11"/>
    </row>
    <row r="746" spans="1:3" ht="12.75">
      <c r="A746" s="3"/>
      <c r="B746" s="11"/>
      <c r="C746" s="11"/>
    </row>
    <row r="747" spans="1:3" ht="12.75">
      <c r="A747" s="3"/>
      <c r="B747" s="11"/>
      <c r="C747" s="11"/>
    </row>
    <row r="748" spans="1:3" ht="12.75">
      <c r="A748" s="3"/>
      <c r="B748" s="11"/>
      <c r="C748" s="11"/>
    </row>
    <row r="749" spans="1:3" ht="12.75">
      <c r="A749" s="3"/>
      <c r="B749" s="11"/>
      <c r="C749" s="11"/>
    </row>
    <row r="750" spans="1:3" ht="12.75">
      <c r="A750" s="3"/>
      <c r="B750" s="11"/>
      <c r="C750" s="11"/>
    </row>
    <row r="751" spans="1:3" ht="12.75">
      <c r="A751" s="3"/>
      <c r="B751" s="11"/>
      <c r="C751" s="11"/>
    </row>
    <row r="752" spans="1:3" ht="12.75">
      <c r="A752" s="3"/>
      <c r="B752" s="11"/>
      <c r="C752" s="11"/>
    </row>
    <row r="753" spans="1:3" ht="12.75">
      <c r="A753" s="3"/>
      <c r="B753" s="11"/>
      <c r="C753" s="11"/>
    </row>
    <row r="754" spans="1:3" ht="12.75">
      <c r="A754" s="3"/>
      <c r="B754" s="11"/>
      <c r="C754" s="11"/>
    </row>
    <row r="755" spans="1:3" ht="12.75">
      <c r="A755" s="3"/>
      <c r="B755" s="11"/>
      <c r="C755" s="11"/>
    </row>
    <row r="756" spans="1:3" ht="12.75">
      <c r="A756" s="3"/>
      <c r="B756" s="11"/>
      <c r="C756" s="11"/>
    </row>
    <row r="757" spans="1:3" ht="12.75">
      <c r="A757" s="3"/>
      <c r="B757" s="11"/>
      <c r="C757" s="11"/>
    </row>
    <row r="758" spans="1:3" ht="12.75">
      <c r="A758" s="3"/>
      <c r="B758" s="11"/>
      <c r="C758" s="11"/>
    </row>
    <row r="759" spans="1:3" ht="12.75">
      <c r="A759" s="3"/>
      <c r="B759" s="11"/>
      <c r="C759" s="11"/>
    </row>
    <row r="760" spans="1:3" ht="12.75">
      <c r="A760" s="3"/>
      <c r="B760" s="11"/>
      <c r="C760" s="11"/>
    </row>
    <row r="761" spans="1:3" ht="12.75">
      <c r="A761" s="3"/>
      <c r="B761" s="11"/>
      <c r="C761" s="11"/>
    </row>
    <row r="762" spans="1:3" ht="12.75">
      <c r="A762" s="3"/>
      <c r="B762" s="11"/>
      <c r="C762" s="11"/>
    </row>
    <row r="763" spans="1:3" ht="12.75">
      <c r="A763" s="3"/>
      <c r="B763" s="11"/>
      <c r="C763" s="11"/>
    </row>
    <row r="764" spans="1:3" ht="12.75">
      <c r="A764" s="3"/>
      <c r="B764" s="11"/>
      <c r="C764" s="11"/>
    </row>
    <row r="765" spans="1:3" ht="12.75">
      <c r="A765" s="3"/>
      <c r="B765" s="11"/>
      <c r="C765" s="11"/>
    </row>
    <row r="766" spans="1:3" ht="12.75">
      <c r="A766" s="3"/>
      <c r="B766" s="11"/>
      <c r="C766" s="11"/>
    </row>
    <row r="767" spans="1:3" ht="12.75">
      <c r="A767" s="3"/>
      <c r="B767" s="11"/>
      <c r="C767" s="11"/>
    </row>
    <row r="768" spans="1:3" ht="12.75">
      <c r="A768" s="3"/>
      <c r="B768" s="11"/>
      <c r="C768" s="11"/>
    </row>
    <row r="769" spans="1:3" ht="12.75">
      <c r="A769" s="3"/>
      <c r="B769" s="11"/>
      <c r="C769" s="11"/>
    </row>
    <row r="770" spans="1:3" ht="12.75">
      <c r="A770" s="3"/>
      <c r="B770" s="11"/>
      <c r="C770" s="11"/>
    </row>
    <row r="771" spans="1:3" ht="12.75">
      <c r="A771" s="3"/>
      <c r="B771" s="11"/>
      <c r="C771" s="11"/>
    </row>
    <row r="772" spans="1:3" ht="12.75">
      <c r="A772" s="3"/>
      <c r="B772" s="11"/>
      <c r="C772" s="11"/>
    </row>
    <row r="773" spans="1:3" ht="12.75">
      <c r="A773" s="3"/>
      <c r="B773" s="11"/>
      <c r="C773" s="11"/>
    </row>
    <row r="774" spans="1:3" ht="12.75">
      <c r="A774" s="3"/>
      <c r="B774" s="11"/>
      <c r="C774" s="11"/>
    </row>
    <row r="775" spans="1:3" ht="12.75">
      <c r="A775" s="3"/>
      <c r="B775" s="11"/>
      <c r="C775" s="11"/>
    </row>
    <row r="776" spans="1:3" ht="12.75">
      <c r="A776" s="3"/>
      <c r="B776" s="11"/>
      <c r="C776" s="11"/>
    </row>
    <row r="777" spans="1:3" ht="12.75">
      <c r="A777" s="3"/>
      <c r="B777" s="11"/>
      <c r="C777" s="11"/>
    </row>
    <row r="778" spans="1:3" ht="12.75">
      <c r="A778" s="3"/>
      <c r="B778" s="11"/>
      <c r="C778" s="11"/>
    </row>
    <row r="779" spans="1:3" ht="12.75">
      <c r="A779" s="3"/>
      <c r="B779" s="11"/>
      <c r="C779" s="11"/>
    </row>
    <row r="780" spans="1:3" ht="12.75">
      <c r="A780" s="3"/>
      <c r="B780" s="11"/>
      <c r="C780" s="11"/>
    </row>
    <row r="781" spans="1:3" ht="12.75">
      <c r="A781" s="3"/>
      <c r="B781" s="11"/>
      <c r="C781" s="11"/>
    </row>
    <row r="782" spans="1:3" ht="12.75">
      <c r="A782" s="3"/>
      <c r="B782" s="11"/>
      <c r="C782" s="11"/>
    </row>
    <row r="783" spans="1:3" ht="12.75">
      <c r="A783" s="3"/>
      <c r="B783" s="11"/>
      <c r="C783" s="11"/>
    </row>
    <row r="784" spans="1:3" ht="12.75">
      <c r="A784" s="3"/>
      <c r="B784" s="11"/>
      <c r="C784" s="11"/>
    </row>
    <row r="785" spans="1:3" ht="12.75">
      <c r="A785" s="3"/>
      <c r="B785" s="11"/>
      <c r="C785" s="11"/>
    </row>
    <row r="786" spans="1:3" ht="12.75">
      <c r="A786" s="3"/>
      <c r="B786" s="11"/>
      <c r="C786" s="11"/>
    </row>
    <row r="787" spans="1:3" ht="12.75">
      <c r="A787" s="3"/>
      <c r="B787" s="11"/>
      <c r="C787" s="11"/>
    </row>
    <row r="788" spans="1:3" ht="12.75">
      <c r="A788" s="3"/>
      <c r="B788" s="11"/>
      <c r="C788" s="11"/>
    </row>
    <row r="789" spans="1:3" ht="12.75">
      <c r="A789" s="3"/>
      <c r="B789" s="11"/>
      <c r="C789" s="11"/>
    </row>
    <row r="790" spans="1:3" ht="12.75">
      <c r="A790" s="3"/>
      <c r="B790" s="11"/>
      <c r="C790" s="11"/>
    </row>
    <row r="791" spans="1:3" ht="12.75">
      <c r="A791" s="3"/>
      <c r="B791" s="11"/>
      <c r="C791" s="11"/>
    </row>
    <row r="792" spans="1:3" ht="12.75">
      <c r="A792" s="3"/>
      <c r="B792" s="11"/>
      <c r="C792" s="11"/>
    </row>
    <row r="793" spans="1:3" ht="12.75">
      <c r="A793" s="3"/>
      <c r="B793" s="11"/>
      <c r="C793" s="11"/>
    </row>
    <row r="794" spans="1:3" ht="12.75">
      <c r="A794" s="3"/>
      <c r="B794" s="11"/>
      <c r="C794" s="11"/>
    </row>
    <row r="795" spans="1:3" ht="12.75">
      <c r="A795" s="3"/>
      <c r="B795" s="11"/>
      <c r="C795" s="11"/>
    </row>
    <row r="796" spans="1:3" ht="12.75">
      <c r="A796" s="3"/>
      <c r="B796" s="11"/>
      <c r="C796" s="11"/>
    </row>
    <row r="797" spans="1:3" ht="12.75">
      <c r="A797" s="3"/>
      <c r="B797" s="11"/>
      <c r="C797" s="11"/>
    </row>
    <row r="798" spans="1:3" ht="12.75">
      <c r="A798" s="3"/>
      <c r="B798" s="11"/>
      <c r="C798" s="11"/>
    </row>
    <row r="799" spans="1:3" ht="12.75">
      <c r="A799" s="3"/>
      <c r="B799" s="11"/>
      <c r="C799" s="11"/>
    </row>
    <row r="800" spans="1:3" ht="12.75">
      <c r="A800" s="3"/>
      <c r="B800" s="11"/>
      <c r="C800" s="11"/>
    </row>
    <row r="801" spans="1:3" ht="12.75">
      <c r="A801" s="3"/>
      <c r="B801" s="11"/>
      <c r="C801" s="11"/>
    </row>
    <row r="802" spans="1:3" ht="12.75">
      <c r="A802" s="3"/>
      <c r="B802" s="11"/>
      <c r="C802" s="11"/>
    </row>
    <row r="803" spans="1:3" ht="12.75">
      <c r="A803" s="3"/>
      <c r="B803" s="11"/>
      <c r="C803" s="11"/>
    </row>
    <row r="804" spans="1:3" ht="12.75">
      <c r="A804" s="3"/>
      <c r="B804" s="11"/>
      <c r="C804" s="11"/>
    </row>
    <row r="805" spans="1:3" ht="12.75">
      <c r="A805" s="3"/>
      <c r="B805" s="11"/>
      <c r="C805" s="11"/>
    </row>
    <row r="806" spans="1:3" ht="12.75">
      <c r="A806" s="3"/>
      <c r="B806" s="11"/>
      <c r="C806" s="11"/>
    </row>
    <row r="807" spans="1:3" ht="12.75">
      <c r="A807" s="3"/>
      <c r="B807" s="11"/>
      <c r="C807" s="11"/>
    </row>
    <row r="808" spans="1:3" ht="12.75">
      <c r="A808" s="3"/>
      <c r="B808" s="11"/>
      <c r="C808" s="11"/>
    </row>
    <row r="809" spans="1:3" ht="12.75">
      <c r="A809" s="3"/>
      <c r="B809" s="11"/>
      <c r="C809" s="11"/>
    </row>
    <row r="810" spans="1:3" ht="12.75">
      <c r="A810" s="3"/>
      <c r="B810" s="11"/>
      <c r="C810" s="11"/>
    </row>
    <row r="811" spans="1:3" ht="12.75">
      <c r="A811" s="3"/>
      <c r="B811" s="11"/>
      <c r="C811" s="11"/>
    </row>
    <row r="812" spans="1:3" ht="12.75">
      <c r="A812" s="3"/>
      <c r="B812" s="11"/>
      <c r="C812" s="11"/>
    </row>
    <row r="813" spans="1:3" ht="12.75">
      <c r="A813" s="3"/>
      <c r="B813" s="11"/>
      <c r="C813" s="11"/>
    </row>
    <row r="814" spans="1:3" ht="12.75">
      <c r="A814" s="3"/>
      <c r="B814" s="11"/>
      <c r="C814" s="11"/>
    </row>
    <row r="815" spans="1:3" ht="12.75">
      <c r="A815" s="3"/>
      <c r="B815" s="11"/>
      <c r="C815" s="11"/>
    </row>
    <row r="816" spans="1:3" ht="12.75">
      <c r="A816" s="3"/>
      <c r="B816" s="11"/>
      <c r="C816" s="11"/>
    </row>
    <row r="817" spans="1:3" ht="12.75">
      <c r="A817" s="3"/>
      <c r="B817" s="11"/>
      <c r="C817" s="11"/>
    </row>
    <row r="818" spans="1:3" ht="12.75">
      <c r="A818" s="3"/>
      <c r="B818" s="11"/>
      <c r="C818" s="11"/>
    </row>
    <row r="819" spans="1:3" ht="12.75">
      <c r="A819" s="3"/>
      <c r="B819" s="11"/>
      <c r="C819" s="11"/>
    </row>
    <row r="820" spans="1:3" ht="12.75">
      <c r="A820" s="3"/>
      <c r="B820" s="11"/>
      <c r="C820" s="11"/>
    </row>
    <row r="821" spans="1:3" ht="12.75">
      <c r="A821" s="3"/>
      <c r="B821" s="11"/>
      <c r="C821" s="11"/>
    </row>
    <row r="822" spans="1:3" ht="12.75">
      <c r="A822" s="3"/>
      <c r="B822" s="11"/>
      <c r="C822" s="11"/>
    </row>
    <row r="823" spans="1:3" ht="12.75">
      <c r="A823" s="3"/>
      <c r="B823" s="11"/>
      <c r="C823" s="11"/>
    </row>
    <row r="824" spans="1:3" ht="12.75">
      <c r="A824" s="3"/>
      <c r="B824" s="11"/>
      <c r="C824" s="11"/>
    </row>
    <row r="825" spans="1:3" ht="12.75">
      <c r="A825" s="3"/>
      <c r="B825" s="11"/>
      <c r="C825" s="11"/>
    </row>
    <row r="826" spans="1:3" ht="12.75">
      <c r="A826" s="3"/>
      <c r="B826" s="11"/>
      <c r="C826" s="11"/>
    </row>
    <row r="827" spans="1:3" ht="12.75">
      <c r="A827" s="3"/>
      <c r="B827" s="11"/>
      <c r="C827" s="11"/>
    </row>
    <row r="828" spans="1:3" ht="12.75">
      <c r="A828" s="3"/>
      <c r="B828" s="11"/>
      <c r="C828" s="11"/>
    </row>
    <row r="829" spans="1:3" ht="12.75">
      <c r="A829" s="3"/>
      <c r="B829" s="11"/>
      <c r="C829" s="11"/>
    </row>
    <row r="830" spans="1:3" ht="12.75">
      <c r="A830" s="3"/>
      <c r="B830" s="11"/>
      <c r="C830" s="11"/>
    </row>
    <row r="831" spans="1:3" ht="12.75">
      <c r="A831" s="3"/>
      <c r="B831" s="11"/>
      <c r="C831" s="11"/>
    </row>
    <row r="832" spans="1:3" ht="12.75">
      <c r="A832" s="3"/>
      <c r="B832" s="11"/>
      <c r="C832" s="11"/>
    </row>
    <row r="833" spans="1:3" ht="12.75">
      <c r="A833" s="3"/>
      <c r="B833" s="11"/>
      <c r="C833" s="11"/>
    </row>
    <row r="834" spans="1:3" ht="12.75">
      <c r="A834" s="3"/>
      <c r="B834" s="11"/>
      <c r="C834" s="11"/>
    </row>
    <row r="835" spans="1:3" ht="12.75">
      <c r="A835" s="3"/>
      <c r="B835" s="11"/>
      <c r="C835" s="11"/>
    </row>
    <row r="836" spans="1:3" ht="12.75">
      <c r="A836" s="3"/>
      <c r="B836" s="11"/>
      <c r="C836" s="11"/>
    </row>
    <row r="837" spans="1:3" ht="12.75">
      <c r="A837" s="3"/>
      <c r="B837" s="11"/>
      <c r="C837" s="11"/>
    </row>
    <row r="838" spans="1:3" ht="12.75">
      <c r="A838" s="3"/>
      <c r="B838" s="11"/>
      <c r="C838" s="11"/>
    </row>
    <row r="839" spans="1:3" ht="12.75">
      <c r="A839" s="3"/>
      <c r="B839" s="11"/>
      <c r="C839" s="11"/>
    </row>
    <row r="840" spans="1:3" ht="12.75">
      <c r="A840" s="3"/>
      <c r="B840" s="11"/>
      <c r="C840" s="11"/>
    </row>
    <row r="841" spans="1:3" ht="12.75">
      <c r="A841" s="3"/>
      <c r="B841" s="11"/>
      <c r="C841" s="11"/>
    </row>
    <row r="842" spans="1:3" ht="12.75">
      <c r="A842" s="3"/>
      <c r="B842" s="11"/>
      <c r="C842" s="11"/>
    </row>
    <row r="843" spans="1:3" ht="12.75">
      <c r="A843" s="3"/>
      <c r="B843" s="11"/>
      <c r="C843" s="11"/>
    </row>
    <row r="844" spans="1:3" ht="12.75">
      <c r="A844" s="3"/>
      <c r="B844" s="11"/>
      <c r="C844" s="11"/>
    </row>
    <row r="845" spans="1:3" ht="12.75">
      <c r="A845" s="3"/>
      <c r="B845" s="11"/>
      <c r="C845" s="11"/>
    </row>
    <row r="846" spans="1:3" ht="12.75">
      <c r="A846" s="3"/>
      <c r="B846" s="11"/>
      <c r="C846" s="11"/>
    </row>
    <row r="847" spans="1:3" ht="12.75">
      <c r="A847" s="3"/>
      <c r="B847" s="11"/>
      <c r="C847" s="11"/>
    </row>
    <row r="848" spans="1:3" ht="12.75">
      <c r="A848" s="3"/>
      <c r="B848" s="11"/>
      <c r="C848" s="11"/>
    </row>
    <row r="849" spans="1:3" ht="12.75">
      <c r="A849" s="3"/>
      <c r="B849" s="11"/>
      <c r="C849" s="11"/>
    </row>
    <row r="850" spans="1:3" ht="12.75">
      <c r="A850" s="3"/>
      <c r="B850" s="11"/>
      <c r="C850" s="11"/>
    </row>
    <row r="851" spans="1:3" ht="12.75">
      <c r="A851" s="3"/>
      <c r="B851" s="11"/>
      <c r="C851" s="11"/>
    </row>
    <row r="852" spans="1:3" ht="12.75">
      <c r="A852" s="3"/>
      <c r="B852" s="11"/>
      <c r="C852" s="11"/>
    </row>
    <row r="853" spans="1:3" ht="12.75">
      <c r="A853" s="3"/>
      <c r="B853" s="11"/>
      <c r="C853" s="11"/>
    </row>
    <row r="854" spans="1:3" ht="12.75">
      <c r="A854" s="3"/>
      <c r="B854" s="11"/>
      <c r="C854" s="11"/>
    </row>
    <row r="855" spans="1:3" ht="12.75">
      <c r="A855" s="3"/>
      <c r="B855" s="11"/>
      <c r="C855" s="11"/>
    </row>
    <row r="856" spans="1:3" ht="12.75">
      <c r="A856" s="3"/>
      <c r="B856" s="11"/>
      <c r="C856" s="11"/>
    </row>
    <row r="857" spans="1:3" ht="12.75">
      <c r="A857" s="3"/>
      <c r="B857" s="11"/>
      <c r="C857" s="11"/>
    </row>
    <row r="858" spans="1:3" ht="12.75">
      <c r="A858" s="3"/>
      <c r="B858" s="11"/>
      <c r="C858" s="11"/>
    </row>
    <row r="859" spans="1:3" ht="12.75">
      <c r="A859" s="3"/>
      <c r="B859" s="11"/>
      <c r="C859" s="11"/>
    </row>
    <row r="860" spans="1:3" ht="12.75">
      <c r="A860" s="3"/>
      <c r="B860" s="11"/>
      <c r="C860" s="11"/>
    </row>
    <row r="861" spans="1:3" ht="12.75">
      <c r="A861" s="3"/>
      <c r="B861" s="11"/>
      <c r="C861" s="11"/>
    </row>
    <row r="862" spans="1:3" ht="12.75">
      <c r="A862" s="3"/>
      <c r="B862" s="11"/>
      <c r="C862" s="11"/>
    </row>
    <row r="863" spans="1:3" ht="12.75">
      <c r="A863" s="3"/>
      <c r="B863" s="11"/>
      <c r="C863" s="11"/>
    </row>
    <row r="864" spans="1:3" ht="12.75">
      <c r="A864" s="3"/>
      <c r="B864" s="11"/>
      <c r="C864" s="11"/>
    </row>
    <row r="865" spans="1:3" ht="12.75">
      <c r="A865" s="3"/>
      <c r="B865" s="11"/>
      <c r="C865" s="11"/>
    </row>
    <row r="866" spans="1:3" ht="12.75">
      <c r="A866" s="3"/>
      <c r="B866" s="11"/>
      <c r="C866" s="11"/>
    </row>
    <row r="867" spans="1:3" ht="12.75">
      <c r="A867" s="3"/>
      <c r="B867" s="11"/>
      <c r="C867" s="11"/>
    </row>
    <row r="868" spans="1:3" ht="12.75">
      <c r="A868" s="3"/>
      <c r="B868" s="11"/>
      <c r="C868" s="11"/>
    </row>
    <row r="869" spans="1:3" ht="12.75">
      <c r="A869" s="3"/>
      <c r="B869" s="11"/>
      <c r="C869" s="11"/>
    </row>
    <row r="870" spans="1:3" ht="12.75">
      <c r="A870" s="3"/>
      <c r="B870" s="11"/>
      <c r="C870" s="11"/>
    </row>
    <row r="871" spans="1:3" ht="12.75">
      <c r="A871" s="3"/>
      <c r="B871" s="11"/>
      <c r="C871" s="11"/>
    </row>
    <row r="872" spans="1:3" ht="12.75">
      <c r="A872" s="3"/>
      <c r="B872" s="11"/>
      <c r="C872" s="11"/>
    </row>
    <row r="873" spans="1:3" ht="12.75">
      <c r="A873" s="3"/>
      <c r="B873" s="11"/>
      <c r="C873" s="11"/>
    </row>
    <row r="874" spans="1:3" ht="12.75">
      <c r="A874" s="3"/>
      <c r="B874" s="11"/>
      <c r="C874" s="11"/>
    </row>
    <row r="875" spans="1:3" ht="12.75">
      <c r="A875" s="3"/>
      <c r="B875" s="11"/>
      <c r="C875" s="11"/>
    </row>
    <row r="876" spans="1:3" ht="12.75">
      <c r="A876" s="3"/>
      <c r="B876" s="11"/>
      <c r="C876" s="11"/>
    </row>
    <row r="877" spans="1:3" ht="12.75">
      <c r="A877" s="3"/>
      <c r="B877" s="11"/>
      <c r="C877" s="11"/>
    </row>
    <row r="878" spans="1:3" ht="12.75">
      <c r="A878" s="3"/>
      <c r="B878" s="11"/>
      <c r="C878" s="11"/>
    </row>
    <row r="879" spans="1:3" ht="12.75">
      <c r="A879" s="3"/>
      <c r="B879" s="11"/>
      <c r="C879" s="11"/>
    </row>
    <row r="880" spans="1:3" ht="12.75">
      <c r="A880" s="3"/>
      <c r="B880" s="11"/>
      <c r="C880" s="11"/>
    </row>
    <row r="881" spans="1:3" ht="12.75">
      <c r="A881" s="3"/>
      <c r="B881" s="11"/>
      <c r="C881" s="11"/>
    </row>
    <row r="882" spans="1:3" ht="12.75">
      <c r="A882" s="3"/>
      <c r="B882" s="11"/>
      <c r="C882" s="11"/>
    </row>
    <row r="883" spans="1:3" ht="12.75">
      <c r="A883" s="3"/>
      <c r="B883" s="11"/>
      <c r="C883" s="11"/>
    </row>
    <row r="884" spans="1:3" ht="12.75">
      <c r="A884" s="3"/>
      <c r="B884" s="11"/>
      <c r="C884" s="11"/>
    </row>
    <row r="885" spans="1:3" ht="12.75">
      <c r="A885" s="3"/>
      <c r="B885" s="11"/>
      <c r="C885" s="11"/>
    </row>
    <row r="886" spans="1:3" ht="12.75">
      <c r="A886" s="3"/>
      <c r="B886" s="11"/>
      <c r="C886" s="11"/>
    </row>
    <row r="887" spans="1:3" ht="12.75">
      <c r="A887" s="3"/>
      <c r="B887" s="11"/>
      <c r="C887" s="11"/>
    </row>
    <row r="888" spans="1:3" ht="12.75">
      <c r="A888" s="3"/>
      <c r="B888" s="11"/>
      <c r="C888" s="11"/>
    </row>
    <row r="889" spans="1:3" ht="12.75">
      <c r="A889" s="3"/>
      <c r="B889" s="11"/>
      <c r="C889" s="11"/>
    </row>
    <row r="890" spans="1:3" ht="12.75">
      <c r="A890" s="3"/>
      <c r="B890" s="11"/>
      <c r="C890" s="11"/>
    </row>
    <row r="891" spans="1:3" ht="12.75">
      <c r="A891" s="3"/>
      <c r="B891" s="11"/>
      <c r="C891" s="11"/>
    </row>
    <row r="892" spans="1:3" ht="12.75">
      <c r="A892" s="3"/>
      <c r="B892" s="11"/>
      <c r="C892" s="11"/>
    </row>
    <row r="893" spans="1:3" ht="12.75">
      <c r="A893" s="3"/>
      <c r="B893" s="11"/>
      <c r="C893" s="11"/>
    </row>
    <row r="894" spans="1:3" ht="12.75">
      <c r="A894" s="3"/>
      <c r="B894" s="11"/>
      <c r="C894" s="11"/>
    </row>
    <row r="895" spans="1:3" ht="12.75">
      <c r="A895" s="3"/>
      <c r="B895" s="11"/>
      <c r="C895" s="11"/>
    </row>
    <row r="896" spans="1:3" ht="12.75">
      <c r="A896" s="3"/>
      <c r="B896" s="11"/>
      <c r="C896" s="11"/>
    </row>
    <row r="897" spans="1:3" ht="12.75">
      <c r="A897" s="3"/>
      <c r="B897" s="11"/>
      <c r="C897" s="11"/>
    </row>
    <row r="898" spans="1:3" ht="12.75">
      <c r="A898" s="3"/>
      <c r="B898" s="11"/>
      <c r="C898" s="11"/>
    </row>
    <row r="899" spans="1:3" ht="12.75">
      <c r="A899" s="3"/>
      <c r="B899" s="11"/>
      <c r="C899" s="11"/>
    </row>
    <row r="900" spans="1:3" ht="12.75">
      <c r="A900" s="3"/>
      <c r="B900" s="11"/>
      <c r="C900" s="11"/>
    </row>
    <row r="901" spans="1:3" ht="12.75">
      <c r="A901" s="3"/>
      <c r="B901" s="11"/>
      <c r="C901" s="11"/>
    </row>
    <row r="902" spans="1:3" ht="12.75">
      <c r="A902" s="3"/>
      <c r="B902" s="11"/>
      <c r="C902" s="11"/>
    </row>
    <row r="903" spans="1:3" ht="12.75">
      <c r="A903" s="3"/>
      <c r="B903" s="11"/>
      <c r="C903" s="11"/>
    </row>
    <row r="904" spans="1:3" ht="12.75">
      <c r="A904" s="3"/>
      <c r="B904" s="11"/>
      <c r="C904" s="11"/>
    </row>
    <row r="905" spans="1:3" ht="12.75">
      <c r="A905" s="3"/>
      <c r="B905" s="11"/>
      <c r="C905" s="11"/>
    </row>
    <row r="906" spans="1:3" ht="12.75">
      <c r="A906" s="3"/>
      <c r="B906" s="11"/>
      <c r="C906" s="11"/>
    </row>
    <row r="907" spans="1:3" ht="12.75">
      <c r="A907" s="3"/>
      <c r="B907" s="11"/>
      <c r="C907" s="11"/>
    </row>
    <row r="908" spans="1:3" ht="12.75">
      <c r="A908" s="3"/>
      <c r="B908" s="11"/>
      <c r="C908" s="11"/>
    </row>
    <row r="909" spans="1:3" ht="12.75">
      <c r="A909" s="3"/>
      <c r="B909" s="11"/>
      <c r="C909" s="11"/>
    </row>
    <row r="910" spans="1:3" ht="12.75">
      <c r="A910" s="3"/>
      <c r="B910" s="11"/>
      <c r="C910" s="11"/>
    </row>
    <row r="911" spans="1:3" ht="12.75">
      <c r="A911" s="3"/>
      <c r="B911" s="11"/>
      <c r="C911" s="11"/>
    </row>
    <row r="912" spans="1:3" ht="12.75">
      <c r="A912" s="3"/>
      <c r="B912" s="11"/>
      <c r="C912" s="11"/>
    </row>
    <row r="913" spans="1:3" ht="12.75">
      <c r="A913" s="3"/>
      <c r="B913" s="11"/>
      <c r="C913" s="11"/>
    </row>
    <row r="914" spans="1:3" ht="12.75">
      <c r="A914" s="3"/>
      <c r="B914" s="11"/>
      <c r="C914" s="11"/>
    </row>
    <row r="915" spans="1:3" ht="12.75">
      <c r="A915" s="3"/>
      <c r="B915" s="11"/>
      <c r="C915" s="11"/>
    </row>
    <row r="916" spans="1:3" ht="12.75">
      <c r="A916" s="3"/>
      <c r="B916" s="11"/>
      <c r="C916" s="11"/>
    </row>
    <row r="917" spans="1:3" ht="12.75">
      <c r="A917" s="3"/>
      <c r="B917" s="11"/>
      <c r="C917" s="11"/>
    </row>
    <row r="918" spans="1:3" ht="12.75">
      <c r="A918" s="3"/>
      <c r="B918" s="11"/>
      <c r="C918" s="11"/>
    </row>
    <row r="919" spans="1:3" ht="12.75">
      <c r="A919" s="3"/>
      <c r="B919" s="11"/>
      <c r="C919" s="11"/>
    </row>
    <row r="920" spans="1:3" ht="12.75">
      <c r="A920" s="3"/>
      <c r="B920" s="11"/>
      <c r="C920" s="11"/>
    </row>
    <row r="921" spans="1:3" ht="12.75">
      <c r="A921" s="3"/>
      <c r="B921" s="11"/>
      <c r="C921" s="11"/>
    </row>
    <row r="922" spans="1:3" ht="12.75">
      <c r="A922" s="3"/>
      <c r="B922" s="11"/>
      <c r="C922" s="11"/>
    </row>
    <row r="923" spans="1:3" ht="12.75">
      <c r="A923" s="3"/>
      <c r="B923" s="11"/>
      <c r="C923" s="11"/>
    </row>
    <row r="924" spans="1:3" ht="12.75">
      <c r="A924" s="3"/>
      <c r="B924" s="11"/>
      <c r="C924" s="11"/>
    </row>
    <row r="925" spans="1:3" ht="12.75">
      <c r="A925" s="3"/>
      <c r="B925" s="11"/>
      <c r="C925" s="11"/>
    </row>
    <row r="926" spans="1:3" ht="12.75">
      <c r="A926" s="3"/>
      <c r="B926" s="11"/>
      <c r="C926" s="11"/>
    </row>
    <row r="927" spans="1:3" ht="12.75">
      <c r="A927" s="3"/>
      <c r="B927" s="11"/>
      <c r="C927" s="11"/>
    </row>
    <row r="928" spans="1:3" ht="12.75">
      <c r="A928" s="3"/>
      <c r="B928" s="11"/>
      <c r="C928" s="11"/>
    </row>
    <row r="929" spans="1:3" ht="12.75">
      <c r="A929" s="3"/>
      <c r="B929" s="11"/>
      <c r="C929" s="11"/>
    </row>
    <row r="930" spans="1:3" ht="12.75">
      <c r="A930" s="3"/>
      <c r="B930" s="11"/>
      <c r="C930" s="11"/>
    </row>
    <row r="931" spans="1:3" ht="12.75">
      <c r="A931" s="3"/>
      <c r="B931" s="11"/>
      <c r="C931" s="11"/>
    </row>
    <row r="932" spans="1:3" ht="12.75">
      <c r="A932" s="3"/>
      <c r="B932" s="11"/>
      <c r="C932" s="11"/>
    </row>
    <row r="933" spans="1:3" ht="12.75">
      <c r="A933" s="3"/>
      <c r="B933" s="11"/>
      <c r="C933" s="11"/>
    </row>
    <row r="934" spans="1:3" ht="12.75">
      <c r="A934" s="3"/>
      <c r="B934" s="11"/>
      <c r="C934" s="11"/>
    </row>
    <row r="935" spans="1:3" ht="12.75">
      <c r="A935" s="3"/>
      <c r="B935" s="11"/>
      <c r="C935" s="11"/>
    </row>
    <row r="936" spans="1:3" ht="12.75">
      <c r="A936" s="3"/>
      <c r="B936" s="11"/>
      <c r="C936" s="11"/>
    </row>
    <row r="937" spans="1:3" ht="12.75">
      <c r="A937" s="3"/>
      <c r="B937" s="11"/>
      <c r="C937" s="11"/>
    </row>
    <row r="938" spans="1:3" ht="12.75">
      <c r="A938" s="3"/>
      <c r="B938" s="11"/>
      <c r="C938" s="11"/>
    </row>
    <row r="939" spans="1:3" ht="12.75">
      <c r="A939" s="3"/>
      <c r="B939" s="11"/>
      <c r="C939" s="11"/>
    </row>
    <row r="940" spans="1:3" ht="12.75">
      <c r="A940" s="3"/>
      <c r="B940" s="11"/>
      <c r="C940" s="11"/>
    </row>
    <row r="941" spans="1:3" ht="12.75">
      <c r="A941" s="3"/>
      <c r="B941" s="11"/>
      <c r="C941" s="11"/>
    </row>
    <row r="942" spans="1:3" ht="12.75">
      <c r="A942" s="3"/>
      <c r="B942" s="11"/>
      <c r="C942" s="11"/>
    </row>
    <row r="943" spans="1:3" ht="12.75">
      <c r="A943" s="3"/>
      <c r="B943" s="11"/>
      <c r="C943" s="11"/>
    </row>
    <row r="944" spans="1:3" ht="12.75">
      <c r="A944" s="3"/>
      <c r="B944" s="11"/>
      <c r="C944" s="11"/>
    </row>
    <row r="945" spans="1:3" ht="12.75">
      <c r="A945" s="3"/>
      <c r="B945" s="11"/>
      <c r="C945" s="11"/>
    </row>
    <row r="946" spans="1:3" ht="12.75">
      <c r="A946" s="3"/>
      <c r="B946" s="11"/>
      <c r="C946" s="11"/>
    </row>
    <row r="947" spans="1:3" ht="12.75">
      <c r="A947" s="3"/>
      <c r="B947" s="11"/>
      <c r="C947" s="11"/>
    </row>
    <row r="948" spans="1:3" ht="12.75">
      <c r="A948" s="3"/>
      <c r="B948" s="11"/>
      <c r="C948" s="11"/>
    </row>
    <row r="949" spans="1:3" ht="12.75">
      <c r="A949" s="3"/>
      <c r="B949" s="11"/>
      <c r="C949" s="11"/>
    </row>
    <row r="950" spans="1:3" ht="12.75">
      <c r="A950" s="3"/>
      <c r="B950" s="11"/>
      <c r="C950" s="11"/>
    </row>
    <row r="951" spans="1:3" ht="12.75">
      <c r="A951" s="3"/>
      <c r="B951" s="11"/>
      <c r="C951" s="11"/>
    </row>
    <row r="952" spans="1:3" ht="12.75">
      <c r="A952" s="3"/>
      <c r="B952" s="11"/>
      <c r="C952" s="11"/>
    </row>
    <row r="953" spans="1:3" ht="12.75">
      <c r="A953" s="3"/>
      <c r="B953" s="11"/>
      <c r="C953" s="11"/>
    </row>
    <row r="954" spans="1:3" ht="12.75">
      <c r="A954" s="3"/>
      <c r="B954" s="11"/>
      <c r="C954" s="11"/>
    </row>
    <row r="955" spans="1:3" ht="12.75">
      <c r="A955" s="3"/>
      <c r="B955" s="11"/>
      <c r="C955" s="11"/>
    </row>
    <row r="956" spans="1:3" ht="12.75">
      <c r="A956" s="3"/>
      <c r="B956" s="11"/>
      <c r="C956" s="11"/>
    </row>
    <row r="957" spans="1:3" ht="12.75">
      <c r="A957" s="3"/>
      <c r="B957" s="11"/>
      <c r="C957" s="11"/>
    </row>
    <row r="958" spans="1:3" ht="12.75">
      <c r="A958" s="3"/>
      <c r="B958" s="11"/>
      <c r="C958" s="11"/>
    </row>
    <row r="959" spans="1:3" ht="12.75">
      <c r="A959" s="3"/>
      <c r="B959" s="11"/>
      <c r="C959" s="11"/>
    </row>
    <row r="960" spans="1:3" ht="12.75">
      <c r="A960" s="3"/>
      <c r="B960" s="11"/>
      <c r="C960" s="11"/>
    </row>
    <row r="961" spans="1:3" ht="12.75">
      <c r="A961" s="3"/>
      <c r="B961" s="11"/>
      <c r="C961" s="11"/>
    </row>
    <row r="962" spans="1:3" ht="12.75">
      <c r="A962" s="3"/>
      <c r="B962" s="11"/>
      <c r="C962" s="11"/>
    </row>
    <row r="963" spans="1:3" ht="12.75">
      <c r="A963" s="3"/>
      <c r="B963" s="11"/>
      <c r="C963" s="11"/>
    </row>
    <row r="964" spans="1:3" ht="12.75">
      <c r="A964" s="3"/>
      <c r="B964" s="11"/>
      <c r="C964" s="11"/>
    </row>
    <row r="965" spans="1:3" ht="12.75">
      <c r="A965" s="3"/>
      <c r="B965" s="11"/>
      <c r="C965" s="11"/>
    </row>
    <row r="966" spans="1:3" ht="12.75">
      <c r="A966" s="3"/>
      <c r="B966" s="11"/>
      <c r="C966" s="11"/>
    </row>
    <row r="967" spans="1:3" ht="12.75">
      <c r="A967" s="3"/>
      <c r="B967" s="11"/>
      <c r="C967" s="11"/>
    </row>
    <row r="968" spans="1:3" ht="12.75">
      <c r="A968" s="3"/>
      <c r="B968" s="11"/>
      <c r="C968" s="11"/>
    </row>
    <row r="969" spans="1:3" ht="12.75">
      <c r="A969" s="3"/>
      <c r="B969" s="11"/>
      <c r="C969" s="11"/>
    </row>
    <row r="970" spans="1:3" ht="12.75">
      <c r="A970" s="3"/>
      <c r="B970" s="11"/>
      <c r="C970" s="11"/>
    </row>
    <row r="971" spans="1:3" ht="12.75">
      <c r="A971" s="3"/>
      <c r="B971" s="11"/>
      <c r="C971" s="11"/>
    </row>
    <row r="972" spans="1:3" ht="12.75">
      <c r="A972" s="3"/>
      <c r="B972" s="11"/>
      <c r="C972" s="11"/>
    </row>
    <row r="973" spans="1:3" ht="12.75">
      <c r="A973" s="3"/>
      <c r="B973" s="11"/>
      <c r="C973" s="11"/>
    </row>
    <row r="974" spans="1:3" ht="12.75">
      <c r="A974" s="3"/>
      <c r="B974" s="11"/>
      <c r="C974" s="11"/>
    </row>
    <row r="975" spans="1:3" ht="12.75">
      <c r="A975" s="3"/>
      <c r="B975" s="11"/>
      <c r="C975" s="11"/>
    </row>
    <row r="976" spans="1:3" ht="12.75">
      <c r="A976" s="3"/>
      <c r="B976" s="11"/>
      <c r="C976" s="11"/>
    </row>
    <row r="977" spans="1:3" ht="12.75">
      <c r="A977" s="3"/>
      <c r="B977" s="11"/>
      <c r="C977" s="11"/>
    </row>
    <row r="978" spans="1:3" ht="12.75">
      <c r="A978" s="3"/>
      <c r="B978" s="11"/>
      <c r="C978" s="11"/>
    </row>
    <row r="979" spans="1:3" ht="12.75">
      <c r="A979" s="3"/>
      <c r="B979" s="11"/>
      <c r="C979" s="11"/>
    </row>
    <row r="980" spans="1:3" ht="12.75">
      <c r="A980" s="3"/>
      <c r="B980" s="11"/>
      <c r="C980" s="11"/>
    </row>
    <row r="981" spans="1:3" ht="12.75">
      <c r="A981" s="3"/>
      <c r="B981" s="11"/>
      <c r="C981" s="11"/>
    </row>
    <row r="982" spans="1:3" ht="12.75">
      <c r="A982" s="3"/>
      <c r="B982" s="11"/>
      <c r="C982" s="11"/>
    </row>
    <row r="983" spans="1:3" ht="12.75">
      <c r="A983" s="3"/>
      <c r="B983" s="11"/>
      <c r="C983" s="11"/>
    </row>
    <row r="984" spans="1:3" ht="12.75">
      <c r="A984" s="3"/>
      <c r="B984" s="11"/>
      <c r="C984" s="11"/>
    </row>
    <row r="985" spans="1:3" ht="12.75">
      <c r="A985" s="3"/>
      <c r="B985" s="11"/>
      <c r="C985" s="11"/>
    </row>
    <row r="986" spans="1:3" ht="12.75">
      <c r="A986" s="3"/>
      <c r="B986" s="11"/>
      <c r="C986" s="11"/>
    </row>
    <row r="987" spans="1:3" ht="12.75">
      <c r="A987" s="3"/>
      <c r="B987" s="11"/>
      <c r="C987" s="11"/>
    </row>
    <row r="988" spans="1:3" ht="12.75">
      <c r="A988" s="3"/>
      <c r="B988" s="11"/>
      <c r="C988" s="11"/>
    </row>
    <row r="989" spans="1:3" ht="12.75">
      <c r="A989" s="3"/>
      <c r="B989" s="11"/>
      <c r="C989" s="11"/>
    </row>
    <row r="990" spans="1:3" ht="12.75">
      <c r="A990" s="3"/>
      <c r="B990" s="11"/>
      <c r="C990" s="11"/>
    </row>
    <row r="991" spans="1:3" ht="12.75">
      <c r="A991" s="3"/>
      <c r="B991" s="11"/>
      <c r="C991" s="11"/>
    </row>
    <row r="992" spans="1:3" ht="12.75">
      <c r="A992" s="3"/>
      <c r="B992" s="11"/>
      <c r="C992" s="11"/>
    </row>
    <row r="993" spans="1:3" ht="12.75">
      <c r="A993" s="3"/>
      <c r="B993" s="11"/>
      <c r="C993" s="11"/>
    </row>
    <row r="994" spans="1:3" ht="12.75">
      <c r="A994" s="3"/>
      <c r="B994" s="11"/>
      <c r="C994" s="11"/>
    </row>
    <row r="995" spans="1:3" ht="12.75">
      <c r="A995" s="3"/>
      <c r="B995" s="11"/>
      <c r="C995" s="11"/>
    </row>
    <row r="996" spans="1:3" ht="12.75">
      <c r="A996" s="3"/>
      <c r="B996" s="11"/>
      <c r="C996" s="11"/>
    </row>
    <row r="997" spans="1:3" ht="12.75">
      <c r="A997" s="3"/>
      <c r="B997" s="11"/>
      <c r="C997" s="11"/>
    </row>
    <row r="998" spans="1:3" ht="12.75">
      <c r="A998" s="3"/>
      <c r="B998" s="11"/>
      <c r="C998" s="11"/>
    </row>
    <row r="999" spans="1:3" ht="12.75">
      <c r="A999" s="3"/>
      <c r="B999" s="11"/>
      <c r="C999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D6"/>
  <sheetViews>
    <sheetView workbookViewId="0"/>
  </sheetViews>
  <sheetFormatPr baseColWidth="10" defaultColWidth="12.5703125" defaultRowHeight="15.75" customHeight="1"/>
  <cols>
    <col min="1" max="1" width="5.85546875" customWidth="1"/>
    <col min="2" max="2" width="12.5703125" customWidth="1"/>
    <col min="3" max="3" width="14.85546875" customWidth="1"/>
    <col min="4" max="4" width="16.42578125" customWidth="1"/>
    <col min="5" max="26" width="8.42578125" customWidth="1"/>
  </cols>
  <sheetData>
    <row r="1" spans="1:4">
      <c r="A1" s="89" t="s">
        <v>2310</v>
      </c>
      <c r="B1" s="89" t="s">
        <v>2346</v>
      </c>
      <c r="C1" s="89" t="s">
        <v>2347</v>
      </c>
      <c r="D1" s="89" t="s">
        <v>2349</v>
      </c>
    </row>
    <row r="2" spans="1:4">
      <c r="A2" s="83" t="s">
        <v>149</v>
      </c>
      <c r="B2" s="3">
        <v>18</v>
      </c>
      <c r="C2" s="3">
        <f>COUNTIF(ASIGNACIONES!H:H,A2)</f>
        <v>22</v>
      </c>
      <c r="D2" s="3">
        <f t="shared" ref="D2:D6" si="0">C2-B2</f>
        <v>4</v>
      </c>
    </row>
    <row r="3" spans="1:4">
      <c r="A3" s="83" t="s">
        <v>67</v>
      </c>
      <c r="B3" s="3">
        <v>56</v>
      </c>
      <c r="C3" s="3">
        <f>COUNTIF(ASIGNACIONES!H:H,A3)</f>
        <v>53</v>
      </c>
      <c r="D3" s="3">
        <f t="shared" si="0"/>
        <v>-3</v>
      </c>
    </row>
    <row r="4" spans="1:4">
      <c r="A4" s="83" t="s">
        <v>46</v>
      </c>
      <c r="B4" s="3">
        <v>28</v>
      </c>
      <c r="C4" s="3">
        <f>COUNTIF(ASIGNACIONES!H:H,A4)</f>
        <v>28</v>
      </c>
      <c r="D4" s="3">
        <f t="shared" si="0"/>
        <v>0</v>
      </c>
    </row>
    <row r="5" spans="1:4">
      <c r="A5" s="83" t="s">
        <v>38</v>
      </c>
      <c r="B5" s="3">
        <v>59</v>
      </c>
      <c r="C5" s="3">
        <f>COUNTIF(ASIGNACIONES!H:H,A5)</f>
        <v>59</v>
      </c>
      <c r="D5" s="3">
        <f t="shared" si="0"/>
        <v>0</v>
      </c>
    </row>
    <row r="6" spans="1:4">
      <c r="A6" s="83" t="s">
        <v>90</v>
      </c>
      <c r="B6" s="3">
        <v>13</v>
      </c>
      <c r="C6" s="3">
        <f>COUNTIF(ASIGNACIONES!H:H,A6)</f>
        <v>14</v>
      </c>
      <c r="D6" s="3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3</vt:i4>
      </vt:variant>
    </vt:vector>
  </HeadingPairs>
  <TitlesOfParts>
    <vt:vector size="18" baseType="lpstr">
      <vt:lpstr>ASIGNACIONES</vt:lpstr>
      <vt:lpstr>LOCKERES</vt:lpstr>
      <vt:lpstr>SECA BOTAS</vt:lpstr>
      <vt:lpstr>RETIROS</vt:lpstr>
      <vt:lpstr>PERSONAL</vt:lpstr>
      <vt:lpstr>OPERARIOS</vt:lpstr>
      <vt:lpstr>DOTACIONES</vt:lpstr>
      <vt:lpstr>DOTACIONES DISPONIBLES</vt:lpstr>
      <vt:lpstr>AREAS</vt:lpstr>
      <vt:lpstr>AREAS DE PROCESO</vt:lpstr>
      <vt:lpstr>TALLAS</vt:lpstr>
      <vt:lpstr>AREAS DE LOCKER</vt:lpstr>
      <vt:lpstr>LOCKER DISPONIBLES</vt:lpstr>
      <vt:lpstr>SECA BOTAS DISPONIBLES</vt:lpstr>
      <vt:lpstr>PERSONAL PRESUPUESTADO</vt:lpstr>
      <vt:lpstr>Area</vt:lpstr>
      <vt:lpstr>PERSONAL</vt:lpstr>
      <vt:lpstr>Talla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GESTOR_CONTRATACION</dc:creator>
  <cp:lastModifiedBy>Gestor de Contratación</cp:lastModifiedBy>
  <dcterms:created xsi:type="dcterms:W3CDTF">2026-10-15T20:00:47Z</dcterms:created>
  <dcterms:modified xsi:type="dcterms:W3CDTF">2026-10-15T20:00:47Z</dcterms:modified>
</cp:coreProperties>
</file>